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ndrey/Documents/SUAI/Менеджмент/1.2/КФ/"/>
    </mc:Choice>
  </mc:AlternateContent>
  <xr:revisionPtr revIDLastSave="0" documentId="13_ncr:1_{B55B5BCE-86E8-5A46-BC8F-E4190107F0A7}" xr6:coauthVersionLast="47" xr6:coauthVersionMax="47" xr10:uidLastSave="{00000000-0000-0000-0000-000000000000}"/>
  <bookViews>
    <workbookView xWindow="10080" yWindow="6420" windowWidth="27560" windowHeight="17880" xr2:uid="{00000000-000D-0000-FFFF-FFFF00000000}"/>
  </bookViews>
  <sheets>
    <sheet name="Резюме" sheetId="2" r:id="rId1"/>
    <sheet name="Исходные данные" sheetId="3" r:id="rId2"/>
    <sheet name="Выручка, до" sheetId="24" r:id="rId3"/>
    <sheet name="Экономический эффект" sheetId="4" r:id="rId4"/>
    <sheet name="Капитальные затраты до" sheetId="28" r:id="rId5"/>
    <sheet name="Операционные затраты" sheetId="6" r:id="rId6"/>
    <sheet name="Налоги и сборы до" sheetId="7" r:id="rId7"/>
    <sheet name="Бухбаланс до" sheetId="26" r:id="rId8"/>
    <sheet name="Отчет о фин. рез до" sheetId="30" r:id="rId9"/>
    <sheet name="Отчет о движ. ден. ср." sheetId="9" r:id="rId10"/>
    <sheet name="Амортизация, до" sheetId="27" r:id="rId11"/>
    <sheet name="Финасирование, до" sheetId="29" r:id="rId12"/>
    <sheet name="Финансовый план по месяцам" sheetId="13" r:id="rId13"/>
    <sheet name="Финансовый план по годам" sheetId="14" r:id="rId14"/>
    <sheet name="Дисконтированный ДП" sheetId="15" r:id="rId15"/>
    <sheet name="Основные ср-ва" sheetId="16" r:id="rId16"/>
    <sheet name="Приложение (затраты)" sheetId="17" r:id="rId17"/>
    <sheet name="Приложение (налоги и взносы)" sheetId="18" r:id="rId18"/>
    <sheet name="Приложение (прайс аренды р. м.)" sheetId="19" r:id="rId19"/>
    <sheet name="Приложение (показ. эффект. пр.)" sheetId="20" r:id="rId20"/>
    <sheet name="Приложение (актуальность)" sheetId="21" r:id="rId21"/>
    <sheet name="Приложение (сезонность)" sheetId="22" r:id="rId22"/>
    <sheet name="Дизайн проекта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6" l="1"/>
  <c r="G20" i="6"/>
  <c r="H20" i="6"/>
  <c r="J20" i="6"/>
  <c r="K20" i="6"/>
  <c r="L20" i="6"/>
  <c r="M20" i="6"/>
  <c r="N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V20" i="6"/>
  <c r="AW20" i="6"/>
  <c r="AX20" i="6"/>
  <c r="AY20" i="6"/>
  <c r="AZ20" i="6"/>
  <c r="BA20" i="6"/>
  <c r="BB20" i="6"/>
  <c r="BC20" i="6"/>
  <c r="BD20" i="6"/>
  <c r="BE20" i="6"/>
  <c r="BF20" i="6"/>
  <c r="BG20" i="6"/>
  <c r="BH20" i="6"/>
  <c r="BI20" i="6"/>
  <c r="BJ20" i="6"/>
  <c r="BK20" i="6"/>
  <c r="BL20" i="6"/>
  <c r="BM20" i="6"/>
  <c r="BN20" i="6"/>
  <c r="BO20" i="6"/>
  <c r="BP20" i="6"/>
  <c r="BQ20" i="6"/>
  <c r="BR20" i="6"/>
  <c r="BS20" i="6"/>
  <c r="BT20" i="6"/>
  <c r="BU20" i="6"/>
  <c r="BV20" i="6"/>
  <c r="BW20" i="6"/>
  <c r="BX20" i="6"/>
  <c r="BY20" i="6"/>
  <c r="BZ20" i="6"/>
  <c r="CA20" i="6"/>
  <c r="CB20" i="6"/>
  <c r="CC20" i="6"/>
  <c r="CD20" i="6"/>
  <c r="CE20" i="6"/>
  <c r="CF20" i="6"/>
  <c r="CG20" i="6"/>
  <c r="CH20" i="6"/>
  <c r="CI20" i="6"/>
  <c r="CJ20" i="6"/>
  <c r="CK20" i="6"/>
  <c r="CL20" i="6"/>
  <c r="CM20" i="6"/>
  <c r="CN20" i="6"/>
  <c r="CO20" i="6"/>
  <c r="CP20" i="6"/>
  <c r="CQ20" i="6"/>
  <c r="CR20" i="6"/>
  <c r="CS20" i="6"/>
  <c r="CT20" i="6"/>
  <c r="CU20" i="6"/>
  <c r="CV20" i="6"/>
  <c r="CW20" i="6"/>
  <c r="CX20" i="6"/>
  <c r="CY20" i="6"/>
  <c r="CZ20" i="6"/>
  <c r="DA20" i="6"/>
  <c r="DB20" i="6"/>
  <c r="DC20" i="6"/>
  <c r="DD20" i="6"/>
  <c r="DE20" i="6"/>
  <c r="DF20" i="6"/>
  <c r="DG20" i="6"/>
  <c r="DH20" i="6"/>
  <c r="DI20" i="6"/>
  <c r="DJ20" i="6"/>
  <c r="DK20" i="6"/>
  <c r="DL20" i="6"/>
  <c r="DM20" i="6"/>
  <c r="DN20" i="6"/>
  <c r="DO20" i="6"/>
  <c r="DP20" i="6"/>
  <c r="DQ20" i="6"/>
  <c r="DR20" i="6"/>
  <c r="DS20" i="6"/>
  <c r="DT20" i="6"/>
  <c r="G18" i="6"/>
  <c r="I18" i="6"/>
  <c r="I20" i="6" s="1"/>
  <c r="K18" i="6"/>
  <c r="M18" i="6"/>
  <c r="O18" i="6"/>
  <c r="O20" i="6" s="1"/>
  <c r="CM26" i="15"/>
  <c r="O11" i="13"/>
  <c r="W11" i="13"/>
  <c r="X11" i="13"/>
  <c r="AR11" i="13"/>
  <c r="AZ11" i="13"/>
  <c r="BH11" i="13"/>
  <c r="CC11" i="13"/>
  <c r="CK11" i="13"/>
  <c r="CS11" i="13"/>
  <c r="DN11" i="13"/>
  <c r="DV11" i="13"/>
  <c r="DW11" i="13"/>
  <c r="P9" i="13"/>
  <c r="AD9" i="13"/>
  <c r="I15" i="29"/>
  <c r="I9" i="13" s="1"/>
  <c r="J15" i="29"/>
  <c r="J9" i="13" s="1"/>
  <c r="K15" i="29"/>
  <c r="K9" i="13" s="1"/>
  <c r="L15" i="29"/>
  <c r="L9" i="13" s="1"/>
  <c r="M15" i="29"/>
  <c r="M9" i="13" s="1"/>
  <c r="N15" i="29"/>
  <c r="N9" i="13" s="1"/>
  <c r="O15" i="29"/>
  <c r="O9" i="13" s="1"/>
  <c r="P15" i="29"/>
  <c r="Q15" i="29"/>
  <c r="Q9" i="13" s="1"/>
  <c r="R15" i="29"/>
  <c r="R9" i="13" s="1"/>
  <c r="S15" i="29"/>
  <c r="S9" i="13" s="1"/>
  <c r="T15" i="29"/>
  <c r="T9" i="13" s="1"/>
  <c r="U15" i="29"/>
  <c r="U9" i="13" s="1"/>
  <c r="V15" i="29"/>
  <c r="V9" i="13" s="1"/>
  <c r="W15" i="29"/>
  <c r="W9" i="13" s="1"/>
  <c r="X15" i="29"/>
  <c r="X9" i="13" s="1"/>
  <c r="Y15" i="29"/>
  <c r="Y9" i="13" s="1"/>
  <c r="Z15" i="29"/>
  <c r="Z9" i="13" s="1"/>
  <c r="AA15" i="29"/>
  <c r="AA9" i="13" s="1"/>
  <c r="AB15" i="29"/>
  <c r="AB9" i="13" s="1"/>
  <c r="AC15" i="29"/>
  <c r="AC9" i="13" s="1"/>
  <c r="AD15" i="29"/>
  <c r="AE15" i="29"/>
  <c r="AE9" i="13" s="1"/>
  <c r="AF15" i="29"/>
  <c r="AF9" i="13" s="1"/>
  <c r="AG15" i="29"/>
  <c r="AG9" i="13" s="1"/>
  <c r="AH15" i="29"/>
  <c r="AH9" i="13" s="1"/>
  <c r="AI15" i="29"/>
  <c r="AI9" i="13" s="1"/>
  <c r="AJ15" i="29"/>
  <c r="AJ9" i="13" s="1"/>
  <c r="AK15" i="29"/>
  <c r="AK9" i="13" s="1"/>
  <c r="AL15" i="29"/>
  <c r="AL9" i="13" s="1"/>
  <c r="AM15" i="29"/>
  <c r="AM9" i="13" s="1"/>
  <c r="AN15" i="29"/>
  <c r="AN9" i="13" s="1"/>
  <c r="AO15" i="29"/>
  <c r="AO9" i="13" s="1"/>
  <c r="AP15" i="29"/>
  <c r="AP9" i="13" s="1"/>
  <c r="AQ15" i="29"/>
  <c r="AQ9" i="13" s="1"/>
  <c r="AR15" i="29"/>
  <c r="AR9" i="13" s="1"/>
  <c r="H15" i="29"/>
  <c r="H9" i="13" s="1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AJ6" i="13"/>
  <c r="AK6" i="13"/>
  <c r="AL6" i="13"/>
  <c r="AM6" i="13"/>
  <c r="AN6" i="13"/>
  <c r="AO6" i="13"/>
  <c r="AP6" i="13"/>
  <c r="AQ6" i="13"/>
  <c r="AR6" i="13"/>
  <c r="AS6" i="13"/>
  <c r="AT6" i="13"/>
  <c r="AU6" i="13"/>
  <c r="AV6" i="13"/>
  <c r="AW6" i="13"/>
  <c r="AX6" i="13"/>
  <c r="AY6" i="13"/>
  <c r="AZ6" i="13"/>
  <c r="BA6" i="13"/>
  <c r="BB6" i="13"/>
  <c r="BC6" i="13"/>
  <c r="BD6" i="13"/>
  <c r="BE6" i="13"/>
  <c r="BF6" i="13"/>
  <c r="BG6" i="13"/>
  <c r="BH6" i="13"/>
  <c r="BI6" i="13"/>
  <c r="BJ6" i="13"/>
  <c r="BK6" i="13"/>
  <c r="BL6" i="13"/>
  <c r="BM6" i="13"/>
  <c r="BN6" i="13"/>
  <c r="BO6" i="13"/>
  <c r="BP6" i="13"/>
  <c r="BQ6" i="13"/>
  <c r="BR6" i="13"/>
  <c r="BS6" i="13"/>
  <c r="BT6" i="13"/>
  <c r="BU6" i="13"/>
  <c r="BV6" i="13"/>
  <c r="BW6" i="13"/>
  <c r="BX6" i="13"/>
  <c r="BY6" i="13"/>
  <c r="BZ6" i="13"/>
  <c r="CA6" i="13"/>
  <c r="CB6" i="13"/>
  <c r="CC6" i="13"/>
  <c r="CD6" i="13"/>
  <c r="CE6" i="13"/>
  <c r="CF6" i="13"/>
  <c r="CG6" i="13"/>
  <c r="CH6" i="13"/>
  <c r="CI6" i="13"/>
  <c r="CJ6" i="13"/>
  <c r="CK6" i="13"/>
  <c r="CL6" i="13"/>
  <c r="CM6" i="13"/>
  <c r="CN6" i="13"/>
  <c r="CO6" i="13"/>
  <c r="CP6" i="13"/>
  <c r="CQ6" i="13"/>
  <c r="CR6" i="13"/>
  <c r="CS6" i="13"/>
  <c r="CT6" i="13"/>
  <c r="CU6" i="13"/>
  <c r="CV6" i="13"/>
  <c r="CW6" i="13"/>
  <c r="CX6" i="13"/>
  <c r="CY6" i="13"/>
  <c r="CZ6" i="13"/>
  <c r="DA6" i="13"/>
  <c r="DB6" i="13"/>
  <c r="DC6" i="13"/>
  <c r="DD6" i="13"/>
  <c r="DE6" i="13"/>
  <c r="DF6" i="13"/>
  <c r="DG6" i="13"/>
  <c r="DH6" i="13"/>
  <c r="DI6" i="13"/>
  <c r="DJ6" i="13"/>
  <c r="DK6" i="13"/>
  <c r="DL6" i="13"/>
  <c r="DM6" i="13"/>
  <c r="DN6" i="13"/>
  <c r="DO6" i="13"/>
  <c r="DP6" i="13"/>
  <c r="DQ6" i="13"/>
  <c r="DR6" i="13"/>
  <c r="DS6" i="13"/>
  <c r="DT6" i="13"/>
  <c r="DU6" i="13"/>
  <c r="DV6" i="13"/>
  <c r="DW6" i="13"/>
  <c r="H6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AJ7" i="13"/>
  <c r="AK7" i="13"/>
  <c r="AL7" i="13"/>
  <c r="AM7" i="13"/>
  <c r="AN7" i="13"/>
  <c r="AO7" i="13"/>
  <c r="AP7" i="13"/>
  <c r="AQ7" i="13"/>
  <c r="AR7" i="13"/>
  <c r="AS7" i="13"/>
  <c r="AT7" i="13"/>
  <c r="AU7" i="13"/>
  <c r="AV7" i="13"/>
  <c r="AW7" i="13"/>
  <c r="AX7" i="13"/>
  <c r="AY7" i="13"/>
  <c r="AZ7" i="13"/>
  <c r="BA7" i="13"/>
  <c r="BB7" i="13"/>
  <c r="BC7" i="13"/>
  <c r="BD7" i="13"/>
  <c r="BE7" i="13"/>
  <c r="BF7" i="13"/>
  <c r="BG7" i="13"/>
  <c r="BH7" i="13"/>
  <c r="BI7" i="13"/>
  <c r="BJ7" i="13"/>
  <c r="BK7" i="13"/>
  <c r="BL7" i="13"/>
  <c r="BM7" i="13"/>
  <c r="BN7" i="13"/>
  <c r="BO7" i="13"/>
  <c r="BP7" i="13"/>
  <c r="BQ7" i="13"/>
  <c r="BR7" i="13"/>
  <c r="BS7" i="13"/>
  <c r="BT7" i="13"/>
  <c r="BU7" i="13"/>
  <c r="BV7" i="13"/>
  <c r="BW7" i="13"/>
  <c r="BX7" i="13"/>
  <c r="BY7" i="13"/>
  <c r="BZ7" i="13"/>
  <c r="CA7" i="13"/>
  <c r="CB7" i="13"/>
  <c r="CC7" i="13"/>
  <c r="CD7" i="13"/>
  <c r="CE7" i="13"/>
  <c r="CF7" i="13"/>
  <c r="CG7" i="13"/>
  <c r="CH7" i="13"/>
  <c r="CI7" i="13"/>
  <c r="CJ7" i="13"/>
  <c r="CK7" i="13"/>
  <c r="CL7" i="13"/>
  <c r="CM7" i="13"/>
  <c r="CN7" i="13"/>
  <c r="CO7" i="13"/>
  <c r="CP7" i="13"/>
  <c r="CQ7" i="13"/>
  <c r="CR7" i="13"/>
  <c r="CS7" i="13"/>
  <c r="CT7" i="13"/>
  <c r="CU7" i="13"/>
  <c r="CV7" i="13"/>
  <c r="CW7" i="13"/>
  <c r="CX7" i="13"/>
  <c r="CY7" i="13"/>
  <c r="CZ7" i="13"/>
  <c r="DA7" i="13"/>
  <c r="DB7" i="13"/>
  <c r="DC7" i="13"/>
  <c r="DD7" i="13"/>
  <c r="DE7" i="13"/>
  <c r="DF7" i="13"/>
  <c r="DG7" i="13"/>
  <c r="DH7" i="13"/>
  <c r="DI7" i="13"/>
  <c r="DJ7" i="13"/>
  <c r="DK7" i="13"/>
  <c r="DL7" i="13"/>
  <c r="DM7" i="13"/>
  <c r="DN7" i="13"/>
  <c r="DO7" i="13"/>
  <c r="DP7" i="13"/>
  <c r="DQ7" i="13"/>
  <c r="DR7" i="13"/>
  <c r="DS7" i="13"/>
  <c r="DT7" i="13"/>
  <c r="DU7" i="13"/>
  <c r="DV7" i="13"/>
  <c r="DW7" i="13"/>
  <c r="H7" i="13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K31" i="26"/>
  <c r="AL31" i="26"/>
  <c r="AM31" i="26"/>
  <c r="AN31" i="26"/>
  <c r="AO31" i="26"/>
  <c r="AP31" i="26"/>
  <c r="AQ31" i="26"/>
  <c r="AR31" i="26"/>
  <c r="AS31" i="26"/>
  <c r="AT31" i="26"/>
  <c r="AU31" i="26"/>
  <c r="AV31" i="26"/>
  <c r="AW31" i="26"/>
  <c r="AX31" i="26"/>
  <c r="AY31" i="26"/>
  <c r="AZ31" i="26"/>
  <c r="BA31" i="26"/>
  <c r="BB31" i="26"/>
  <c r="BC31" i="26"/>
  <c r="BD31" i="26"/>
  <c r="BE31" i="26"/>
  <c r="BF31" i="26"/>
  <c r="BG31" i="26"/>
  <c r="BH31" i="26"/>
  <c r="BI31" i="26"/>
  <c r="BJ31" i="26"/>
  <c r="BK31" i="26"/>
  <c r="BL31" i="26"/>
  <c r="BM31" i="26"/>
  <c r="BN31" i="26"/>
  <c r="BO31" i="26"/>
  <c r="BP31" i="26"/>
  <c r="BQ31" i="26"/>
  <c r="BR31" i="26"/>
  <c r="BS31" i="26"/>
  <c r="BT31" i="26"/>
  <c r="BU31" i="26"/>
  <c r="BV31" i="26"/>
  <c r="BW31" i="26"/>
  <c r="BX31" i="26"/>
  <c r="BY31" i="26"/>
  <c r="BZ31" i="26"/>
  <c r="CA31" i="26"/>
  <c r="CB31" i="26"/>
  <c r="CC31" i="26"/>
  <c r="CD31" i="26"/>
  <c r="CE31" i="26"/>
  <c r="CF31" i="26"/>
  <c r="CG31" i="26"/>
  <c r="CH31" i="26"/>
  <c r="CI31" i="26"/>
  <c r="CJ31" i="26"/>
  <c r="CK31" i="26"/>
  <c r="CL31" i="26"/>
  <c r="CM31" i="26"/>
  <c r="CN31" i="26"/>
  <c r="CO31" i="26"/>
  <c r="CP31" i="26"/>
  <c r="CQ31" i="26"/>
  <c r="CR31" i="26"/>
  <c r="CS31" i="26"/>
  <c r="CT31" i="26"/>
  <c r="CU31" i="26"/>
  <c r="CV31" i="26"/>
  <c r="CW31" i="26"/>
  <c r="CX31" i="26"/>
  <c r="CY31" i="26"/>
  <c r="CZ31" i="26"/>
  <c r="DA31" i="26"/>
  <c r="DB31" i="26"/>
  <c r="DC31" i="26"/>
  <c r="DD31" i="26"/>
  <c r="DE31" i="26"/>
  <c r="DF31" i="26"/>
  <c r="DG31" i="26"/>
  <c r="DH31" i="26"/>
  <c r="DI31" i="26"/>
  <c r="DJ31" i="26"/>
  <c r="DK31" i="26"/>
  <c r="DL31" i="26"/>
  <c r="DM31" i="26"/>
  <c r="DN31" i="26"/>
  <c r="DO31" i="26"/>
  <c r="DP31" i="26"/>
  <c r="DQ31" i="26"/>
  <c r="DR31" i="26"/>
  <c r="DS31" i="26"/>
  <c r="DT31" i="26"/>
  <c r="DU31" i="26"/>
  <c r="DV31" i="26"/>
  <c r="G31" i="26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A41" i="3"/>
  <c r="BB41" i="3"/>
  <c r="BC41" i="3"/>
  <c r="BD41" i="3"/>
  <c r="BE41" i="3"/>
  <c r="BF41" i="3"/>
  <c r="BG41" i="3"/>
  <c r="BH41" i="3"/>
  <c r="BI41" i="3"/>
  <c r="BJ41" i="3"/>
  <c r="BK41" i="3"/>
  <c r="BL41" i="3"/>
  <c r="BM41" i="3"/>
  <c r="BN41" i="3"/>
  <c r="BO41" i="3"/>
  <c r="BP41" i="3"/>
  <c r="BQ41" i="3"/>
  <c r="BR41" i="3"/>
  <c r="BS41" i="3"/>
  <c r="BT41" i="3"/>
  <c r="BU41" i="3"/>
  <c r="BV41" i="3"/>
  <c r="BW41" i="3"/>
  <c r="BX41" i="3"/>
  <c r="BY41" i="3"/>
  <c r="BZ41" i="3"/>
  <c r="CA41" i="3"/>
  <c r="CB41" i="3"/>
  <c r="CC41" i="3"/>
  <c r="CD41" i="3"/>
  <c r="CE41" i="3"/>
  <c r="CF41" i="3"/>
  <c r="CG41" i="3"/>
  <c r="CH41" i="3"/>
  <c r="CI41" i="3"/>
  <c r="CJ41" i="3"/>
  <c r="CK41" i="3"/>
  <c r="CL41" i="3"/>
  <c r="CM41" i="3"/>
  <c r="CN41" i="3"/>
  <c r="CO41" i="3"/>
  <c r="CP41" i="3"/>
  <c r="CQ41" i="3"/>
  <c r="CR41" i="3"/>
  <c r="CS41" i="3"/>
  <c r="CT41" i="3"/>
  <c r="CU41" i="3"/>
  <c r="CV41" i="3"/>
  <c r="CW41" i="3"/>
  <c r="CX41" i="3"/>
  <c r="CY41" i="3"/>
  <c r="CZ41" i="3"/>
  <c r="DA41" i="3"/>
  <c r="DB41" i="3"/>
  <c r="DC41" i="3"/>
  <c r="DD41" i="3"/>
  <c r="DE41" i="3"/>
  <c r="DF41" i="3"/>
  <c r="DG41" i="3"/>
  <c r="DH41" i="3"/>
  <c r="DI41" i="3"/>
  <c r="DJ41" i="3"/>
  <c r="DK41" i="3"/>
  <c r="DL41" i="3"/>
  <c r="DM41" i="3"/>
  <c r="DN41" i="3"/>
  <c r="DO41" i="3"/>
  <c r="DP41" i="3"/>
  <c r="DQ41" i="3"/>
  <c r="DR41" i="3"/>
  <c r="DS41" i="3"/>
  <c r="DT41" i="3"/>
  <c r="DU41" i="3"/>
  <c r="F42" i="3"/>
  <c r="F41" i="3"/>
  <c r="J9" i="27"/>
  <c r="K9" i="27"/>
  <c r="L9" i="27"/>
  <c r="M9" i="27"/>
  <c r="N9" i="27"/>
  <c r="O9" i="27"/>
  <c r="P9" i="27"/>
  <c r="Q9" i="27"/>
  <c r="R9" i="27"/>
  <c r="S9" i="27"/>
  <c r="T9" i="27"/>
  <c r="U9" i="27"/>
  <c r="V9" i="27"/>
  <c r="W9" i="27"/>
  <c r="X9" i="27"/>
  <c r="Y9" i="27"/>
  <c r="Z9" i="27"/>
  <c r="AA9" i="27"/>
  <c r="AB9" i="27"/>
  <c r="AC9" i="27"/>
  <c r="AD9" i="27"/>
  <c r="AE9" i="27"/>
  <c r="AF9" i="27"/>
  <c r="AG9" i="27"/>
  <c r="AH9" i="27"/>
  <c r="AI9" i="27"/>
  <c r="AJ9" i="27"/>
  <c r="AK9" i="27"/>
  <c r="AL9" i="27"/>
  <c r="AM9" i="27"/>
  <c r="AN9" i="27"/>
  <c r="AO9" i="27"/>
  <c r="AP9" i="27"/>
  <c r="AQ9" i="27"/>
  <c r="AR9" i="27"/>
  <c r="AS9" i="27"/>
  <c r="AT9" i="27"/>
  <c r="AU9" i="27"/>
  <c r="AV9" i="27"/>
  <c r="AW9" i="27"/>
  <c r="AX9" i="27"/>
  <c r="AY9" i="27"/>
  <c r="AZ9" i="27"/>
  <c r="BA9" i="27"/>
  <c r="BB9" i="27"/>
  <c r="BC9" i="27"/>
  <c r="BD9" i="27"/>
  <c r="BE9" i="27"/>
  <c r="BF9" i="27"/>
  <c r="BG9" i="27"/>
  <c r="BH9" i="27"/>
  <c r="BI9" i="27"/>
  <c r="BJ9" i="27"/>
  <c r="BK9" i="27"/>
  <c r="BL9" i="27"/>
  <c r="BM9" i="27"/>
  <c r="BN9" i="27"/>
  <c r="BO9" i="27"/>
  <c r="BP9" i="27"/>
  <c r="BQ9" i="27"/>
  <c r="BR9" i="27"/>
  <c r="BS9" i="27"/>
  <c r="BT9" i="27"/>
  <c r="BU9" i="27"/>
  <c r="BV9" i="27"/>
  <c r="BW9" i="27"/>
  <c r="BX9" i="27"/>
  <c r="BY9" i="27"/>
  <c r="BZ9" i="27"/>
  <c r="CA9" i="27"/>
  <c r="CB9" i="27"/>
  <c r="CC9" i="27"/>
  <c r="CD9" i="27"/>
  <c r="CE9" i="27"/>
  <c r="CF9" i="27"/>
  <c r="CG9" i="27"/>
  <c r="CH9" i="27"/>
  <c r="CI9" i="27"/>
  <c r="CJ9" i="27"/>
  <c r="CK9" i="27"/>
  <c r="CL9" i="27"/>
  <c r="CM9" i="27"/>
  <c r="CN9" i="27"/>
  <c r="CO9" i="27"/>
  <c r="CP9" i="27"/>
  <c r="CQ9" i="27"/>
  <c r="CR9" i="27"/>
  <c r="CS9" i="27"/>
  <c r="CT9" i="27"/>
  <c r="CU9" i="27"/>
  <c r="CV9" i="27"/>
  <c r="CW9" i="27"/>
  <c r="CX9" i="27"/>
  <c r="CY9" i="27"/>
  <c r="CZ9" i="27"/>
  <c r="DA9" i="27"/>
  <c r="DB9" i="27"/>
  <c r="DC9" i="27"/>
  <c r="DD9" i="27"/>
  <c r="DE9" i="27"/>
  <c r="DF9" i="27"/>
  <c r="DG9" i="27"/>
  <c r="DH9" i="27"/>
  <c r="DI9" i="27"/>
  <c r="DJ9" i="27"/>
  <c r="DK9" i="27"/>
  <c r="DL9" i="27"/>
  <c r="DM9" i="27"/>
  <c r="DN9" i="27"/>
  <c r="DO9" i="27"/>
  <c r="DP9" i="27"/>
  <c r="DQ9" i="27"/>
  <c r="DR9" i="27"/>
  <c r="DS9" i="27"/>
  <c r="DT9" i="27"/>
  <c r="DU9" i="27"/>
  <c r="DV9" i="27"/>
  <c r="DW9" i="27"/>
  <c r="DX9" i="27"/>
  <c r="I9" i="27"/>
  <c r="I17" i="27"/>
  <c r="I7" i="27" s="1"/>
  <c r="AQ12" i="3"/>
  <c r="AQ40" i="3" s="1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Z40" i="3"/>
  <c r="Y40" i="3"/>
  <c r="X40" i="3"/>
  <c r="W40" i="3"/>
  <c r="V40" i="3"/>
  <c r="U40" i="3"/>
  <c r="T40" i="3"/>
  <c r="S40" i="3"/>
  <c r="R40" i="3"/>
  <c r="Q40" i="3"/>
  <c r="S10" i="26"/>
  <c r="T10" i="26"/>
  <c r="T15" i="26" s="1"/>
  <c r="V10" i="26"/>
  <c r="V15" i="26" s="1"/>
  <c r="AA10" i="26"/>
  <c r="AA15" i="26" s="1"/>
  <c r="AB10" i="26"/>
  <c r="AB15" i="26" s="1"/>
  <c r="AC10" i="26"/>
  <c r="AC15" i="26" s="1"/>
  <c r="AD10" i="26"/>
  <c r="AD15" i="26" s="1"/>
  <c r="AI10" i="26"/>
  <c r="AI15" i="26" s="1"/>
  <c r="AJ10" i="26"/>
  <c r="AJ15" i="26" s="1"/>
  <c r="AK10" i="26"/>
  <c r="AK15" i="26" s="1"/>
  <c r="AL10" i="26"/>
  <c r="AL15" i="26" s="1"/>
  <c r="AQ10" i="26"/>
  <c r="AQ15" i="26" s="1"/>
  <c r="AR10" i="26"/>
  <c r="AR15" i="26" s="1"/>
  <c r="AS10" i="26"/>
  <c r="AS15" i="26" s="1"/>
  <c r="AT10" i="26"/>
  <c r="AT15" i="26" s="1"/>
  <c r="AY10" i="26"/>
  <c r="AY15" i="26" s="1"/>
  <c r="AZ10" i="26"/>
  <c r="AZ15" i="26" s="1"/>
  <c r="BA10" i="26"/>
  <c r="BA15" i="26" s="1"/>
  <c r="BB10" i="26"/>
  <c r="BB15" i="26" s="1"/>
  <c r="BG10" i="26"/>
  <c r="BG15" i="26" s="1"/>
  <c r="BH10" i="26"/>
  <c r="BH15" i="26" s="1"/>
  <c r="BI10" i="26"/>
  <c r="BI15" i="26" s="1"/>
  <c r="BJ10" i="26"/>
  <c r="BO10" i="26"/>
  <c r="BO15" i="26" s="1"/>
  <c r="BP10" i="26"/>
  <c r="BP15" i="26" s="1"/>
  <c r="BQ10" i="26"/>
  <c r="BQ15" i="26" s="1"/>
  <c r="BR10" i="26"/>
  <c r="BW10" i="26"/>
  <c r="BW15" i="26" s="1"/>
  <c r="BX10" i="26"/>
  <c r="BX15" i="26" s="1"/>
  <c r="BY10" i="26"/>
  <c r="BY15" i="26" s="1"/>
  <c r="BZ10" i="26"/>
  <c r="CE10" i="26"/>
  <c r="CE15" i="26" s="1"/>
  <c r="CF10" i="26"/>
  <c r="CF15" i="26" s="1"/>
  <c r="CG10" i="26"/>
  <c r="CG15" i="26" s="1"/>
  <c r="CH10" i="26"/>
  <c r="CM10" i="26"/>
  <c r="CM15" i="26" s="1"/>
  <c r="CN10" i="26"/>
  <c r="CN15" i="26" s="1"/>
  <c r="CO10" i="26"/>
  <c r="CO15" i="26" s="1"/>
  <c r="CP10" i="26"/>
  <c r="CP15" i="26" s="1"/>
  <c r="CU10" i="26"/>
  <c r="CU15" i="26" s="1"/>
  <c r="CV10" i="26"/>
  <c r="CV15" i="26" s="1"/>
  <c r="CW10" i="26"/>
  <c r="CW15" i="26" s="1"/>
  <c r="CX10" i="26"/>
  <c r="CX15" i="26" s="1"/>
  <c r="DC10" i="26"/>
  <c r="DC15" i="26" s="1"/>
  <c r="DD10" i="26"/>
  <c r="DD15" i="26" s="1"/>
  <c r="DE10" i="26"/>
  <c r="DE15" i="26" s="1"/>
  <c r="DF10" i="26"/>
  <c r="DF15" i="26" s="1"/>
  <c r="DK10" i="26"/>
  <c r="DK15" i="26" s="1"/>
  <c r="DL10" i="26"/>
  <c r="DL15" i="26" s="1"/>
  <c r="DM10" i="26"/>
  <c r="DM15" i="26" s="1"/>
  <c r="DN10" i="26"/>
  <c r="DN15" i="26" s="1"/>
  <c r="DS10" i="26"/>
  <c r="DS15" i="26" s="1"/>
  <c r="DT10" i="26"/>
  <c r="DT15" i="26" s="1"/>
  <c r="DU10" i="26"/>
  <c r="DU15" i="26" s="1"/>
  <c r="DV10" i="26"/>
  <c r="DV15" i="26" s="1"/>
  <c r="D19" i="30"/>
  <c r="D18" i="30"/>
  <c r="D17" i="30"/>
  <c r="D14" i="30"/>
  <c r="D12" i="30"/>
  <c r="D11" i="30"/>
  <c r="D10" i="30"/>
  <c r="F32" i="3"/>
  <c r="DW45" i="29"/>
  <c r="DX26" i="15" s="1"/>
  <c r="DV45" i="29"/>
  <c r="DW26" i="15" s="1"/>
  <c r="DU45" i="29"/>
  <c r="DU11" i="13" s="1"/>
  <c r="DT45" i="29"/>
  <c r="DU26" i="15" s="1"/>
  <c r="DS45" i="29"/>
  <c r="DR45" i="29"/>
  <c r="DQ45" i="29"/>
  <c r="DQ11" i="13" s="1"/>
  <c r="DP45" i="29"/>
  <c r="DP11" i="13" s="1"/>
  <c r="DO45" i="29"/>
  <c r="DO11" i="13" s="1"/>
  <c r="DN45" i="29"/>
  <c r="DO26" i="15" s="1"/>
  <c r="DM45" i="29"/>
  <c r="DM11" i="13" s="1"/>
  <c r="DL45" i="29"/>
  <c r="DM26" i="15" s="1"/>
  <c r="CX45" i="29"/>
  <c r="CW45" i="29"/>
  <c r="CV45" i="29"/>
  <c r="CV11" i="13" s="1"/>
  <c r="CU45" i="29"/>
  <c r="CU11" i="13" s="1"/>
  <c r="CT45" i="29"/>
  <c r="CT11" i="13" s="1"/>
  <c r="CS45" i="29"/>
  <c r="CT26" i="15" s="1"/>
  <c r="CR45" i="29"/>
  <c r="CR11" i="13" s="1"/>
  <c r="CQ45" i="29"/>
  <c r="CR26" i="15" s="1"/>
  <c r="CP45" i="29"/>
  <c r="CO45" i="29"/>
  <c r="CN45" i="29"/>
  <c r="CM45" i="29"/>
  <c r="CN26" i="15" s="1"/>
  <c r="CL45" i="29"/>
  <c r="CL11" i="13" s="1"/>
  <c r="CK45" i="29"/>
  <c r="CL26" i="15" s="1"/>
  <c r="CJ45" i="29"/>
  <c r="CJ11" i="13" s="1"/>
  <c r="CI45" i="29"/>
  <c r="CJ26" i="15" s="1"/>
  <c r="CH45" i="29"/>
  <c r="CG45" i="29"/>
  <c r="CF45" i="29"/>
  <c r="CE45" i="29"/>
  <c r="CE11" i="13" s="1"/>
  <c r="CD45" i="29"/>
  <c r="CD11" i="13" s="1"/>
  <c r="CC45" i="29"/>
  <c r="CD26" i="15" s="1"/>
  <c r="CB45" i="29"/>
  <c r="CB11" i="13" s="1"/>
  <c r="BN45" i="29"/>
  <c r="BO26" i="15" s="1"/>
  <c r="BM45" i="29"/>
  <c r="BL45" i="29"/>
  <c r="BK45" i="29"/>
  <c r="BJ45" i="29"/>
  <c r="BJ11" i="13" s="1"/>
  <c r="BI45" i="29"/>
  <c r="BI11" i="13" s="1"/>
  <c r="BH45" i="29"/>
  <c r="BI26" i="15" s="1"/>
  <c r="BG45" i="29"/>
  <c r="BG11" i="13" s="1"/>
  <c r="BF45" i="29"/>
  <c r="BG26" i="15" s="1"/>
  <c r="BE45" i="29"/>
  <c r="BD45" i="29"/>
  <c r="BC45" i="29"/>
  <c r="BB45" i="29"/>
  <c r="BB11" i="13" s="1"/>
  <c r="BA45" i="29"/>
  <c r="BA11" i="13" s="1"/>
  <c r="AZ45" i="29"/>
  <c r="BA26" i="15" s="1"/>
  <c r="AY45" i="29"/>
  <c r="AY11" i="13" s="1"/>
  <c r="AX45" i="29"/>
  <c r="AY26" i="15" s="1"/>
  <c r="AW45" i="29"/>
  <c r="AV45" i="29"/>
  <c r="AU45" i="29"/>
  <c r="AT45" i="29"/>
  <c r="AT11" i="13" s="1"/>
  <c r="AS45" i="29"/>
  <c r="AS11" i="13" s="1"/>
  <c r="AR45" i="29"/>
  <c r="AS26" i="15" s="1"/>
  <c r="AD45" i="29"/>
  <c r="AD11" i="13" s="1"/>
  <c r="AC45" i="29"/>
  <c r="AD26" i="15" s="1"/>
  <c r="AB45" i="29"/>
  <c r="AA45" i="29"/>
  <c r="Z45" i="29"/>
  <c r="Y45" i="29"/>
  <c r="Y11" i="13" s="1"/>
  <c r="X45" i="29"/>
  <c r="Y26" i="15" s="1"/>
  <c r="W45" i="29"/>
  <c r="X26" i="15" s="1"/>
  <c r="V45" i="29"/>
  <c r="V11" i="13" s="1"/>
  <c r="U45" i="29"/>
  <c r="V26" i="15" s="1"/>
  <c r="T45" i="29"/>
  <c r="S45" i="29"/>
  <c r="R45" i="29"/>
  <c r="Q45" i="29"/>
  <c r="Q11" i="13" s="1"/>
  <c r="P45" i="29"/>
  <c r="P11" i="13" s="1"/>
  <c r="O45" i="29"/>
  <c r="P26" i="15" s="1"/>
  <c r="N45" i="29"/>
  <c r="N11" i="13" s="1"/>
  <c r="M45" i="29"/>
  <c r="N26" i="15" s="1"/>
  <c r="L45" i="29"/>
  <c r="K45" i="29"/>
  <c r="J45" i="29"/>
  <c r="I45" i="29"/>
  <c r="I11" i="13" s="1"/>
  <c r="H45" i="29"/>
  <c r="H11" i="13" s="1"/>
  <c r="DW40" i="29"/>
  <c r="DV40" i="29"/>
  <c r="DU40" i="29"/>
  <c r="DT40" i="29"/>
  <c r="DT39" i="29" s="1"/>
  <c r="DT37" i="29" s="1"/>
  <c r="DT10" i="29" s="1"/>
  <c r="DS40" i="29"/>
  <c r="DS39" i="29" s="1"/>
  <c r="DS37" i="29" s="1"/>
  <c r="DS10" i="29" s="1"/>
  <c r="DR40" i="29"/>
  <c r="DR39" i="29" s="1"/>
  <c r="DR37" i="29" s="1"/>
  <c r="DR10" i="29" s="1"/>
  <c r="DQ40" i="29"/>
  <c r="DQ39" i="29" s="1"/>
  <c r="DP40" i="29"/>
  <c r="DP39" i="29" s="1"/>
  <c r="DP37" i="29" s="1"/>
  <c r="DP10" i="29" s="1"/>
  <c r="DO40" i="29"/>
  <c r="DN40" i="29"/>
  <c r="DM40" i="29"/>
  <c r="CX40" i="29"/>
  <c r="CX39" i="29" s="1"/>
  <c r="CX37" i="29" s="1"/>
  <c r="CX10" i="29" s="1"/>
  <c r="CW40" i="29"/>
  <c r="CW39" i="29" s="1"/>
  <c r="CW37" i="29" s="1"/>
  <c r="CW10" i="29" s="1"/>
  <c r="CV40" i="29"/>
  <c r="CV39" i="29" s="1"/>
  <c r="CV37" i="29" s="1"/>
  <c r="CV10" i="29" s="1"/>
  <c r="CU40" i="29"/>
  <c r="CU39" i="29" s="1"/>
  <c r="CU37" i="29" s="1"/>
  <c r="CU10" i="29" s="1"/>
  <c r="CT40" i="29"/>
  <c r="CS40" i="29"/>
  <c r="CS39" i="29" s="1"/>
  <c r="CS37" i="29" s="1"/>
  <c r="CR40" i="29"/>
  <c r="CQ40" i="29"/>
  <c r="CP40" i="29"/>
  <c r="CP39" i="29" s="1"/>
  <c r="CP37" i="29" s="1"/>
  <c r="CP10" i="29" s="1"/>
  <c r="CO40" i="29"/>
  <c r="CO39" i="29" s="1"/>
  <c r="CO37" i="29" s="1"/>
  <c r="CO10" i="29" s="1"/>
  <c r="CN40" i="29"/>
  <c r="CN39" i="29" s="1"/>
  <c r="CM40" i="29"/>
  <c r="CM39" i="29" s="1"/>
  <c r="CL40" i="29"/>
  <c r="CL39" i="29" s="1"/>
  <c r="CK40" i="29"/>
  <c r="CK39" i="29" s="1"/>
  <c r="CK37" i="29" s="1"/>
  <c r="CJ40" i="29"/>
  <c r="CI40" i="29"/>
  <c r="CH40" i="29"/>
  <c r="CH39" i="29" s="1"/>
  <c r="CH37" i="29" s="1"/>
  <c r="CH10" i="29" s="1"/>
  <c r="CG40" i="29"/>
  <c r="CF40" i="29"/>
  <c r="CF39" i="29" s="1"/>
  <c r="CF37" i="29" s="1"/>
  <c r="CE40" i="29"/>
  <c r="CE39" i="29" s="1"/>
  <c r="CE37" i="29" s="1"/>
  <c r="CD40" i="29"/>
  <c r="CD39" i="29" s="1"/>
  <c r="CC40" i="29"/>
  <c r="CC39" i="29" s="1"/>
  <c r="CC37" i="29" s="1"/>
  <c r="BN40" i="29"/>
  <c r="BM40" i="29"/>
  <c r="BL40" i="29"/>
  <c r="BL39" i="29" s="1"/>
  <c r="BK40" i="29"/>
  <c r="BK39" i="29" s="1"/>
  <c r="BK37" i="29" s="1"/>
  <c r="BK10" i="29" s="1"/>
  <c r="BJ40" i="29"/>
  <c r="BJ39" i="29" s="1"/>
  <c r="BJ37" i="29" s="1"/>
  <c r="BJ10" i="29" s="1"/>
  <c r="BI40" i="29"/>
  <c r="BH40" i="29"/>
  <c r="BG40" i="29"/>
  <c r="BF40" i="29"/>
  <c r="BE40" i="29"/>
  <c r="BD40" i="29"/>
  <c r="BD39" i="29" s="1"/>
  <c r="BD37" i="29" s="1"/>
  <c r="BD10" i="29" s="1"/>
  <c r="BC40" i="29"/>
  <c r="BC39" i="29" s="1"/>
  <c r="BC37" i="29" s="1"/>
  <c r="BC10" i="29" s="1"/>
  <c r="BB40" i="29"/>
  <c r="BB39" i="29" s="1"/>
  <c r="BB37" i="29" s="1"/>
  <c r="BB10" i="29" s="1"/>
  <c r="BA40" i="29"/>
  <c r="BA39" i="29" s="1"/>
  <c r="BA37" i="29" s="1"/>
  <c r="BA10" i="29" s="1"/>
  <c r="AZ40" i="29"/>
  <c r="AZ39" i="29" s="1"/>
  <c r="AZ37" i="29" s="1"/>
  <c r="AZ10" i="29" s="1"/>
  <c r="AY40" i="29"/>
  <c r="AX40" i="29"/>
  <c r="AW40" i="29"/>
  <c r="AV40" i="29"/>
  <c r="AV39" i="29" s="1"/>
  <c r="AV37" i="29" s="1"/>
  <c r="AV10" i="29" s="1"/>
  <c r="AU40" i="29"/>
  <c r="AU39" i="29" s="1"/>
  <c r="AU37" i="29" s="1"/>
  <c r="AT40" i="29"/>
  <c r="AT39" i="29" s="1"/>
  <c r="AT37" i="29" s="1"/>
  <c r="AT10" i="29" s="1"/>
  <c r="AS40" i="29"/>
  <c r="AS39" i="29" s="1"/>
  <c r="AS37" i="29" s="1"/>
  <c r="AS10" i="29" s="1"/>
  <c r="AD40" i="29"/>
  <c r="AC40" i="29"/>
  <c r="AC39" i="29" s="1"/>
  <c r="AC37" i="29" s="1"/>
  <c r="AB40" i="29"/>
  <c r="AA40" i="29"/>
  <c r="Z40" i="29"/>
  <c r="Z39" i="29" s="1"/>
  <c r="Z37" i="29" s="1"/>
  <c r="Z10" i="29" s="1"/>
  <c r="Y40" i="29"/>
  <c r="Y39" i="29" s="1"/>
  <c r="Y37" i="29" s="1"/>
  <c r="X40" i="29"/>
  <c r="X39" i="29" s="1"/>
  <c r="X37" i="29" s="1"/>
  <c r="W40" i="29"/>
  <c r="W39" i="29" s="1"/>
  <c r="W37" i="29" s="1"/>
  <c r="V40" i="29"/>
  <c r="U40" i="29"/>
  <c r="U39" i="29" s="1"/>
  <c r="U37" i="29" s="1"/>
  <c r="T40" i="29"/>
  <c r="S40" i="29"/>
  <c r="R40" i="29"/>
  <c r="R39" i="29" s="1"/>
  <c r="R37" i="29" s="1"/>
  <c r="Q40" i="29"/>
  <c r="Q39" i="29" s="1"/>
  <c r="Q37" i="29" s="1"/>
  <c r="Q10" i="29" s="1"/>
  <c r="P40" i="29"/>
  <c r="P39" i="29" s="1"/>
  <c r="P37" i="29" s="1"/>
  <c r="O40" i="29"/>
  <c r="O39" i="29" s="1"/>
  <c r="O37" i="29" s="1"/>
  <c r="N40" i="29"/>
  <c r="N39" i="29" s="1"/>
  <c r="N37" i="29" s="1"/>
  <c r="M40" i="29"/>
  <c r="L40" i="29"/>
  <c r="K40" i="29"/>
  <c r="J40" i="29"/>
  <c r="J39" i="29" s="1"/>
  <c r="I40" i="29"/>
  <c r="DW39" i="29"/>
  <c r="DW37" i="29" s="1"/>
  <c r="DV39" i="29"/>
  <c r="DV37" i="29" s="1"/>
  <c r="DU39" i="29"/>
  <c r="DU37" i="29" s="1"/>
  <c r="DO39" i="29"/>
  <c r="DO37" i="29" s="1"/>
  <c r="DN39" i="29"/>
  <c r="DM39" i="29"/>
  <c r="DM37" i="29" s="1"/>
  <c r="DL39" i="29"/>
  <c r="DL37" i="29" s="1"/>
  <c r="DL10" i="29" s="1"/>
  <c r="CT39" i="29"/>
  <c r="CT37" i="29" s="1"/>
  <c r="CT10" i="29" s="1"/>
  <c r="CR39" i="29"/>
  <c r="CR37" i="29" s="1"/>
  <c r="CQ39" i="29"/>
  <c r="CQ37" i="29" s="1"/>
  <c r="CJ39" i="29"/>
  <c r="CI39" i="29"/>
  <c r="CI37" i="29" s="1"/>
  <c r="CI10" i="29" s="1"/>
  <c r="CG39" i="29"/>
  <c r="CG37" i="29" s="1"/>
  <c r="CG10" i="29" s="1"/>
  <c r="CB39" i="29"/>
  <c r="BN39" i="29"/>
  <c r="BM39" i="29"/>
  <c r="BM37" i="29" s="1"/>
  <c r="BM10" i="29" s="1"/>
  <c r="BI39" i="29"/>
  <c r="BI37" i="29" s="1"/>
  <c r="BH39" i="29"/>
  <c r="BH37" i="29" s="1"/>
  <c r="BG39" i="29"/>
  <c r="BG37" i="29" s="1"/>
  <c r="BF39" i="29"/>
  <c r="BE39" i="29"/>
  <c r="AY39" i="29"/>
  <c r="AY37" i="29" s="1"/>
  <c r="AX39" i="29"/>
  <c r="AX37" i="29" s="1"/>
  <c r="AW39" i="29"/>
  <c r="AW37" i="29" s="1"/>
  <c r="AW10" i="29" s="1"/>
  <c r="AR39" i="29"/>
  <c r="AD39" i="29"/>
  <c r="AB39" i="29"/>
  <c r="AA39" i="29"/>
  <c r="AA37" i="29" s="1"/>
  <c r="AA10" i="29" s="1"/>
  <c r="V39" i="29"/>
  <c r="V37" i="29" s="1"/>
  <c r="V10" i="29" s="1"/>
  <c r="T39" i="29"/>
  <c r="T37" i="29" s="1"/>
  <c r="T10" i="29" s="1"/>
  <c r="S39" i="29"/>
  <c r="S37" i="29" s="1"/>
  <c r="S10" i="29" s="1"/>
  <c r="L39" i="29"/>
  <c r="K39" i="29"/>
  <c r="I39" i="29"/>
  <c r="I37" i="29" s="1"/>
  <c r="H39" i="29"/>
  <c r="H37" i="29" s="1"/>
  <c r="H10" i="29" s="1"/>
  <c r="DQ37" i="29"/>
  <c r="DQ10" i="29" s="1"/>
  <c r="DN37" i="29"/>
  <c r="CN37" i="29"/>
  <c r="CN10" i="29" s="1"/>
  <c r="CM37" i="29"/>
  <c r="CM10" i="29" s="1"/>
  <c r="CL37" i="29"/>
  <c r="CL10" i="29" s="1"/>
  <c r="CJ37" i="29"/>
  <c r="CJ10" i="29" s="1"/>
  <c r="CD37" i="29"/>
  <c r="CB37" i="29"/>
  <c r="BN37" i="29"/>
  <c r="BN10" i="29" s="1"/>
  <c r="BL37" i="29"/>
  <c r="BL10" i="29" s="1"/>
  <c r="BF37" i="29"/>
  <c r="BF10" i="29" s="1"/>
  <c r="BE37" i="29"/>
  <c r="BE10" i="29" s="1"/>
  <c r="AR37" i="29"/>
  <c r="AR10" i="29" s="1"/>
  <c r="AD37" i="29"/>
  <c r="AD10" i="29" s="1"/>
  <c r="AB37" i="29"/>
  <c r="AB10" i="29" s="1"/>
  <c r="L37" i="29"/>
  <c r="L10" i="29" s="1"/>
  <c r="K37" i="29"/>
  <c r="K10" i="29" s="1"/>
  <c r="J37" i="29"/>
  <c r="J10" i="29" s="1"/>
  <c r="G32" i="29"/>
  <c r="DL29" i="29"/>
  <c r="CB29" i="29"/>
  <c r="AR29" i="29"/>
  <c r="AR9" i="29" s="1"/>
  <c r="H29" i="29"/>
  <c r="H9" i="29" s="1"/>
  <c r="DW24" i="29"/>
  <c r="DV24" i="29"/>
  <c r="DU24" i="29"/>
  <c r="DT24" i="29"/>
  <c r="DS24" i="29"/>
  <c r="DR24" i="29"/>
  <c r="DQ24" i="29"/>
  <c r="DP24" i="29"/>
  <c r="DO24" i="29"/>
  <c r="DN24" i="29"/>
  <c r="DM24" i="29"/>
  <c r="DL24" i="29"/>
  <c r="DK24" i="29"/>
  <c r="DJ24" i="29"/>
  <c r="DI24" i="29"/>
  <c r="DH24" i="29"/>
  <c r="DG24" i="29"/>
  <c r="DF24" i="29"/>
  <c r="DE24" i="29"/>
  <c r="DD24" i="29"/>
  <c r="DC24" i="29"/>
  <c r="DB24" i="29"/>
  <c r="DA24" i="29"/>
  <c r="CZ24" i="29"/>
  <c r="CY24" i="29"/>
  <c r="CX24" i="29"/>
  <c r="CW24" i="29"/>
  <c r="CV24" i="29"/>
  <c r="CU24" i="29"/>
  <c r="CT24" i="29"/>
  <c r="CS24" i="29"/>
  <c r="CR24" i="29"/>
  <c r="CQ24" i="29"/>
  <c r="CP24" i="29"/>
  <c r="CO24" i="29"/>
  <c r="CN24" i="29"/>
  <c r="CM24" i="29"/>
  <c r="CL24" i="29"/>
  <c r="CK24" i="29"/>
  <c r="CJ24" i="29"/>
  <c r="CI24" i="29"/>
  <c r="CH24" i="29"/>
  <c r="CG24" i="29"/>
  <c r="CF24" i="29"/>
  <c r="CE24" i="29"/>
  <c r="CD24" i="29"/>
  <c r="CC24" i="29"/>
  <c r="CB24" i="29"/>
  <c r="CA24" i="29"/>
  <c r="BZ24" i="29"/>
  <c r="BY24" i="29"/>
  <c r="BX24" i="29"/>
  <c r="BW24" i="29"/>
  <c r="BV24" i="29"/>
  <c r="BU24" i="29"/>
  <c r="BT24" i="29"/>
  <c r="BS24" i="29"/>
  <c r="BR24" i="29"/>
  <c r="BQ24" i="29"/>
  <c r="BP24" i="29"/>
  <c r="BO24" i="29"/>
  <c r="BN24" i="29"/>
  <c r="BM24" i="29"/>
  <c r="BL24" i="29"/>
  <c r="BK24" i="29"/>
  <c r="BJ24" i="29"/>
  <c r="BI24" i="29"/>
  <c r="BH24" i="29"/>
  <c r="BG24" i="29"/>
  <c r="BF24" i="29"/>
  <c r="BE24" i="29"/>
  <c r="BD24" i="29"/>
  <c r="BC24" i="29"/>
  <c r="BB24" i="29"/>
  <c r="BA24" i="29"/>
  <c r="AZ24" i="29"/>
  <c r="AY24" i="29"/>
  <c r="AX24" i="29"/>
  <c r="AW24" i="29"/>
  <c r="AV24" i="29"/>
  <c r="AU24" i="29"/>
  <c r="AT24" i="29"/>
  <c r="AS24" i="29"/>
  <c r="AR24" i="29"/>
  <c r="AQ24" i="29"/>
  <c r="AP24" i="29"/>
  <c r="AO24" i="29"/>
  <c r="AN24" i="29"/>
  <c r="AM24" i="29"/>
  <c r="AL24" i="29"/>
  <c r="AK24" i="29"/>
  <c r="AJ24" i="29"/>
  <c r="AI24" i="29"/>
  <c r="AH24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DW10" i="29"/>
  <c r="DV10" i="29"/>
  <c r="DU10" i="29"/>
  <c r="DO10" i="29"/>
  <c r="DN10" i="29"/>
  <c r="DM10" i="29"/>
  <c r="CS10" i="29"/>
  <c r="CR10" i="29"/>
  <c r="CQ10" i="29"/>
  <c r="CK10" i="29"/>
  <c r="CF10" i="29"/>
  <c r="CE10" i="29"/>
  <c r="CD10" i="29"/>
  <c r="CC10" i="29"/>
  <c r="CB10" i="29"/>
  <c r="BI10" i="29"/>
  <c r="BH10" i="29"/>
  <c r="BG10" i="29"/>
  <c r="AY10" i="29"/>
  <c r="AX10" i="29"/>
  <c r="AU10" i="29"/>
  <c r="AC10" i="29"/>
  <c r="Y10" i="29"/>
  <c r="X10" i="29"/>
  <c r="W10" i="29"/>
  <c r="U10" i="29"/>
  <c r="R10" i="29"/>
  <c r="P10" i="29"/>
  <c r="O10" i="29"/>
  <c r="N10" i="29"/>
  <c r="I10" i="29"/>
  <c r="DL9" i="29"/>
  <c r="CB9" i="29"/>
  <c r="H10" i="26"/>
  <c r="H15" i="26" s="1"/>
  <c r="I10" i="26"/>
  <c r="I15" i="26" s="1"/>
  <c r="J10" i="26"/>
  <c r="J15" i="26" s="1"/>
  <c r="K10" i="26"/>
  <c r="K15" i="26" s="1"/>
  <c r="L10" i="26"/>
  <c r="L15" i="26" s="1"/>
  <c r="M10" i="26"/>
  <c r="M15" i="26" s="1"/>
  <c r="N10" i="26"/>
  <c r="N15" i="26" s="1"/>
  <c r="O10" i="26"/>
  <c r="O15" i="26" s="1"/>
  <c r="P10" i="26"/>
  <c r="P15" i="26" s="1"/>
  <c r="Q10" i="26"/>
  <c r="Q15" i="26" s="1"/>
  <c r="R10" i="26"/>
  <c r="R15" i="26" s="1"/>
  <c r="U10" i="26"/>
  <c r="W10" i="26"/>
  <c r="W15" i="26" s="1"/>
  <c r="X10" i="26"/>
  <c r="X15" i="26" s="1"/>
  <c r="Y10" i="26"/>
  <c r="Y15" i="26" s="1"/>
  <c r="Z10" i="26"/>
  <c r="Z15" i="26" s="1"/>
  <c r="AE10" i="26"/>
  <c r="AE15" i="26" s="1"/>
  <c r="AF10" i="26"/>
  <c r="AF15" i="26" s="1"/>
  <c r="AG10" i="26"/>
  <c r="AG15" i="26" s="1"/>
  <c r="AH10" i="26"/>
  <c r="AH15" i="26" s="1"/>
  <c r="AM10" i="26"/>
  <c r="AM15" i="26" s="1"/>
  <c r="AN10" i="26"/>
  <c r="AN15" i="26" s="1"/>
  <c r="AO10" i="26"/>
  <c r="AO15" i="26" s="1"/>
  <c r="AP10" i="26"/>
  <c r="AP15" i="26" s="1"/>
  <c r="AU10" i="26"/>
  <c r="AU15" i="26" s="1"/>
  <c r="AV10" i="26"/>
  <c r="AV15" i="26" s="1"/>
  <c r="AW10" i="26"/>
  <c r="AW15" i="26" s="1"/>
  <c r="AX10" i="26"/>
  <c r="AX15" i="26" s="1"/>
  <c r="BC10" i="26"/>
  <c r="BC15" i="26" s="1"/>
  <c r="BD10" i="26"/>
  <c r="BD15" i="26" s="1"/>
  <c r="BE10" i="26"/>
  <c r="BE15" i="26" s="1"/>
  <c r="BF10" i="26"/>
  <c r="BF15" i="26" s="1"/>
  <c r="BK10" i="26"/>
  <c r="BK15" i="26" s="1"/>
  <c r="BL10" i="26"/>
  <c r="BL15" i="26" s="1"/>
  <c r="BM10" i="26"/>
  <c r="BM15" i="26" s="1"/>
  <c r="BN10" i="26"/>
  <c r="BN15" i="26" s="1"/>
  <c r="BS10" i="26"/>
  <c r="BS15" i="26" s="1"/>
  <c r="BT10" i="26"/>
  <c r="BT15" i="26" s="1"/>
  <c r="BU10" i="26"/>
  <c r="BU15" i="26" s="1"/>
  <c r="BV10" i="26"/>
  <c r="BV15" i="26" s="1"/>
  <c r="CA10" i="26"/>
  <c r="CA15" i="26" s="1"/>
  <c r="CB10" i="26"/>
  <c r="CB15" i="26" s="1"/>
  <c r="CC10" i="26"/>
  <c r="CC15" i="26" s="1"/>
  <c r="CD10" i="26"/>
  <c r="CD15" i="26" s="1"/>
  <c r="CI10" i="26"/>
  <c r="CI15" i="26" s="1"/>
  <c r="CJ10" i="26"/>
  <c r="CJ15" i="26" s="1"/>
  <c r="CK10" i="26"/>
  <c r="CK15" i="26" s="1"/>
  <c r="CL10" i="26"/>
  <c r="CL15" i="26" s="1"/>
  <c r="CQ10" i="26"/>
  <c r="CQ15" i="26" s="1"/>
  <c r="CR10" i="26"/>
  <c r="CR15" i="26" s="1"/>
  <c r="CS10" i="26"/>
  <c r="CS15" i="26" s="1"/>
  <c r="CT10" i="26"/>
  <c r="CT15" i="26" s="1"/>
  <c r="CY10" i="26"/>
  <c r="CY15" i="26" s="1"/>
  <c r="CZ10" i="26"/>
  <c r="CZ15" i="26" s="1"/>
  <c r="DA10" i="26"/>
  <c r="DA15" i="26" s="1"/>
  <c r="DB10" i="26"/>
  <c r="DB15" i="26" s="1"/>
  <c r="DG10" i="26"/>
  <c r="DG15" i="26" s="1"/>
  <c r="DH10" i="26"/>
  <c r="DH15" i="26" s="1"/>
  <c r="DI10" i="26"/>
  <c r="DI15" i="26" s="1"/>
  <c r="DJ10" i="26"/>
  <c r="DJ15" i="26" s="1"/>
  <c r="DO10" i="26"/>
  <c r="DO15" i="26" s="1"/>
  <c r="DP10" i="26"/>
  <c r="DP15" i="26" s="1"/>
  <c r="DQ10" i="26"/>
  <c r="DQ15" i="26" s="1"/>
  <c r="DR10" i="26"/>
  <c r="DR15" i="26" s="1"/>
  <c r="G10" i="26"/>
  <c r="G15" i="26" s="1"/>
  <c r="E8" i="28"/>
  <c r="F8" i="28"/>
  <c r="G8" i="28"/>
  <c r="H8" i="28"/>
  <c r="I8" i="28"/>
  <c r="I21" i="28" s="1"/>
  <c r="J8" i="28"/>
  <c r="K8" i="28"/>
  <c r="L8" i="28"/>
  <c r="L21" i="28" s="1"/>
  <c r="M8" i="28"/>
  <c r="N8" i="28"/>
  <c r="O8" i="28"/>
  <c r="P8" i="28"/>
  <c r="Q8" i="28"/>
  <c r="R8" i="28"/>
  <c r="S8" i="28"/>
  <c r="T8" i="28"/>
  <c r="T21" i="28" s="1"/>
  <c r="U8" i="28"/>
  <c r="V8" i="28"/>
  <c r="W8" i="28"/>
  <c r="X8" i="28"/>
  <c r="Y8" i="28"/>
  <c r="Y21" i="28" s="1"/>
  <c r="Z8" i="28"/>
  <c r="AA8" i="28"/>
  <c r="AB8" i="28"/>
  <c r="AB21" i="28" s="1"/>
  <c r="AC8" i="28"/>
  <c r="AD8" i="28"/>
  <c r="AE8" i="28"/>
  <c r="AF8" i="28"/>
  <c r="AG8" i="28"/>
  <c r="AG21" i="28" s="1"/>
  <c r="AH8" i="28"/>
  <c r="AI8" i="28"/>
  <c r="AJ8" i="28"/>
  <c r="AK8" i="28"/>
  <c r="AL8" i="28"/>
  <c r="AM8" i="28"/>
  <c r="AN8" i="28"/>
  <c r="AO8" i="28"/>
  <c r="AO21" i="28" s="1"/>
  <c r="AP8" i="28"/>
  <c r="AQ8" i="28"/>
  <c r="AR8" i="28"/>
  <c r="AR21" i="28" s="1"/>
  <c r="AS8" i="28"/>
  <c r="AT8" i="28"/>
  <c r="AT21" i="28" s="1"/>
  <c r="AU8" i="28"/>
  <c r="AV8" i="28"/>
  <c r="AW8" i="28"/>
  <c r="AW21" i="28" s="1"/>
  <c r="AX8" i="28"/>
  <c r="AY8" i="28"/>
  <c r="AZ8" i="28"/>
  <c r="AZ21" i="28" s="1"/>
  <c r="BA8" i="28"/>
  <c r="BB8" i="28"/>
  <c r="BC8" i="28"/>
  <c r="BD8" i="28"/>
  <c r="BE8" i="28"/>
  <c r="BE21" i="28" s="1"/>
  <c r="BF8" i="28"/>
  <c r="BG8" i="28"/>
  <c r="BH8" i="28"/>
  <c r="BH21" i="28" s="1"/>
  <c r="BI8" i="28"/>
  <c r="BJ8" i="28"/>
  <c r="BK8" i="28"/>
  <c r="BL8" i="28"/>
  <c r="BM8" i="28"/>
  <c r="BM21" i="28" s="1"/>
  <c r="BN8" i="28"/>
  <c r="BO8" i="28"/>
  <c r="BP8" i="28"/>
  <c r="BP21" i="28" s="1"/>
  <c r="BQ8" i="28"/>
  <c r="BR8" i="28"/>
  <c r="BS8" i="28"/>
  <c r="BT8" i="28"/>
  <c r="BU8" i="28"/>
  <c r="BU21" i="28" s="1"/>
  <c r="BV8" i="28"/>
  <c r="BW8" i="28"/>
  <c r="BX8" i="28"/>
  <c r="BX21" i="28" s="1"/>
  <c r="BY8" i="28"/>
  <c r="BZ8" i="28"/>
  <c r="CA8" i="28"/>
  <c r="CB8" i="28"/>
  <c r="CC8" i="28"/>
  <c r="CC21" i="28" s="1"/>
  <c r="CD8" i="28"/>
  <c r="CE8" i="28"/>
  <c r="CF8" i="28"/>
  <c r="CF21" i="28" s="1"/>
  <c r="CG8" i="28"/>
  <c r="CH8" i="28"/>
  <c r="CH21" i="28" s="1"/>
  <c r="CI8" i="28"/>
  <c r="CJ8" i="28"/>
  <c r="CK8" i="28"/>
  <c r="CK21" i="28" s="1"/>
  <c r="CL8" i="28"/>
  <c r="CM8" i="28"/>
  <c r="CN8" i="28"/>
  <c r="CN21" i="28" s="1"/>
  <c r="CO8" i="28"/>
  <c r="CP8" i="28"/>
  <c r="CQ8" i="28"/>
  <c r="CR8" i="28"/>
  <c r="CS8" i="28"/>
  <c r="CS21" i="28" s="1"/>
  <c r="CT8" i="28"/>
  <c r="CU8" i="28"/>
  <c r="CV8" i="28"/>
  <c r="CW8" i="28"/>
  <c r="CX8" i="28"/>
  <c r="CY8" i="28"/>
  <c r="CZ8" i="28"/>
  <c r="DA8" i="28"/>
  <c r="DA21" i="28" s="1"/>
  <c r="DB8" i="28"/>
  <c r="DC8" i="28"/>
  <c r="DD8" i="28"/>
  <c r="DD21" i="28" s="1"/>
  <c r="DE8" i="28"/>
  <c r="DF8" i="28"/>
  <c r="DF21" i="28" s="1"/>
  <c r="DG8" i="28"/>
  <c r="DH8" i="28"/>
  <c r="DI8" i="28"/>
  <c r="DI21" i="28" s="1"/>
  <c r="DJ8" i="28"/>
  <c r="DK8" i="28"/>
  <c r="DL8" i="28"/>
  <c r="DL21" i="28" s="1"/>
  <c r="DM8" i="28"/>
  <c r="DN8" i="28"/>
  <c r="DO8" i="28"/>
  <c r="DP8" i="28"/>
  <c r="DQ8" i="28"/>
  <c r="DQ21" i="28" s="1"/>
  <c r="DR8" i="28"/>
  <c r="DS8" i="28"/>
  <c r="E17" i="28"/>
  <c r="F17" i="28"/>
  <c r="G17" i="28"/>
  <c r="H17" i="28"/>
  <c r="I17" i="28"/>
  <c r="J17" i="28"/>
  <c r="J21" i="28" s="1"/>
  <c r="K17" i="28"/>
  <c r="L17" i="28"/>
  <c r="M17" i="28"/>
  <c r="N17" i="28"/>
  <c r="O17" i="28"/>
  <c r="P17" i="28"/>
  <c r="Q17" i="28"/>
  <c r="R17" i="28"/>
  <c r="R21" i="28" s="1"/>
  <c r="S17" i="28"/>
  <c r="T17" i="28"/>
  <c r="U17" i="28"/>
  <c r="V17" i="28"/>
  <c r="W17" i="28"/>
  <c r="X17" i="28"/>
  <c r="Y17" i="28"/>
  <c r="Z17" i="28"/>
  <c r="Z21" i="28" s="1"/>
  <c r="AA17" i="28"/>
  <c r="AB17" i="28"/>
  <c r="AC17" i="28"/>
  <c r="AD17" i="28"/>
  <c r="AE17" i="28"/>
  <c r="AF17" i="28"/>
  <c r="AG17" i="28"/>
  <c r="AH17" i="28"/>
  <c r="AH21" i="28" s="1"/>
  <c r="AI17" i="28"/>
  <c r="AJ17" i="28"/>
  <c r="AK17" i="28"/>
  <c r="AL17" i="28"/>
  <c r="AM17" i="28"/>
  <c r="AN17" i="28"/>
  <c r="AO17" i="28"/>
  <c r="AP17" i="28"/>
  <c r="AP21" i="28" s="1"/>
  <c r="AQ17" i="28"/>
  <c r="AR17" i="28"/>
  <c r="AS17" i="28"/>
  <c r="AT17" i="28"/>
  <c r="AU17" i="28"/>
  <c r="AV17" i="28"/>
  <c r="AW17" i="28"/>
  <c r="AX17" i="28"/>
  <c r="AX21" i="28" s="1"/>
  <c r="AY17" i="28"/>
  <c r="AZ17" i="28"/>
  <c r="BA17" i="28"/>
  <c r="BB17" i="28"/>
  <c r="BC17" i="28"/>
  <c r="BD17" i="28"/>
  <c r="BE17" i="28"/>
  <c r="BF17" i="28"/>
  <c r="BG17" i="28"/>
  <c r="BH17" i="28"/>
  <c r="BI17" i="28"/>
  <c r="BJ17" i="28"/>
  <c r="BK17" i="28"/>
  <c r="BL17" i="28"/>
  <c r="BM17" i="28"/>
  <c r="BN17" i="28"/>
  <c r="BN21" i="28" s="1"/>
  <c r="BO17" i="28"/>
  <c r="BP17" i="28"/>
  <c r="BQ17" i="28"/>
  <c r="BR17" i="28"/>
  <c r="BS17" i="28"/>
  <c r="BT17" i="28"/>
  <c r="BU17" i="28"/>
  <c r="BV17" i="28"/>
  <c r="BV21" i="28" s="1"/>
  <c r="BW17" i="28"/>
  <c r="BX17" i="28"/>
  <c r="BY17" i="28"/>
  <c r="BZ17" i="28"/>
  <c r="CA17" i="28"/>
  <c r="CA21" i="28" s="1"/>
  <c r="CB17" i="28"/>
  <c r="CC17" i="28"/>
  <c r="CD17" i="28"/>
  <c r="CD21" i="28" s="1"/>
  <c r="CE17" i="28"/>
  <c r="CF17" i="28"/>
  <c r="CG17" i="28"/>
  <c r="CH17" i="28"/>
  <c r="CI17" i="28"/>
  <c r="CJ17" i="28"/>
  <c r="CK17" i="28"/>
  <c r="CL17" i="28"/>
  <c r="CL21" i="28" s="1"/>
  <c r="CM17" i="28"/>
  <c r="CN17" i="28"/>
  <c r="CO17" i="28"/>
  <c r="CP17" i="28"/>
  <c r="CQ17" i="28"/>
  <c r="CR17" i="28"/>
  <c r="CS17" i="28"/>
  <c r="CT17" i="28"/>
  <c r="CT21" i="28" s="1"/>
  <c r="CU17" i="28"/>
  <c r="CV17" i="28"/>
  <c r="CW17" i="28"/>
  <c r="CX17" i="28"/>
  <c r="CY17" i="28"/>
  <c r="CZ17" i="28"/>
  <c r="DA17" i="28"/>
  <c r="DB17" i="28"/>
  <c r="DB21" i="28" s="1"/>
  <c r="DC17" i="28"/>
  <c r="DD17" i="28"/>
  <c r="DE17" i="28"/>
  <c r="DF17" i="28"/>
  <c r="DG17" i="28"/>
  <c r="DH17" i="28"/>
  <c r="DI17" i="28"/>
  <c r="DJ17" i="28"/>
  <c r="DJ21" i="28" s="1"/>
  <c r="DK17" i="28"/>
  <c r="DL17" i="28"/>
  <c r="DM17" i="28"/>
  <c r="DN17" i="28"/>
  <c r="DO17" i="28"/>
  <c r="DP17" i="28"/>
  <c r="DQ17" i="28"/>
  <c r="DR17" i="28"/>
  <c r="DR21" i="28" s="1"/>
  <c r="DS17" i="28"/>
  <c r="DS20" i="28"/>
  <c r="DS21" i="28" s="1"/>
  <c r="DR20" i="28"/>
  <c r="DQ20" i="28"/>
  <c r="DP20" i="28"/>
  <c r="DP21" i="28" s="1"/>
  <c r="DO20" i="28"/>
  <c r="DN20" i="28"/>
  <c r="DM20" i="28"/>
  <c r="DL20" i="28"/>
  <c r="DK20" i="28"/>
  <c r="DK21" i="28" s="1"/>
  <c r="DJ20" i="28"/>
  <c r="DI20" i="28"/>
  <c r="DH20" i="28"/>
  <c r="DG20" i="28"/>
  <c r="DF20" i="28"/>
  <c r="DE20" i="28"/>
  <c r="DD20" i="28"/>
  <c r="DC20" i="28"/>
  <c r="DC21" i="28" s="1"/>
  <c r="DB20" i="28"/>
  <c r="DA20" i="28"/>
  <c r="CZ20" i="28"/>
  <c r="CZ21" i="28" s="1"/>
  <c r="CY20" i="28"/>
  <c r="CX20" i="28"/>
  <c r="CW20" i="28"/>
  <c r="CV20" i="28"/>
  <c r="CU20" i="28"/>
  <c r="CU21" i="28" s="1"/>
  <c r="CT20" i="28"/>
  <c r="CS20" i="28"/>
  <c r="CR20" i="28"/>
  <c r="CR21" i="28" s="1"/>
  <c r="CQ20" i="28"/>
  <c r="CP20" i="28"/>
  <c r="CO20" i="28"/>
  <c r="CN20" i="28"/>
  <c r="CM20" i="28"/>
  <c r="CL20" i="28"/>
  <c r="CK20" i="28"/>
  <c r="CJ20" i="28"/>
  <c r="CI20" i="28"/>
  <c r="CH20" i="28"/>
  <c r="CG20" i="28"/>
  <c r="CF20" i="28"/>
  <c r="CE20" i="28"/>
  <c r="CE21" i="28" s="1"/>
  <c r="CD20" i="28"/>
  <c r="CC20" i="28"/>
  <c r="CB20" i="28"/>
  <c r="CA20" i="28"/>
  <c r="BZ20" i="28"/>
  <c r="BY20" i="28"/>
  <c r="BX20" i="28"/>
  <c r="BW20" i="28"/>
  <c r="BW21" i="28" s="1"/>
  <c r="BV20" i="28"/>
  <c r="BU20" i="28"/>
  <c r="BT20" i="28"/>
  <c r="BS20" i="28"/>
  <c r="BR20" i="28"/>
  <c r="BQ20" i="28"/>
  <c r="BP20" i="28"/>
  <c r="BO20" i="28"/>
  <c r="BO21" i="28" s="1"/>
  <c r="BN20" i="28"/>
  <c r="BM20" i="28"/>
  <c r="BL20" i="28"/>
  <c r="BK20" i="28"/>
  <c r="BJ20" i="28"/>
  <c r="BI20" i="28"/>
  <c r="BH20" i="28"/>
  <c r="BG20" i="28"/>
  <c r="BG21" i="28" s="1"/>
  <c r="BF20" i="28"/>
  <c r="BE20" i="28"/>
  <c r="BD20" i="28"/>
  <c r="BC20" i="28"/>
  <c r="BB20" i="28"/>
  <c r="BA20" i="28"/>
  <c r="AZ20" i="28"/>
  <c r="AY20" i="28"/>
  <c r="AY21" i="28" s="1"/>
  <c r="AX20" i="28"/>
  <c r="AW20" i="28"/>
  <c r="AV20" i="28"/>
  <c r="AU20" i="28"/>
  <c r="AT20" i="28"/>
  <c r="AS20" i="28"/>
  <c r="AR20" i="28"/>
  <c r="AQ20" i="28"/>
  <c r="AQ21" i="28" s="1"/>
  <c r="AP20" i="28"/>
  <c r="AO20" i="28"/>
  <c r="AN20" i="28"/>
  <c r="AN21" i="28" s="1"/>
  <c r="AM20" i="28"/>
  <c r="AL20" i="28"/>
  <c r="AK20" i="28"/>
  <c r="AJ20" i="28"/>
  <c r="AI20" i="28"/>
  <c r="AI21" i="28" s="1"/>
  <c r="AH20" i="28"/>
  <c r="AG20" i="28"/>
  <c r="AF20" i="28"/>
  <c r="AE20" i="28"/>
  <c r="AD20" i="28"/>
  <c r="AC20" i="28"/>
  <c r="AB20" i="28"/>
  <c r="AA20" i="28"/>
  <c r="Z20" i="28"/>
  <c r="Y20" i="28"/>
  <c r="X20" i="28"/>
  <c r="W20" i="28"/>
  <c r="V20" i="28"/>
  <c r="U20" i="28"/>
  <c r="T20" i="28"/>
  <c r="S20" i="28"/>
  <c r="S21" i="28" s="1"/>
  <c r="R20" i="28"/>
  <c r="Q20" i="28"/>
  <c r="P20" i="28"/>
  <c r="P21" i="28" s="1"/>
  <c r="O20" i="28"/>
  <c r="N20" i="28"/>
  <c r="M20" i="28"/>
  <c r="L20" i="28"/>
  <c r="K20" i="28"/>
  <c r="K21" i="28" s="1"/>
  <c r="J20" i="28"/>
  <c r="I20" i="28"/>
  <c r="H20" i="28"/>
  <c r="G20" i="28"/>
  <c r="F20" i="28"/>
  <c r="E20" i="28"/>
  <c r="D20" i="28"/>
  <c r="C19" i="28"/>
  <c r="C18" i="28"/>
  <c r="D17" i="28"/>
  <c r="C17" i="28"/>
  <c r="DO21" i="28"/>
  <c r="CY21" i="28"/>
  <c r="CV21" i="28"/>
  <c r="CM21" i="28"/>
  <c r="CB21" i="28"/>
  <c r="BL21" i="28"/>
  <c r="BK21" i="28"/>
  <c r="BF21" i="28"/>
  <c r="BD21" i="28"/>
  <c r="AM21" i="28"/>
  <c r="AJ21" i="28"/>
  <c r="AA21" i="28"/>
  <c r="W21" i="28"/>
  <c r="V21" i="28"/>
  <c r="Q21" i="28"/>
  <c r="D8" i="28"/>
  <c r="C7" i="28"/>
  <c r="C6" i="28"/>
  <c r="C5" i="28"/>
  <c r="H19" i="27"/>
  <c r="H11" i="27"/>
  <c r="DV46" i="26"/>
  <c r="DU46" i="26"/>
  <c r="DT46" i="26"/>
  <c r="DS46" i="26"/>
  <c r="DR46" i="26"/>
  <c r="DQ46" i="26"/>
  <c r="DP46" i="26"/>
  <c r="DO46" i="26"/>
  <c r="DN46" i="26"/>
  <c r="DM46" i="26"/>
  <c r="DL46" i="26"/>
  <c r="DK46" i="26"/>
  <c r="DJ46" i="26"/>
  <c r="DI46" i="26"/>
  <c r="DH46" i="26"/>
  <c r="DG46" i="26"/>
  <c r="DF46" i="26"/>
  <c r="DE46" i="26"/>
  <c r="DD46" i="26"/>
  <c r="DC46" i="26"/>
  <c r="DB46" i="26"/>
  <c r="DA46" i="26"/>
  <c r="CZ46" i="26"/>
  <c r="CY46" i="26"/>
  <c r="CX46" i="26"/>
  <c r="CW46" i="26"/>
  <c r="CV46" i="26"/>
  <c r="CU46" i="26"/>
  <c r="CT46" i="26"/>
  <c r="CS46" i="26"/>
  <c r="CR46" i="26"/>
  <c r="CQ46" i="26"/>
  <c r="CP46" i="26"/>
  <c r="CO46" i="26"/>
  <c r="CN46" i="26"/>
  <c r="CM46" i="26"/>
  <c r="CL46" i="26"/>
  <c r="CK46" i="26"/>
  <c r="CJ46" i="26"/>
  <c r="CI46" i="26"/>
  <c r="CH46" i="26"/>
  <c r="CG46" i="26"/>
  <c r="CF46" i="26"/>
  <c r="CE46" i="26"/>
  <c r="CD46" i="26"/>
  <c r="CC46" i="26"/>
  <c r="CB46" i="26"/>
  <c r="CA46" i="26"/>
  <c r="BZ46" i="26"/>
  <c r="BY46" i="26"/>
  <c r="BX46" i="26"/>
  <c r="BW46" i="26"/>
  <c r="BV46" i="26"/>
  <c r="BU46" i="26"/>
  <c r="BT46" i="26"/>
  <c r="BS46" i="26"/>
  <c r="BR46" i="26"/>
  <c r="BQ46" i="26"/>
  <c r="BP46" i="26"/>
  <c r="BO46" i="26"/>
  <c r="BN46" i="26"/>
  <c r="BM46" i="26"/>
  <c r="BL46" i="26"/>
  <c r="BK46" i="26"/>
  <c r="BJ46" i="26"/>
  <c r="BI46" i="26"/>
  <c r="BH46" i="26"/>
  <c r="BG46" i="26"/>
  <c r="BF46" i="26"/>
  <c r="BE46" i="26"/>
  <c r="BD46" i="26"/>
  <c r="BC46" i="26"/>
  <c r="BB46" i="26"/>
  <c r="BA46" i="26"/>
  <c r="AZ46" i="26"/>
  <c r="AY46" i="26"/>
  <c r="AX46" i="26"/>
  <c r="AW46" i="26"/>
  <c r="AV46" i="26"/>
  <c r="AU46" i="26"/>
  <c r="AT46" i="26"/>
  <c r="AS46" i="26"/>
  <c r="AR46" i="26"/>
  <c r="AQ46" i="26"/>
  <c r="AP46" i="26"/>
  <c r="AO46" i="26"/>
  <c r="AN46" i="26"/>
  <c r="AM46" i="26"/>
  <c r="AL46" i="26"/>
  <c r="AK46" i="26"/>
  <c r="AJ46" i="26"/>
  <c r="AI46" i="26"/>
  <c r="AH46" i="26"/>
  <c r="AG46" i="26"/>
  <c r="AF46" i="26"/>
  <c r="AE46" i="26"/>
  <c r="AD46" i="26"/>
  <c r="AC46" i="26"/>
  <c r="AB46" i="26"/>
  <c r="AA46" i="26"/>
  <c r="Z46" i="26"/>
  <c r="Y46" i="26"/>
  <c r="X46" i="26"/>
  <c r="W46" i="26"/>
  <c r="V46" i="26"/>
  <c r="U46" i="26"/>
  <c r="T46" i="26"/>
  <c r="S46" i="26"/>
  <c r="R46" i="26"/>
  <c r="Q46" i="26"/>
  <c r="P46" i="26"/>
  <c r="O46" i="26"/>
  <c r="N46" i="26"/>
  <c r="M46" i="26"/>
  <c r="L46" i="26"/>
  <c r="K46" i="26"/>
  <c r="J46" i="26"/>
  <c r="I46" i="26"/>
  <c r="H46" i="26"/>
  <c r="G46" i="26"/>
  <c r="F45" i="26"/>
  <c r="E45" i="26"/>
  <c r="D45" i="26"/>
  <c r="F44" i="26"/>
  <c r="E44" i="26"/>
  <c r="D44" i="26"/>
  <c r="F43" i="26"/>
  <c r="E43" i="26"/>
  <c r="D43" i="26"/>
  <c r="F42" i="26"/>
  <c r="E42" i="26"/>
  <c r="D42" i="26"/>
  <c r="F41" i="26"/>
  <c r="E41" i="26"/>
  <c r="D41" i="26"/>
  <c r="AO39" i="26"/>
  <c r="AN39" i="26"/>
  <c r="AM39" i="26"/>
  <c r="AL39" i="26"/>
  <c r="AK39" i="26"/>
  <c r="AJ39" i="26"/>
  <c r="AI39" i="26"/>
  <c r="AH39" i="26"/>
  <c r="AG39" i="26"/>
  <c r="AF39" i="26"/>
  <c r="AE39" i="26"/>
  <c r="AD39" i="26"/>
  <c r="AC39" i="26"/>
  <c r="AB39" i="26"/>
  <c r="AA39" i="26"/>
  <c r="Z39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8" i="26"/>
  <c r="E38" i="26"/>
  <c r="D38" i="26"/>
  <c r="F37" i="26"/>
  <c r="E37" i="26"/>
  <c r="D37" i="26"/>
  <c r="F36" i="26"/>
  <c r="E36" i="26"/>
  <c r="D36" i="26"/>
  <c r="DL39" i="26"/>
  <c r="CB39" i="26"/>
  <c r="AR39" i="26"/>
  <c r="F35" i="26"/>
  <c r="E35" i="26"/>
  <c r="D35" i="26"/>
  <c r="D39" i="26" s="1"/>
  <c r="F30" i="26"/>
  <c r="E30" i="26"/>
  <c r="D30" i="26"/>
  <c r="F29" i="26"/>
  <c r="E29" i="26"/>
  <c r="D29" i="26"/>
  <c r="F28" i="26"/>
  <c r="E28" i="26"/>
  <c r="D28" i="26"/>
  <c r="F22" i="26"/>
  <c r="E22" i="26"/>
  <c r="D22" i="26"/>
  <c r="DV21" i="26"/>
  <c r="DU21" i="26"/>
  <c r="DT21" i="26"/>
  <c r="DS21" i="26"/>
  <c r="DR21" i="26"/>
  <c r="DQ21" i="26"/>
  <c r="DP21" i="26"/>
  <c r="DO21" i="26"/>
  <c r="DN21" i="26"/>
  <c r="DM21" i="26"/>
  <c r="DL21" i="26"/>
  <c r="DK21" i="26"/>
  <c r="DJ21" i="26"/>
  <c r="DI21" i="26"/>
  <c r="DH21" i="26"/>
  <c r="DG21" i="26"/>
  <c r="DF21" i="26"/>
  <c r="DE21" i="26"/>
  <c r="DD21" i="26"/>
  <c r="DC21" i="26"/>
  <c r="DB21" i="26"/>
  <c r="DA21" i="26"/>
  <c r="CZ21" i="26"/>
  <c r="CY21" i="26"/>
  <c r="CX21" i="26"/>
  <c r="CW21" i="26"/>
  <c r="CV21" i="26"/>
  <c r="CU21" i="26"/>
  <c r="CT21" i="26"/>
  <c r="CS21" i="26"/>
  <c r="CR21" i="26"/>
  <c r="CQ21" i="26"/>
  <c r="CP21" i="26"/>
  <c r="CO21" i="26"/>
  <c r="CN21" i="26"/>
  <c r="CM21" i="26"/>
  <c r="CL21" i="26"/>
  <c r="CK21" i="26"/>
  <c r="CJ21" i="26"/>
  <c r="CI21" i="26"/>
  <c r="CH21" i="26"/>
  <c r="CG21" i="26"/>
  <c r="CF21" i="26"/>
  <c r="CE21" i="26"/>
  <c r="CD21" i="26"/>
  <c r="CC21" i="26"/>
  <c r="CB21" i="26"/>
  <c r="CA21" i="26"/>
  <c r="BZ21" i="26"/>
  <c r="BY21" i="26"/>
  <c r="BX21" i="26"/>
  <c r="BW21" i="26"/>
  <c r="BV21" i="26"/>
  <c r="BU21" i="26"/>
  <c r="BT21" i="26"/>
  <c r="BS21" i="26"/>
  <c r="BR21" i="26"/>
  <c r="BQ21" i="26"/>
  <c r="BP21" i="26"/>
  <c r="BO21" i="26"/>
  <c r="BN21" i="26"/>
  <c r="BM21" i="26"/>
  <c r="BL21" i="26"/>
  <c r="BK21" i="26"/>
  <c r="BJ21" i="26"/>
  <c r="BI21" i="26"/>
  <c r="BH21" i="26"/>
  <c r="BG21" i="26"/>
  <c r="BF21" i="26"/>
  <c r="BE21" i="26"/>
  <c r="BD21" i="26"/>
  <c r="BC21" i="26"/>
  <c r="BB21" i="26"/>
  <c r="BA21" i="26"/>
  <c r="AZ21" i="26"/>
  <c r="AY21" i="26"/>
  <c r="AX21" i="26"/>
  <c r="AW21" i="26"/>
  <c r="AV21" i="26"/>
  <c r="AU21" i="26"/>
  <c r="AT21" i="26"/>
  <c r="AS21" i="26"/>
  <c r="AR21" i="26"/>
  <c r="AQ21" i="26"/>
  <c r="AP21" i="26"/>
  <c r="AO21" i="26"/>
  <c r="AN21" i="26"/>
  <c r="AM21" i="26"/>
  <c r="AL21" i="26"/>
  <c r="AK21" i="26"/>
  <c r="F21" i="26" s="1"/>
  <c r="AJ21" i="26"/>
  <c r="AI21" i="26"/>
  <c r="AH21" i="26"/>
  <c r="AG21" i="26"/>
  <c r="AF21" i="26"/>
  <c r="AE21" i="26"/>
  <c r="AD21" i="26"/>
  <c r="AC21" i="26"/>
  <c r="AB21" i="26"/>
  <c r="AA21" i="26"/>
  <c r="Z21" i="26"/>
  <c r="Y21" i="26"/>
  <c r="X21" i="26"/>
  <c r="W21" i="26"/>
  <c r="V21" i="26"/>
  <c r="U21" i="26"/>
  <c r="E21" i="26" s="1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0" i="26"/>
  <c r="E20" i="26"/>
  <c r="D20" i="26"/>
  <c r="F18" i="26"/>
  <c r="E18" i="26"/>
  <c r="D18" i="26"/>
  <c r="F17" i="26"/>
  <c r="E17" i="26"/>
  <c r="D17" i="26"/>
  <c r="F14" i="26"/>
  <c r="E14" i="26"/>
  <c r="D14" i="26"/>
  <c r="F13" i="26"/>
  <c r="E13" i="26"/>
  <c r="D13" i="26"/>
  <c r="F12" i="26"/>
  <c r="E12" i="26"/>
  <c r="D12" i="26"/>
  <c r="F11" i="26"/>
  <c r="E11" i="26"/>
  <c r="D11" i="26"/>
  <c r="CH15" i="26"/>
  <c r="BZ15" i="26"/>
  <c r="BR15" i="26"/>
  <c r="BJ15" i="26"/>
  <c r="F9" i="26"/>
  <c r="E9" i="26"/>
  <c r="D9" i="26"/>
  <c r="F8" i="26"/>
  <c r="E8" i="26"/>
  <c r="D8" i="26"/>
  <c r="F7" i="26"/>
  <c r="E7" i="26"/>
  <c r="D7" i="26"/>
  <c r="F6" i="26"/>
  <c r="E6" i="26"/>
  <c r="D6" i="26"/>
  <c r="F22" i="6"/>
  <c r="G22" i="6"/>
  <c r="H22" i="6"/>
  <c r="I33" i="3" s="1"/>
  <c r="I22" i="6"/>
  <c r="J22" i="6"/>
  <c r="K22" i="6"/>
  <c r="L22" i="6"/>
  <c r="M22" i="6"/>
  <c r="N22" i="6"/>
  <c r="O22" i="6"/>
  <c r="P22" i="6"/>
  <c r="Q22" i="6"/>
  <c r="R22" i="6"/>
  <c r="S22" i="6"/>
  <c r="S8" i="30" s="1"/>
  <c r="T22" i="6"/>
  <c r="U22" i="6"/>
  <c r="U8" i="30" s="1"/>
  <c r="V22" i="6"/>
  <c r="V8" i="30" s="1"/>
  <c r="W22" i="6"/>
  <c r="X22" i="6"/>
  <c r="X8" i="30" s="1"/>
  <c r="Y22" i="6"/>
  <c r="Z22" i="6"/>
  <c r="AA22" i="6"/>
  <c r="AB22" i="6"/>
  <c r="AC22" i="6"/>
  <c r="AC8" i="30" s="1"/>
  <c r="AD22" i="6"/>
  <c r="AD8" i="30" s="1"/>
  <c r="AE22" i="6"/>
  <c r="AE8" i="30" s="1"/>
  <c r="AF22" i="6"/>
  <c r="AF8" i="30" s="1"/>
  <c r="AG22" i="6"/>
  <c r="AH22" i="6"/>
  <c r="AI22" i="6"/>
  <c r="AJ22" i="6"/>
  <c r="AK22" i="6"/>
  <c r="AK8" i="30" s="1"/>
  <c r="AL22" i="6"/>
  <c r="AL8" i="30" s="1"/>
  <c r="AM22" i="6"/>
  <c r="AM8" i="30" s="1"/>
  <c r="AN22" i="6"/>
  <c r="AN8" i="30" s="1"/>
  <c r="AO22" i="6"/>
  <c r="AP22" i="6"/>
  <c r="AQ22" i="6"/>
  <c r="AQ8" i="30" s="1"/>
  <c r="AR22" i="6"/>
  <c r="AS22" i="6"/>
  <c r="AS8" i="30" s="1"/>
  <c r="AT22" i="6"/>
  <c r="AT8" i="30" s="1"/>
  <c r="AU22" i="6"/>
  <c r="AU8" i="30" s="1"/>
  <c r="AV22" i="6"/>
  <c r="AV8" i="30" s="1"/>
  <c r="AW22" i="6"/>
  <c r="AX22" i="6"/>
  <c r="AY22" i="6"/>
  <c r="AY8" i="30" s="1"/>
  <c r="AZ22" i="6"/>
  <c r="BA22" i="6"/>
  <c r="BA8" i="30" s="1"/>
  <c r="BB22" i="6"/>
  <c r="BB8" i="30" s="1"/>
  <c r="BC22" i="6"/>
  <c r="BC8" i="30" s="1"/>
  <c r="BD22" i="6"/>
  <c r="BD8" i="30" s="1"/>
  <c r="BE22" i="6"/>
  <c r="BF22" i="6"/>
  <c r="BG22" i="6"/>
  <c r="BH22" i="6"/>
  <c r="BI22" i="6"/>
  <c r="BI8" i="30" s="1"/>
  <c r="BJ22" i="6"/>
  <c r="BJ8" i="30" s="1"/>
  <c r="BK22" i="6"/>
  <c r="BK8" i="30" s="1"/>
  <c r="BL22" i="6"/>
  <c r="BL8" i="30" s="1"/>
  <c r="BM22" i="6"/>
  <c r="BN22" i="6"/>
  <c r="BO22" i="6"/>
  <c r="BP22" i="6"/>
  <c r="BQ22" i="6"/>
  <c r="BQ8" i="30" s="1"/>
  <c r="BR22" i="6"/>
  <c r="BR8" i="30" s="1"/>
  <c r="BS22" i="6"/>
  <c r="BS8" i="30" s="1"/>
  <c r="BT22" i="6"/>
  <c r="BT8" i="30" s="1"/>
  <c r="BU22" i="6"/>
  <c r="BV22" i="6"/>
  <c r="BW22" i="6"/>
  <c r="BW8" i="30" s="1"/>
  <c r="BX22" i="6"/>
  <c r="BY22" i="6"/>
  <c r="BY8" i="30" s="1"/>
  <c r="BZ22" i="6"/>
  <c r="BZ8" i="30" s="1"/>
  <c r="CA22" i="6"/>
  <c r="CA8" i="30" s="1"/>
  <c r="CB22" i="6"/>
  <c r="CB8" i="30" s="1"/>
  <c r="CC22" i="6"/>
  <c r="CD22" i="6"/>
  <c r="CE22" i="6"/>
  <c r="CF22" i="6"/>
  <c r="CG22" i="6"/>
  <c r="CG8" i="30" s="1"/>
  <c r="CH22" i="6"/>
  <c r="CH8" i="30" s="1"/>
  <c r="CI22" i="6"/>
  <c r="CI8" i="30" s="1"/>
  <c r="CJ22" i="6"/>
  <c r="CJ8" i="30" s="1"/>
  <c r="CK22" i="6"/>
  <c r="CL22" i="6"/>
  <c r="CM22" i="6"/>
  <c r="CN22" i="6"/>
  <c r="CO22" i="6"/>
  <c r="CO8" i="30" s="1"/>
  <c r="CP22" i="6"/>
  <c r="CP8" i="30" s="1"/>
  <c r="CQ22" i="6"/>
  <c r="CQ8" i="30" s="1"/>
  <c r="CR22" i="6"/>
  <c r="CR8" i="30" s="1"/>
  <c r="CS22" i="6"/>
  <c r="CT22" i="6"/>
  <c r="CU22" i="6"/>
  <c r="CU8" i="30" s="1"/>
  <c r="CV22" i="6"/>
  <c r="CW22" i="6"/>
  <c r="CW8" i="30" s="1"/>
  <c r="CX22" i="6"/>
  <c r="CX8" i="30" s="1"/>
  <c r="CY22" i="6"/>
  <c r="CY8" i="30" s="1"/>
  <c r="CZ22" i="6"/>
  <c r="CZ8" i="30" s="1"/>
  <c r="DA22" i="6"/>
  <c r="DB22" i="6"/>
  <c r="DC22" i="6"/>
  <c r="DD22" i="6"/>
  <c r="DE22" i="6"/>
  <c r="DE8" i="30" s="1"/>
  <c r="DF22" i="6"/>
  <c r="DF8" i="30" s="1"/>
  <c r="DG22" i="6"/>
  <c r="DG8" i="30" s="1"/>
  <c r="DH22" i="6"/>
  <c r="DH8" i="30" s="1"/>
  <c r="DI22" i="6"/>
  <c r="DJ22" i="6"/>
  <c r="DK22" i="6"/>
  <c r="DL22" i="6"/>
  <c r="DM22" i="6"/>
  <c r="DM8" i="30" s="1"/>
  <c r="DN22" i="6"/>
  <c r="DN8" i="30" s="1"/>
  <c r="DO22" i="6"/>
  <c r="DO8" i="30" s="1"/>
  <c r="DP22" i="6"/>
  <c r="DP8" i="30" s="1"/>
  <c r="DQ22" i="6"/>
  <c r="DR22" i="6"/>
  <c r="DS22" i="6"/>
  <c r="DT22" i="6"/>
  <c r="F24" i="6"/>
  <c r="I25" i="29" s="1"/>
  <c r="G24" i="6"/>
  <c r="G37" i="6" s="1"/>
  <c r="H24" i="6"/>
  <c r="I15" i="9" s="1"/>
  <c r="I24" i="6"/>
  <c r="J15" i="9" s="1"/>
  <c r="J24" i="6"/>
  <c r="K15" i="9" s="1"/>
  <c r="K24" i="6"/>
  <c r="L15" i="9" s="1"/>
  <c r="L24" i="6"/>
  <c r="M15" i="9" s="1"/>
  <c r="M24" i="6"/>
  <c r="N24" i="6"/>
  <c r="O15" i="9" s="1"/>
  <c r="O24" i="6"/>
  <c r="P15" i="9" s="1"/>
  <c r="P24" i="6"/>
  <c r="Q15" i="9" s="1"/>
  <c r="Q24" i="6"/>
  <c r="Q7" i="30" s="1"/>
  <c r="R24" i="6"/>
  <c r="R7" i="30" s="1"/>
  <c r="S24" i="6"/>
  <c r="S7" i="30" s="1"/>
  <c r="T24" i="6"/>
  <c r="T7" i="30" s="1"/>
  <c r="U24" i="6"/>
  <c r="V24" i="6"/>
  <c r="V7" i="30" s="1"/>
  <c r="W24" i="6"/>
  <c r="W7" i="30" s="1"/>
  <c r="X24" i="6"/>
  <c r="X7" i="30" s="1"/>
  <c r="Y24" i="6"/>
  <c r="Y7" i="30" s="1"/>
  <c r="Z24" i="6"/>
  <c r="Z7" i="30" s="1"/>
  <c r="AA24" i="6"/>
  <c r="AA7" i="30" s="1"/>
  <c r="AB24" i="6"/>
  <c r="AB7" i="30" s="1"/>
  <c r="AC24" i="6"/>
  <c r="AC7" i="30" s="1"/>
  <c r="AD24" i="6"/>
  <c r="AD7" i="30" s="1"/>
  <c r="AE24" i="6"/>
  <c r="AE7" i="30" s="1"/>
  <c r="AF24" i="6"/>
  <c r="AF7" i="30" s="1"/>
  <c r="AG24" i="6"/>
  <c r="AG7" i="30" s="1"/>
  <c r="AH24" i="6"/>
  <c r="AH7" i="30" s="1"/>
  <c r="AI24" i="6"/>
  <c r="AI7" i="30" s="1"/>
  <c r="AJ24" i="6"/>
  <c r="AJ7" i="30" s="1"/>
  <c r="AK24" i="6"/>
  <c r="AK7" i="30" s="1"/>
  <c r="AL24" i="6"/>
  <c r="AL7" i="30" s="1"/>
  <c r="AM24" i="6"/>
  <c r="AM7" i="30" s="1"/>
  <c r="AN24" i="6"/>
  <c r="AN7" i="30" s="1"/>
  <c r="AO24" i="6"/>
  <c r="AO7" i="30" s="1"/>
  <c r="AP24" i="6"/>
  <c r="AP7" i="30" s="1"/>
  <c r="AQ24" i="6"/>
  <c r="AQ7" i="30" s="1"/>
  <c r="AR24" i="6"/>
  <c r="AR7" i="30" s="1"/>
  <c r="AS24" i="6"/>
  <c r="AT24" i="6"/>
  <c r="AT7" i="30" s="1"/>
  <c r="AU24" i="6"/>
  <c r="AU7" i="30" s="1"/>
  <c r="AV24" i="6"/>
  <c r="AV7" i="30" s="1"/>
  <c r="AW24" i="6"/>
  <c r="AW7" i="30" s="1"/>
  <c r="AX24" i="6"/>
  <c r="AX7" i="30" s="1"/>
  <c r="AY24" i="6"/>
  <c r="AY7" i="30" s="1"/>
  <c r="AZ24" i="6"/>
  <c r="AZ7" i="30" s="1"/>
  <c r="BA24" i="6"/>
  <c r="BB24" i="6"/>
  <c r="BB7" i="30" s="1"/>
  <c r="BC24" i="6"/>
  <c r="BC7" i="30" s="1"/>
  <c r="BD24" i="6"/>
  <c r="BD7" i="30" s="1"/>
  <c r="BE24" i="6"/>
  <c r="BE7" i="30" s="1"/>
  <c r="BF24" i="6"/>
  <c r="BF7" i="30" s="1"/>
  <c r="BG24" i="6"/>
  <c r="BG7" i="30" s="1"/>
  <c r="BH24" i="6"/>
  <c r="BH7" i="30" s="1"/>
  <c r="BI24" i="6"/>
  <c r="BI7" i="30" s="1"/>
  <c r="BJ24" i="6"/>
  <c r="BJ7" i="30" s="1"/>
  <c r="BK24" i="6"/>
  <c r="BK7" i="30" s="1"/>
  <c r="BL24" i="6"/>
  <c r="BM33" i="3" s="1"/>
  <c r="BM24" i="6"/>
  <c r="BM7" i="30" s="1"/>
  <c r="BN24" i="6"/>
  <c r="BN7" i="30" s="1"/>
  <c r="BO24" i="6"/>
  <c r="BO7" i="30" s="1"/>
  <c r="BP24" i="6"/>
  <c r="BP7" i="30" s="1"/>
  <c r="BQ24" i="6"/>
  <c r="BQ7" i="30" s="1"/>
  <c r="BR24" i="6"/>
  <c r="BR7" i="30" s="1"/>
  <c r="BS24" i="6"/>
  <c r="BS7" i="30" s="1"/>
  <c r="BT24" i="6"/>
  <c r="BT7" i="30" s="1"/>
  <c r="BU24" i="6"/>
  <c r="BU7" i="30" s="1"/>
  <c r="BV24" i="6"/>
  <c r="BV7" i="30" s="1"/>
  <c r="BW24" i="6"/>
  <c r="BW7" i="30" s="1"/>
  <c r="BX24" i="6"/>
  <c r="BX7" i="30" s="1"/>
  <c r="BY24" i="6"/>
  <c r="BZ24" i="6"/>
  <c r="BZ7" i="30" s="1"/>
  <c r="CA24" i="6"/>
  <c r="CA7" i="30" s="1"/>
  <c r="CB24" i="6"/>
  <c r="CB7" i="30" s="1"/>
  <c r="CC24" i="6"/>
  <c r="CC7" i="30" s="1"/>
  <c r="CD24" i="6"/>
  <c r="CD7" i="30" s="1"/>
  <c r="CE24" i="6"/>
  <c r="CE7" i="30" s="1"/>
  <c r="CF24" i="6"/>
  <c r="CF7" i="30" s="1"/>
  <c r="CG24" i="6"/>
  <c r="CH24" i="6"/>
  <c r="CH7" i="30" s="1"/>
  <c r="CI24" i="6"/>
  <c r="CI37" i="6" s="1"/>
  <c r="CJ24" i="6"/>
  <c r="CJ7" i="30" s="1"/>
  <c r="CK24" i="6"/>
  <c r="CK7" i="30" s="1"/>
  <c r="CL24" i="6"/>
  <c r="CL7" i="30" s="1"/>
  <c r="CM24" i="6"/>
  <c r="CM7" i="30" s="1"/>
  <c r="CN24" i="6"/>
  <c r="CN7" i="30" s="1"/>
  <c r="CO24" i="6"/>
  <c r="CO7" i="30" s="1"/>
  <c r="CP24" i="6"/>
  <c r="CP7" i="30" s="1"/>
  <c r="CQ24" i="6"/>
  <c r="CQ7" i="30" s="1"/>
  <c r="CR24" i="6"/>
  <c r="CR7" i="30" s="1"/>
  <c r="CS24" i="6"/>
  <c r="CS7" i="30" s="1"/>
  <c r="CT24" i="6"/>
  <c r="CT7" i="30" s="1"/>
  <c r="CU24" i="6"/>
  <c r="CU7" i="30" s="1"/>
  <c r="CV24" i="6"/>
  <c r="CV7" i="30" s="1"/>
  <c r="CW24" i="6"/>
  <c r="CW7" i="30" s="1"/>
  <c r="CX24" i="6"/>
  <c r="CX7" i="30" s="1"/>
  <c r="CY24" i="6"/>
  <c r="CY7" i="30" s="1"/>
  <c r="CZ24" i="6"/>
  <c r="CZ7" i="30" s="1"/>
  <c r="DA24" i="6"/>
  <c r="DA7" i="30" s="1"/>
  <c r="DB24" i="6"/>
  <c r="DB7" i="30" s="1"/>
  <c r="DC24" i="6"/>
  <c r="DC7" i="30" s="1"/>
  <c r="DD24" i="6"/>
  <c r="DD7" i="30" s="1"/>
  <c r="DE24" i="6"/>
  <c r="DE7" i="30" s="1"/>
  <c r="DF24" i="6"/>
  <c r="DF7" i="30" s="1"/>
  <c r="DG24" i="6"/>
  <c r="DG7" i="30" s="1"/>
  <c r="DH24" i="6"/>
  <c r="DH7" i="30" s="1"/>
  <c r="DI24" i="6"/>
  <c r="DI7" i="30" s="1"/>
  <c r="DJ24" i="6"/>
  <c r="DJ7" i="30" s="1"/>
  <c r="DK24" i="6"/>
  <c r="DK7" i="30" s="1"/>
  <c r="DL24" i="6"/>
  <c r="DL7" i="30" s="1"/>
  <c r="DM24" i="6"/>
  <c r="DN24" i="6"/>
  <c r="DN7" i="30" s="1"/>
  <c r="DO24" i="6"/>
  <c r="DP24" i="6"/>
  <c r="DP7" i="30" s="1"/>
  <c r="DQ24" i="6"/>
  <c r="DR24" i="6"/>
  <c r="DR7" i="30" s="1"/>
  <c r="DS24" i="6"/>
  <c r="DS7" i="30" s="1"/>
  <c r="DT24" i="6"/>
  <c r="DT7" i="30" s="1"/>
  <c r="E24" i="6"/>
  <c r="F15" i="9" s="1"/>
  <c r="E22" i="6"/>
  <c r="D17" i="6"/>
  <c r="D15" i="6"/>
  <c r="D16" i="6"/>
  <c r="E8" i="4"/>
  <c r="Q8" i="4"/>
  <c r="E6" i="4"/>
  <c r="F6" i="4"/>
  <c r="G6" i="4"/>
  <c r="H6" i="4"/>
  <c r="I6" i="4"/>
  <c r="J6" i="4"/>
  <c r="K6" i="4"/>
  <c r="L6" i="4"/>
  <c r="M6" i="4"/>
  <c r="N6" i="4"/>
  <c r="O6" i="4"/>
  <c r="P6" i="4"/>
  <c r="Q6" i="4"/>
  <c r="P40" i="3"/>
  <c r="O40" i="3"/>
  <c r="N40" i="3"/>
  <c r="M40" i="3"/>
  <c r="L40" i="3"/>
  <c r="K40" i="3"/>
  <c r="J40" i="3"/>
  <c r="I40" i="3"/>
  <c r="H40" i="3"/>
  <c r="G40" i="3"/>
  <c r="F40" i="3"/>
  <c r="Q13" i="4"/>
  <c r="DQ37" i="6" l="1"/>
  <c r="DQ7" i="30"/>
  <c r="M26" i="15"/>
  <c r="L11" i="13"/>
  <c r="U26" i="15"/>
  <c r="T11" i="13"/>
  <c r="AC26" i="15"/>
  <c r="AB11" i="13"/>
  <c r="AX26" i="15"/>
  <c r="AW11" i="13"/>
  <c r="BF26" i="15"/>
  <c r="BE11" i="13"/>
  <c r="BN26" i="15"/>
  <c r="BM11" i="13"/>
  <c r="CI26" i="15"/>
  <c r="CH11" i="13"/>
  <c r="CQ26" i="15"/>
  <c r="CP11" i="13"/>
  <c r="CY26" i="15"/>
  <c r="CX11" i="13"/>
  <c r="DR33" i="3"/>
  <c r="DJ33" i="3"/>
  <c r="DL37" i="6"/>
  <c r="CF37" i="6"/>
  <c r="AZ37" i="6"/>
  <c r="W8" i="30"/>
  <c r="X33" i="3"/>
  <c r="D46" i="26"/>
  <c r="DO7" i="30"/>
  <c r="DO37" i="6"/>
  <c r="F21" i="28"/>
  <c r="N21" i="28"/>
  <c r="AD21" i="28"/>
  <c r="AL21" i="28"/>
  <c r="BB21" i="28"/>
  <c r="BJ21" i="28"/>
  <c r="BR21" i="28"/>
  <c r="BZ21" i="28"/>
  <c r="CP21" i="28"/>
  <c r="CX21" i="28"/>
  <c r="DN21" i="28"/>
  <c r="DH21" i="28"/>
  <c r="CJ21" i="28"/>
  <c r="BT21" i="28"/>
  <c r="AV21" i="28"/>
  <c r="AF21" i="28"/>
  <c r="X21" i="28"/>
  <c r="H21" i="28"/>
  <c r="DM7" i="30"/>
  <c r="DM37" i="6"/>
  <c r="CG7" i="30"/>
  <c r="CG37" i="6"/>
  <c r="BY7" i="30"/>
  <c r="BY37" i="6"/>
  <c r="BA7" i="30"/>
  <c r="BA37" i="6"/>
  <c r="AS7" i="30"/>
  <c r="AS37" i="6"/>
  <c r="U7" i="30"/>
  <c r="U37" i="6"/>
  <c r="N15" i="9"/>
  <c r="M37" i="6"/>
  <c r="DG21" i="28"/>
  <c r="CQ21" i="28"/>
  <c r="CI21" i="28"/>
  <c r="BS21" i="28"/>
  <c r="BC21" i="28"/>
  <c r="AU21" i="28"/>
  <c r="AE21" i="28"/>
  <c r="O21" i="28"/>
  <c r="G21" i="28"/>
  <c r="J11" i="13"/>
  <c r="K26" i="15"/>
  <c r="R11" i="13"/>
  <c r="S26" i="15"/>
  <c r="Z11" i="13"/>
  <c r="AA26" i="15"/>
  <c r="AU11" i="13"/>
  <c r="AV26" i="15"/>
  <c r="BC11" i="13"/>
  <c r="BD26" i="15"/>
  <c r="BK11" i="13"/>
  <c r="BL26" i="15"/>
  <c r="CF11" i="13"/>
  <c r="CG26" i="15"/>
  <c r="CN11" i="13"/>
  <c r="CO26" i="15"/>
  <c r="CM11" i="13"/>
  <c r="DR26" i="15"/>
  <c r="BC26" i="15"/>
  <c r="DQ26" i="15"/>
  <c r="BB26" i="15"/>
  <c r="R26" i="15"/>
  <c r="CW37" i="6"/>
  <c r="CO37" i="6"/>
  <c r="BQ37" i="6"/>
  <c r="BI37" i="6"/>
  <c r="AK37" i="6"/>
  <c r="AC37" i="6"/>
  <c r="L37" i="6"/>
  <c r="E39" i="26"/>
  <c r="DP26" i="15"/>
  <c r="CF26" i="15"/>
  <c r="Q26" i="15"/>
  <c r="DT37" i="6"/>
  <c r="CV37" i="6"/>
  <c r="CN37" i="6"/>
  <c r="BX37" i="6"/>
  <c r="BP37" i="6"/>
  <c r="BH37" i="6"/>
  <c r="AR37" i="6"/>
  <c r="AJ37" i="6"/>
  <c r="AB37" i="6"/>
  <c r="T37" i="6"/>
  <c r="CW26" i="15"/>
  <c r="CE26" i="15"/>
  <c r="AU26" i="15"/>
  <c r="CV26" i="15"/>
  <c r="AT26" i="15"/>
  <c r="J26" i="15"/>
  <c r="L26" i="15"/>
  <c r="K11" i="13"/>
  <c r="T26" i="15"/>
  <c r="S11" i="13"/>
  <c r="AB26" i="15"/>
  <c r="AA11" i="13"/>
  <c r="AW26" i="15"/>
  <c r="AV11" i="13"/>
  <c r="BE26" i="15"/>
  <c r="BD11" i="13"/>
  <c r="BM26" i="15"/>
  <c r="BL11" i="13"/>
  <c r="CH26" i="15"/>
  <c r="CG11" i="13"/>
  <c r="CP26" i="15"/>
  <c r="CO11" i="13"/>
  <c r="CX26" i="15"/>
  <c r="CW11" i="13"/>
  <c r="DS26" i="15"/>
  <c r="DR11" i="13"/>
  <c r="CU26" i="15"/>
  <c r="BK26" i="15"/>
  <c r="DT26" i="15"/>
  <c r="DS11" i="13"/>
  <c r="I26" i="15"/>
  <c r="BJ26" i="15"/>
  <c r="Z26" i="15"/>
  <c r="DG37" i="6"/>
  <c r="DT11" i="13"/>
  <c r="DL11" i="13"/>
  <c r="CQ11" i="13"/>
  <c r="CI11" i="13"/>
  <c r="BN11" i="13"/>
  <c r="BF11" i="13"/>
  <c r="AX11" i="13"/>
  <c r="AC11" i="13"/>
  <c r="U11" i="13"/>
  <c r="M11" i="13"/>
  <c r="DV26" i="15"/>
  <c r="DN26" i="15"/>
  <c r="CS26" i="15"/>
  <c r="CK26" i="15"/>
  <c r="CC26" i="15"/>
  <c r="BH26" i="15"/>
  <c r="AZ26" i="15"/>
  <c r="AE26" i="15"/>
  <c r="W26" i="15"/>
  <c r="O26" i="15"/>
  <c r="CU37" i="6"/>
  <c r="BW37" i="6"/>
  <c r="BG37" i="6"/>
  <c r="AY37" i="6"/>
  <c r="S37" i="6"/>
  <c r="CT37" i="6"/>
  <c r="CL37" i="6"/>
  <c r="CD37" i="6"/>
  <c r="BV37" i="6"/>
  <c r="BN37" i="6"/>
  <c r="BF37" i="6"/>
  <c r="AX37" i="6"/>
  <c r="AP37" i="6"/>
  <c r="AH37" i="6"/>
  <c r="Z37" i="6"/>
  <c r="R37" i="6"/>
  <c r="J37" i="6"/>
  <c r="CE37" i="6"/>
  <c r="K37" i="6"/>
  <c r="O33" i="3"/>
  <c r="G33" i="3"/>
  <c r="CS37" i="6"/>
  <c r="CK37" i="6"/>
  <c r="CC37" i="6"/>
  <c r="BU37" i="6"/>
  <c r="BM37" i="6"/>
  <c r="BE37" i="6"/>
  <c r="AW37" i="6"/>
  <c r="AO37" i="6"/>
  <c r="AG37" i="6"/>
  <c r="Y37" i="6"/>
  <c r="Q37" i="6"/>
  <c r="I37" i="6"/>
  <c r="AI37" i="6"/>
  <c r="DE37" i="6"/>
  <c r="CR37" i="6"/>
  <c r="CJ37" i="6"/>
  <c r="CB37" i="6"/>
  <c r="BT37" i="6"/>
  <c r="BL37" i="6"/>
  <c r="BD37" i="6"/>
  <c r="AV37" i="6"/>
  <c r="AN37" i="6"/>
  <c r="AF37" i="6"/>
  <c r="X37" i="6"/>
  <c r="P37" i="6"/>
  <c r="H37" i="6"/>
  <c r="CM37" i="6"/>
  <c r="BO37" i="6"/>
  <c r="AA37" i="6"/>
  <c r="DD37" i="6"/>
  <c r="CQ37" i="6"/>
  <c r="CA37" i="6"/>
  <c r="BS37" i="6"/>
  <c r="BK37" i="6"/>
  <c r="BC37" i="6"/>
  <c r="AU37" i="6"/>
  <c r="AM37" i="6"/>
  <c r="AE37" i="6"/>
  <c r="W37" i="6"/>
  <c r="O37" i="6"/>
  <c r="AQ37" i="6"/>
  <c r="CX37" i="6"/>
  <c r="CP37" i="6"/>
  <c r="CH37" i="6"/>
  <c r="BZ37" i="6"/>
  <c r="BR37" i="6"/>
  <c r="BJ37" i="6"/>
  <c r="BB37" i="6"/>
  <c r="AT37" i="6"/>
  <c r="AL37" i="6"/>
  <c r="AD37" i="6"/>
  <c r="V37" i="6"/>
  <c r="N37" i="6"/>
  <c r="F37" i="6"/>
  <c r="DN37" i="6"/>
  <c r="DF37" i="6"/>
  <c r="DS37" i="6"/>
  <c r="DK37" i="6"/>
  <c r="DR37" i="6"/>
  <c r="DJ37" i="6"/>
  <c r="DB37" i="6"/>
  <c r="DC37" i="6"/>
  <c r="DI37" i="6"/>
  <c r="DA37" i="6"/>
  <c r="DP37" i="6"/>
  <c r="DH37" i="6"/>
  <c r="CZ37" i="6"/>
  <c r="CY37" i="6"/>
  <c r="CJ33" i="3"/>
  <c r="H33" i="3"/>
  <c r="DI33" i="3"/>
  <c r="BU33" i="3"/>
  <c r="H15" i="9"/>
  <c r="BC33" i="3"/>
  <c r="G15" i="9"/>
  <c r="DB33" i="3"/>
  <c r="CT33" i="3"/>
  <c r="CL33" i="3"/>
  <c r="CD33" i="3"/>
  <c r="BV33" i="3"/>
  <c r="BN33" i="3"/>
  <c r="BF33" i="3"/>
  <c r="AX33" i="3"/>
  <c r="AP33" i="3"/>
  <c r="AH33" i="3"/>
  <c r="Z33" i="3"/>
  <c r="R33" i="3"/>
  <c r="J33" i="3"/>
  <c r="BL7" i="30"/>
  <c r="D31" i="26"/>
  <c r="F31" i="26"/>
  <c r="E31" i="26"/>
  <c r="AR12" i="3"/>
  <c r="E10" i="26"/>
  <c r="E15" i="26" s="1"/>
  <c r="U15" i="26"/>
  <c r="I22" i="27"/>
  <c r="H44" i="29" s="1"/>
  <c r="H18" i="27"/>
  <c r="BT33" i="3"/>
  <c r="P33" i="3"/>
  <c r="J25" i="29"/>
  <c r="DO33" i="3"/>
  <c r="P25" i="29"/>
  <c r="DG33" i="3"/>
  <c r="AW33" i="3"/>
  <c r="DU33" i="3"/>
  <c r="DM33" i="3"/>
  <c r="DE33" i="3"/>
  <c r="CW33" i="3"/>
  <c r="CO33" i="3"/>
  <c r="CG33" i="3"/>
  <c r="BY33" i="3"/>
  <c r="BQ33" i="3"/>
  <c r="BI33" i="3"/>
  <c r="BA33" i="3"/>
  <c r="AS33" i="3"/>
  <c r="AK33" i="3"/>
  <c r="AC33" i="3"/>
  <c r="U33" i="3"/>
  <c r="M33" i="3"/>
  <c r="CI7" i="30"/>
  <c r="CR33" i="3"/>
  <c r="AU33" i="3"/>
  <c r="DT33" i="3"/>
  <c r="DL33" i="3"/>
  <c r="DD33" i="3"/>
  <c r="CN33" i="3"/>
  <c r="CF33" i="3"/>
  <c r="BP33" i="3"/>
  <c r="BH33" i="3"/>
  <c r="AJ33" i="3"/>
  <c r="AB33" i="3"/>
  <c r="L33" i="3"/>
  <c r="CQ33" i="3"/>
  <c r="AF33" i="3"/>
  <c r="AE33" i="3"/>
  <c r="CV8" i="30"/>
  <c r="BP8" i="30"/>
  <c r="AJ8" i="30"/>
  <c r="DS33" i="3"/>
  <c r="DK33" i="3"/>
  <c r="DC33" i="3"/>
  <c r="CU33" i="3"/>
  <c r="CM33" i="3"/>
  <c r="CE33" i="3"/>
  <c r="BW33" i="3"/>
  <c r="BO33" i="3"/>
  <c r="BG33" i="3"/>
  <c r="AY33" i="3"/>
  <c r="AQ33" i="3"/>
  <c r="AI33" i="3"/>
  <c r="AA33" i="3"/>
  <c r="S33" i="3"/>
  <c r="K33" i="3"/>
  <c r="Q8" i="30"/>
  <c r="DH33" i="3"/>
  <c r="CK33" i="3"/>
  <c r="BS33" i="3"/>
  <c r="AV33" i="3"/>
  <c r="Y33" i="3"/>
  <c r="BH8" i="30"/>
  <c r="S25" i="29"/>
  <c r="K25" i="29"/>
  <c r="R25" i="29"/>
  <c r="DA33" i="3"/>
  <c r="CI33" i="3"/>
  <c r="BL33" i="3"/>
  <c r="AO33" i="3"/>
  <c r="W33" i="3"/>
  <c r="CN8" i="30"/>
  <c r="Q25" i="29"/>
  <c r="DL8" i="30"/>
  <c r="CF8" i="30"/>
  <c r="AZ8" i="30"/>
  <c r="T8" i="30"/>
  <c r="CZ33" i="3"/>
  <c r="CC33" i="3"/>
  <c r="BK33" i="3"/>
  <c r="AN33" i="3"/>
  <c r="Q33" i="3"/>
  <c r="AB8" i="30"/>
  <c r="DQ33" i="3"/>
  <c r="CY33" i="3"/>
  <c r="CB33" i="3"/>
  <c r="BE33" i="3"/>
  <c r="AM33" i="3"/>
  <c r="DT8" i="30"/>
  <c r="H25" i="29"/>
  <c r="DN33" i="3"/>
  <c r="DF33" i="3"/>
  <c r="CX33" i="3"/>
  <c r="CP33" i="3"/>
  <c r="CH33" i="3"/>
  <c r="BZ33" i="3"/>
  <c r="BR33" i="3"/>
  <c r="BJ33" i="3"/>
  <c r="BB33" i="3"/>
  <c r="AT33" i="3"/>
  <c r="AL33" i="3"/>
  <c r="AD33" i="3"/>
  <c r="V33" i="3"/>
  <c r="N33" i="3"/>
  <c r="DD8" i="30"/>
  <c r="BX8" i="30"/>
  <c r="AR8" i="30"/>
  <c r="DP33" i="3"/>
  <c r="CS33" i="3"/>
  <c r="CA33" i="3"/>
  <c r="BD33" i="3"/>
  <c r="AG33" i="3"/>
  <c r="DK8" i="30"/>
  <c r="CM8" i="30"/>
  <c r="BO8" i="30"/>
  <c r="AI8" i="30"/>
  <c r="O25" i="29"/>
  <c r="DR8" i="30"/>
  <c r="DJ8" i="30"/>
  <c r="DB8" i="30"/>
  <c r="CT8" i="30"/>
  <c r="CL8" i="30"/>
  <c r="CD8" i="30"/>
  <c r="BV8" i="30"/>
  <c r="BN8" i="30"/>
  <c r="BF8" i="30"/>
  <c r="AX8" i="30"/>
  <c r="AP8" i="30"/>
  <c r="AH8" i="30"/>
  <c r="Z8" i="30"/>
  <c r="R8" i="30"/>
  <c r="DS8" i="30"/>
  <c r="N25" i="29"/>
  <c r="DQ8" i="30"/>
  <c r="DI8" i="30"/>
  <c r="DA8" i="30"/>
  <c r="CS8" i="30"/>
  <c r="CK8" i="30"/>
  <c r="CC8" i="30"/>
  <c r="BU8" i="30"/>
  <c r="BM8" i="30"/>
  <c r="BE8" i="30"/>
  <c r="AW8" i="30"/>
  <c r="AO8" i="30"/>
  <c r="AG8" i="30"/>
  <c r="Y8" i="30"/>
  <c r="DC8" i="30"/>
  <c r="CE8" i="30"/>
  <c r="BG8" i="30"/>
  <c r="AA8" i="30"/>
  <c r="F33" i="3"/>
  <c r="M25" i="29"/>
  <c r="CV33" i="3"/>
  <c r="BX33" i="3"/>
  <c r="AZ33" i="3"/>
  <c r="AR33" i="3"/>
  <c r="T33" i="3"/>
  <c r="L25" i="29"/>
  <c r="D7" i="30"/>
  <c r="G24" i="29"/>
  <c r="M39" i="29"/>
  <c r="E21" i="28"/>
  <c r="M21" i="28"/>
  <c r="U21" i="28"/>
  <c r="AC21" i="28"/>
  <c r="AK21" i="28"/>
  <c r="AS21" i="28"/>
  <c r="BA21" i="28"/>
  <c r="BI21" i="28"/>
  <c r="BQ21" i="28"/>
  <c r="BY21" i="28"/>
  <c r="CG21" i="28"/>
  <c r="CO21" i="28"/>
  <c r="CW21" i="28"/>
  <c r="DE21" i="28"/>
  <c r="DM21" i="28"/>
  <c r="C20" i="28"/>
  <c r="D21" i="28"/>
  <c r="C8" i="28"/>
  <c r="S15" i="26"/>
  <c r="D10" i="26"/>
  <c r="D15" i="26" s="1"/>
  <c r="F10" i="26"/>
  <c r="F15" i="26" s="1"/>
  <c r="F46" i="26"/>
  <c r="D21" i="26"/>
  <c r="F39" i="26"/>
  <c r="E46" i="26"/>
  <c r="F8" i="24"/>
  <c r="DV12" i="6"/>
  <c r="DW12" i="6"/>
  <c r="DX12" i="6"/>
  <c r="DY12" i="6"/>
  <c r="DZ12" i="6"/>
  <c r="EA12" i="6"/>
  <c r="EB12" i="6"/>
  <c r="EC12" i="6"/>
  <c r="ED12" i="6"/>
  <c r="EE12" i="6"/>
  <c r="DV13" i="6"/>
  <c r="DW13" i="6"/>
  <c r="DX13" i="6"/>
  <c r="DY13" i="6"/>
  <c r="DZ13" i="6"/>
  <c r="EA13" i="6"/>
  <c r="EB13" i="6"/>
  <c r="EC13" i="6"/>
  <c r="ED13" i="6"/>
  <c r="EE13" i="6"/>
  <c r="DV17" i="6"/>
  <c r="DW17" i="6"/>
  <c r="DX17" i="6"/>
  <c r="DY17" i="6"/>
  <c r="DZ17" i="6"/>
  <c r="EA17" i="6"/>
  <c r="EB17" i="6"/>
  <c r="EC17" i="6"/>
  <c r="ED17" i="6"/>
  <c r="EE17" i="6"/>
  <c r="Q11" i="4"/>
  <c r="D10" i="4"/>
  <c r="D7" i="24"/>
  <c r="E6" i="24"/>
  <c r="E5" i="24"/>
  <c r="E8" i="24"/>
  <c r="G8" i="24"/>
  <c r="H8" i="24"/>
  <c r="I8" i="24"/>
  <c r="J8" i="24"/>
  <c r="K8" i="24"/>
  <c r="L8" i="24"/>
  <c r="M8" i="24"/>
  <c r="N8" i="24"/>
  <c r="O8" i="24"/>
  <c r="P8" i="24"/>
  <c r="Q8" i="24"/>
  <c r="R8" i="24"/>
  <c r="S8" i="24"/>
  <c r="T8" i="24"/>
  <c r="U8" i="24"/>
  <c r="V8" i="24"/>
  <c r="W8" i="24"/>
  <c r="X8" i="24"/>
  <c r="Y8" i="24"/>
  <c r="Z8" i="24"/>
  <c r="AA8" i="24"/>
  <c r="AB8" i="24"/>
  <c r="AC8" i="24"/>
  <c r="AD8" i="24"/>
  <c r="AE8" i="24"/>
  <c r="AF8" i="24"/>
  <c r="AG8" i="24"/>
  <c r="AH8" i="24"/>
  <c r="AI8" i="24"/>
  <c r="AJ8" i="24"/>
  <c r="AK8" i="24"/>
  <c r="AL8" i="24"/>
  <c r="AM8" i="24"/>
  <c r="AN8" i="24"/>
  <c r="AO8" i="24"/>
  <c r="D8" i="24"/>
  <c r="C8" i="2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E14" i="4"/>
  <c r="D14" i="4"/>
  <c r="C21" i="28" l="1"/>
  <c r="E7" i="24"/>
  <c r="J20" i="27"/>
  <c r="J17" i="27" s="1"/>
  <c r="E8" i="7"/>
  <c r="I13" i="27"/>
  <c r="AS12" i="3"/>
  <c r="AR40" i="3"/>
  <c r="D8" i="30"/>
  <c r="M37" i="29"/>
  <c r="D9" i="24"/>
  <c r="Q15" i="4"/>
  <c r="Q9" i="6" s="1"/>
  <c r="E9" i="24"/>
  <c r="I16" i="13" s="1"/>
  <c r="J25" i="15" s="1"/>
  <c r="F5" i="24"/>
  <c r="F6" i="24"/>
  <c r="G6" i="24" s="1"/>
  <c r="H6" i="24" s="1"/>
  <c r="I6" i="24" s="1"/>
  <c r="J6" i="24" s="1"/>
  <c r="K6" i="24" s="1"/>
  <c r="L6" i="24" s="1"/>
  <c r="M6" i="24" s="1"/>
  <c r="N6" i="24" s="1"/>
  <c r="O6" i="24" s="1"/>
  <c r="P6" i="24" s="1"/>
  <c r="Q6" i="24" s="1"/>
  <c r="R6" i="24" s="1"/>
  <c r="S6" i="24" s="1"/>
  <c r="T6" i="24" s="1"/>
  <c r="U6" i="24" s="1"/>
  <c r="V6" i="24" s="1"/>
  <c r="W6" i="24" s="1"/>
  <c r="X6" i="24" s="1"/>
  <c r="Y6" i="24" s="1"/>
  <c r="Z6" i="24" s="1"/>
  <c r="AA6" i="24" s="1"/>
  <c r="AB6" i="24" s="1"/>
  <c r="AC6" i="24" s="1"/>
  <c r="AD6" i="24" s="1"/>
  <c r="AE6" i="24" s="1"/>
  <c r="AF6" i="24" s="1"/>
  <c r="AG6" i="24" s="1"/>
  <c r="AH6" i="24" s="1"/>
  <c r="AI6" i="24" s="1"/>
  <c r="AJ6" i="24" s="1"/>
  <c r="AK6" i="24" s="1"/>
  <c r="AL6" i="24" s="1"/>
  <c r="AM6" i="24" s="1"/>
  <c r="AN6" i="24" s="1"/>
  <c r="AO6" i="24" s="1"/>
  <c r="AP6" i="24" s="1"/>
  <c r="AQ6" i="24" s="1"/>
  <c r="AR6" i="24" s="1"/>
  <c r="AS6" i="24" s="1"/>
  <c r="AT6" i="24" s="1"/>
  <c r="AU6" i="24" s="1"/>
  <c r="AV6" i="24" s="1"/>
  <c r="AW6" i="24" s="1"/>
  <c r="AX6" i="24" s="1"/>
  <c r="AY6" i="24" s="1"/>
  <c r="AZ6" i="24" s="1"/>
  <c r="BA6" i="24" s="1"/>
  <c r="BB6" i="24" s="1"/>
  <c r="BC6" i="24" s="1"/>
  <c r="BD6" i="24" s="1"/>
  <c r="BE6" i="24" s="1"/>
  <c r="BF6" i="24" s="1"/>
  <c r="BG6" i="24" s="1"/>
  <c r="BH6" i="24" s="1"/>
  <c r="BI6" i="24" s="1"/>
  <c r="BJ6" i="24" s="1"/>
  <c r="BK6" i="24" s="1"/>
  <c r="BL6" i="24" s="1"/>
  <c r="BM6" i="24" s="1"/>
  <c r="BN6" i="24" s="1"/>
  <c r="BO6" i="24" s="1"/>
  <c r="BP6" i="24" s="1"/>
  <c r="BQ6" i="24" s="1"/>
  <c r="BR6" i="24" s="1"/>
  <c r="BS6" i="24" s="1"/>
  <c r="BT6" i="24" s="1"/>
  <c r="BU6" i="24" s="1"/>
  <c r="BV6" i="24" s="1"/>
  <c r="BW6" i="24" s="1"/>
  <c r="BX6" i="24" s="1"/>
  <c r="BY6" i="24" s="1"/>
  <c r="BZ6" i="24" s="1"/>
  <c r="CA6" i="24" s="1"/>
  <c r="CB6" i="24" s="1"/>
  <c r="CC6" i="24" s="1"/>
  <c r="CD6" i="24" s="1"/>
  <c r="CE6" i="24" s="1"/>
  <c r="CF6" i="24" s="1"/>
  <c r="CG6" i="24" s="1"/>
  <c r="CH6" i="24" s="1"/>
  <c r="CI6" i="24" s="1"/>
  <c r="CJ6" i="24" s="1"/>
  <c r="CK6" i="24" s="1"/>
  <c r="CL6" i="24" s="1"/>
  <c r="CM6" i="24" s="1"/>
  <c r="CN6" i="24" s="1"/>
  <c r="CO6" i="24" s="1"/>
  <c r="CP6" i="24" s="1"/>
  <c r="CQ6" i="24" s="1"/>
  <c r="CR6" i="24" s="1"/>
  <c r="CS6" i="24" s="1"/>
  <c r="CT6" i="24" s="1"/>
  <c r="CU6" i="24" s="1"/>
  <c r="CV6" i="24" s="1"/>
  <c r="CW6" i="24" s="1"/>
  <c r="CX6" i="24" s="1"/>
  <c r="CY6" i="24" s="1"/>
  <c r="CZ6" i="24" s="1"/>
  <c r="DA6" i="24" s="1"/>
  <c r="DB6" i="24" s="1"/>
  <c r="DC6" i="24" s="1"/>
  <c r="DD6" i="24" s="1"/>
  <c r="DE6" i="24" s="1"/>
  <c r="DF6" i="24" s="1"/>
  <c r="DG6" i="24" s="1"/>
  <c r="DH6" i="24" s="1"/>
  <c r="DI6" i="24" s="1"/>
  <c r="DJ6" i="24" s="1"/>
  <c r="DK6" i="24" s="1"/>
  <c r="DL6" i="24" s="1"/>
  <c r="DM6" i="24" s="1"/>
  <c r="DN6" i="24" s="1"/>
  <c r="DO6" i="24" s="1"/>
  <c r="DP6" i="24" s="1"/>
  <c r="DQ6" i="24" s="1"/>
  <c r="DR6" i="24" s="1"/>
  <c r="DS6" i="24" s="1"/>
  <c r="O10" i="17"/>
  <c r="E13" i="16"/>
  <c r="D13" i="16"/>
  <c r="G6" i="16"/>
  <c r="G5" i="16"/>
  <c r="R7" i="4"/>
  <c r="R6" i="4" s="1"/>
  <c r="R9" i="4"/>
  <c r="R12" i="4"/>
  <c r="S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AK12" i="4" s="1"/>
  <c r="AL12" i="4" s="1"/>
  <c r="AM12" i="4" s="1"/>
  <c r="AN12" i="4" s="1"/>
  <c r="AO12" i="4" s="1"/>
  <c r="AP12" i="4" s="1"/>
  <c r="AQ12" i="4" s="1"/>
  <c r="AR12" i="4" s="1"/>
  <c r="AS12" i="4" s="1"/>
  <c r="AT12" i="4" s="1"/>
  <c r="AU12" i="4" s="1"/>
  <c r="AV12" i="4" s="1"/>
  <c r="AW12" i="4" s="1"/>
  <c r="AX12" i="4" s="1"/>
  <c r="AY12" i="4" s="1"/>
  <c r="AZ12" i="4" s="1"/>
  <c r="BA12" i="4" s="1"/>
  <c r="BB12" i="4" s="1"/>
  <c r="BC12" i="4" s="1"/>
  <c r="BD12" i="4" s="1"/>
  <c r="BE12" i="4" s="1"/>
  <c r="BF12" i="4" s="1"/>
  <c r="BG12" i="4" s="1"/>
  <c r="BH12" i="4" s="1"/>
  <c r="BI12" i="4" s="1"/>
  <c r="BJ12" i="4" s="1"/>
  <c r="BK12" i="4" s="1"/>
  <c r="BL12" i="4" s="1"/>
  <c r="BM12" i="4" s="1"/>
  <c r="BN12" i="4" s="1"/>
  <c r="BO12" i="4" s="1"/>
  <c r="BP12" i="4" s="1"/>
  <c r="BQ12" i="4" s="1"/>
  <c r="BR12" i="4" s="1"/>
  <c r="BS12" i="4" s="1"/>
  <c r="BT12" i="4" s="1"/>
  <c r="BU12" i="4" s="1"/>
  <c r="BV12" i="4" s="1"/>
  <c r="BW12" i="4" s="1"/>
  <c r="BX12" i="4" s="1"/>
  <c r="BY12" i="4" s="1"/>
  <c r="BZ12" i="4" s="1"/>
  <c r="CA12" i="4" s="1"/>
  <c r="CB12" i="4" s="1"/>
  <c r="CC12" i="4" s="1"/>
  <c r="CD12" i="4" s="1"/>
  <c r="CE12" i="4" s="1"/>
  <c r="CF12" i="4" s="1"/>
  <c r="CG12" i="4" s="1"/>
  <c r="CH12" i="4" s="1"/>
  <c r="CI12" i="4" s="1"/>
  <c r="CJ12" i="4" s="1"/>
  <c r="CK12" i="4" s="1"/>
  <c r="CL12" i="4" s="1"/>
  <c r="CM12" i="4" s="1"/>
  <c r="CN12" i="4" s="1"/>
  <c r="CO12" i="4" s="1"/>
  <c r="CP12" i="4" s="1"/>
  <c r="CQ12" i="4" s="1"/>
  <c r="CR12" i="4" s="1"/>
  <c r="CS12" i="4" s="1"/>
  <c r="CT12" i="4" s="1"/>
  <c r="CU12" i="4" s="1"/>
  <c r="CV12" i="4" s="1"/>
  <c r="CW12" i="4" s="1"/>
  <c r="CX12" i="4" s="1"/>
  <c r="CY12" i="4" s="1"/>
  <c r="CZ12" i="4" s="1"/>
  <c r="DA12" i="4" s="1"/>
  <c r="DB12" i="4" s="1"/>
  <c r="DC12" i="4" s="1"/>
  <c r="DD12" i="4" s="1"/>
  <c r="DE12" i="4" s="1"/>
  <c r="DF12" i="4" s="1"/>
  <c r="DG12" i="4" s="1"/>
  <c r="DH12" i="4" s="1"/>
  <c r="DI12" i="4" s="1"/>
  <c r="DJ12" i="4" s="1"/>
  <c r="DK12" i="4" s="1"/>
  <c r="DL12" i="4" s="1"/>
  <c r="DM12" i="4" s="1"/>
  <c r="DN12" i="4" s="1"/>
  <c r="DO12" i="4" s="1"/>
  <c r="DP12" i="4" s="1"/>
  <c r="DQ12" i="4" s="1"/>
  <c r="DR12" i="4" s="1"/>
  <c r="DS12" i="4" s="1"/>
  <c r="DT12" i="4" s="1"/>
  <c r="CS23" i="3"/>
  <c r="CR25" i="3"/>
  <c r="DP25" i="3"/>
  <c r="Q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BD14" i="9"/>
  <c r="BE14" i="9"/>
  <c r="BF14" i="9"/>
  <c r="BG14" i="9"/>
  <c r="BH14" i="9"/>
  <c r="BI14" i="9"/>
  <c r="BJ14" i="9"/>
  <c r="BK14" i="9"/>
  <c r="BL14" i="9"/>
  <c r="BM14" i="9"/>
  <c r="BN14" i="9"/>
  <c r="BO14" i="9"/>
  <c r="BP14" i="9"/>
  <c r="BQ14" i="9"/>
  <c r="BR14" i="9"/>
  <c r="BS14" i="9"/>
  <c r="BT14" i="9"/>
  <c r="BU14" i="9"/>
  <c r="BV14" i="9"/>
  <c r="BW14" i="9"/>
  <c r="BX14" i="9"/>
  <c r="BY14" i="9"/>
  <c r="BZ14" i="9"/>
  <c r="CA14" i="9"/>
  <c r="CB14" i="9"/>
  <c r="CC14" i="9"/>
  <c r="CD14" i="9"/>
  <c r="CE14" i="9"/>
  <c r="CF14" i="9"/>
  <c r="CG14" i="9"/>
  <c r="CH14" i="9"/>
  <c r="CI14" i="9"/>
  <c r="CJ14" i="9"/>
  <c r="CK14" i="9"/>
  <c r="CL14" i="9"/>
  <c r="CM14" i="9"/>
  <c r="CN14" i="9"/>
  <c r="CO14" i="9"/>
  <c r="CP14" i="9"/>
  <c r="CQ14" i="9"/>
  <c r="CR14" i="9"/>
  <c r="CS14" i="9"/>
  <c r="CT14" i="9"/>
  <c r="CU14" i="9"/>
  <c r="CV14" i="9"/>
  <c r="CW14" i="9"/>
  <c r="CX14" i="9"/>
  <c r="CY14" i="9"/>
  <c r="CZ14" i="9"/>
  <c r="DA14" i="9"/>
  <c r="DB14" i="9"/>
  <c r="DC14" i="9"/>
  <c r="DD14" i="9"/>
  <c r="DE14" i="9"/>
  <c r="DF14" i="9"/>
  <c r="DG14" i="9"/>
  <c r="DH14" i="9"/>
  <c r="DI14" i="9"/>
  <c r="DJ14" i="9"/>
  <c r="DK14" i="9"/>
  <c r="DL14" i="9"/>
  <c r="DM14" i="9"/>
  <c r="DN14" i="9"/>
  <c r="DO14" i="9"/>
  <c r="DP14" i="9"/>
  <c r="DQ14" i="9"/>
  <c r="DR14" i="9"/>
  <c r="DS14" i="9"/>
  <c r="DT14" i="9"/>
  <c r="DU14" i="9"/>
  <c r="L25" i="3"/>
  <c r="EE23" i="6"/>
  <c r="ED23" i="6"/>
  <c r="EC23" i="6"/>
  <c r="EB23" i="6"/>
  <c r="EA23" i="6"/>
  <c r="DZ23" i="6"/>
  <c r="DY23" i="6"/>
  <c r="DX23" i="6"/>
  <c r="DW23" i="6"/>
  <c r="DV23" i="6"/>
  <c r="H25" i="3"/>
  <c r="J25" i="3"/>
  <c r="Q23" i="3"/>
  <c r="R25" i="3"/>
  <c r="Y23" i="3"/>
  <c r="Z25" i="3"/>
  <c r="AF25" i="3"/>
  <c r="AG23" i="3"/>
  <c r="AH25" i="3"/>
  <c r="AP25" i="3"/>
  <c r="AX25" i="3"/>
  <c r="BD25" i="3"/>
  <c r="BE23" i="3"/>
  <c r="BF25" i="3"/>
  <c r="BM23" i="3"/>
  <c r="BN25" i="3"/>
  <c r="BT25" i="3"/>
  <c r="BV25" i="3"/>
  <c r="BX25" i="3"/>
  <c r="CA24" i="3"/>
  <c r="CD25" i="3"/>
  <c r="CK23" i="3"/>
  <c r="CL25" i="3"/>
  <c r="CT25" i="3"/>
  <c r="DB25" i="3"/>
  <c r="DI23" i="3"/>
  <c r="DJ25" i="3"/>
  <c r="DR25" i="3"/>
  <c r="D11" i="6"/>
  <c r="D12" i="6"/>
  <c r="D13" i="6"/>
  <c r="D14" i="6"/>
  <c r="D10" i="6"/>
  <c r="P14" i="9"/>
  <c r="O7" i="17"/>
  <c r="N7" i="17"/>
  <c r="E16" i="9"/>
  <c r="E52" i="9"/>
  <c r="DU44" i="9"/>
  <c r="DT44" i="9"/>
  <c r="DS44" i="9"/>
  <c r="DR44" i="9"/>
  <c r="DQ44" i="9"/>
  <c r="DP44" i="9"/>
  <c r="DO44" i="9"/>
  <c r="DN44" i="9"/>
  <c r="DM44" i="9"/>
  <c r="DL44" i="9"/>
  <c r="DK44" i="9"/>
  <c r="DJ44" i="9"/>
  <c r="DU39" i="9"/>
  <c r="DT39" i="9"/>
  <c r="DS39" i="9"/>
  <c r="DR39" i="9"/>
  <c r="DQ39" i="9"/>
  <c r="DP39" i="9"/>
  <c r="DO39" i="9"/>
  <c r="DN39" i="9"/>
  <c r="DU28" i="9"/>
  <c r="DT28" i="9"/>
  <c r="DS28" i="9"/>
  <c r="DR28" i="9"/>
  <c r="DQ28" i="9"/>
  <c r="DP28" i="9"/>
  <c r="DO28" i="9"/>
  <c r="DN28" i="9"/>
  <c r="DM28" i="9"/>
  <c r="DL28" i="9"/>
  <c r="DK28" i="9"/>
  <c r="DJ28" i="9"/>
  <c r="DU21" i="9"/>
  <c r="DU35" i="9" s="1"/>
  <c r="DX11" i="15" s="1"/>
  <c r="DT21" i="9"/>
  <c r="DS21" i="9"/>
  <c r="DR21" i="9"/>
  <c r="DQ21" i="9"/>
  <c r="DP21" i="9"/>
  <c r="DP35" i="9" s="1"/>
  <c r="DS11" i="15" s="1"/>
  <c r="DO21" i="9"/>
  <c r="DO35" i="9" s="1"/>
  <c r="DR11" i="15" s="1"/>
  <c r="DN21" i="9"/>
  <c r="DN35" i="9" s="1"/>
  <c r="DQ11" i="15" s="1"/>
  <c r="DM21" i="9"/>
  <c r="DM35" i="9" s="1"/>
  <c r="DP11" i="15" s="1"/>
  <c r="DL21" i="9"/>
  <c r="DK21" i="9"/>
  <c r="DJ21" i="9"/>
  <c r="DI44" i="9"/>
  <c r="DH44" i="9"/>
  <c r="DG44" i="9"/>
  <c r="DF44" i="9"/>
  <c r="DE44" i="9"/>
  <c r="DD44" i="9"/>
  <c r="DC44" i="9"/>
  <c r="DB44" i="9"/>
  <c r="DA44" i="9"/>
  <c r="CZ44" i="9"/>
  <c r="CY44" i="9"/>
  <c r="CX44" i="9"/>
  <c r="CW44" i="9"/>
  <c r="CV44" i="9"/>
  <c r="CU44" i="9"/>
  <c r="CT44" i="9"/>
  <c r="CS44" i="9"/>
  <c r="CR44" i="9"/>
  <c r="CQ44" i="9"/>
  <c r="CP44" i="9"/>
  <c r="CO44" i="9"/>
  <c r="CN44" i="9"/>
  <c r="CM44" i="9"/>
  <c r="CL44" i="9"/>
  <c r="CK44" i="9"/>
  <c r="CJ44" i="9"/>
  <c r="CI44" i="9"/>
  <c r="CH44" i="9"/>
  <c r="CG44" i="9"/>
  <c r="CF44" i="9"/>
  <c r="CE44" i="9"/>
  <c r="CD44" i="9"/>
  <c r="CC44" i="9"/>
  <c r="CB44" i="9"/>
  <c r="CA44" i="9"/>
  <c r="BZ44" i="9"/>
  <c r="DI39" i="9"/>
  <c r="DH39" i="9"/>
  <c r="DG39" i="9"/>
  <c r="DF39" i="9"/>
  <c r="DE39" i="9"/>
  <c r="DD39" i="9"/>
  <c r="DC39" i="9"/>
  <c r="DB39" i="9"/>
  <c r="DA39" i="9"/>
  <c r="CZ39" i="9"/>
  <c r="CY39" i="9"/>
  <c r="CX39" i="9"/>
  <c r="CW39" i="9"/>
  <c r="CV39" i="9"/>
  <c r="CU39" i="9"/>
  <c r="CT39" i="9"/>
  <c r="CS39" i="9"/>
  <c r="CR39" i="9"/>
  <c r="CQ39" i="9"/>
  <c r="CP39" i="9"/>
  <c r="CO39" i="9"/>
  <c r="CN39" i="9"/>
  <c r="CM39" i="9"/>
  <c r="CL39" i="9"/>
  <c r="CK39" i="9"/>
  <c r="CJ39" i="9"/>
  <c r="CI39" i="9"/>
  <c r="CH39" i="9"/>
  <c r="CG39" i="9"/>
  <c r="CF39" i="9"/>
  <c r="CE39" i="9"/>
  <c r="CD39" i="9"/>
  <c r="DI28" i="9"/>
  <c r="DH28" i="9"/>
  <c r="DG28" i="9"/>
  <c r="DF28" i="9"/>
  <c r="DE28" i="9"/>
  <c r="DD28" i="9"/>
  <c r="DC28" i="9"/>
  <c r="DB28" i="9"/>
  <c r="DA28" i="9"/>
  <c r="CZ28" i="9"/>
  <c r="CY28" i="9"/>
  <c r="CX28" i="9"/>
  <c r="CW28" i="9"/>
  <c r="CV28" i="9"/>
  <c r="CU28" i="9"/>
  <c r="CT28" i="9"/>
  <c r="CS28" i="9"/>
  <c r="CR28" i="9"/>
  <c r="CQ28" i="9"/>
  <c r="CP28" i="9"/>
  <c r="CO28" i="9"/>
  <c r="CN28" i="9"/>
  <c r="CM28" i="9"/>
  <c r="CL28" i="9"/>
  <c r="CK28" i="9"/>
  <c r="CJ28" i="9"/>
  <c r="CI28" i="9"/>
  <c r="CH28" i="9"/>
  <c r="CG28" i="9"/>
  <c r="CF28" i="9"/>
  <c r="CE28" i="9"/>
  <c r="CD28" i="9"/>
  <c r="CC28" i="9"/>
  <c r="CB28" i="9"/>
  <c r="CA28" i="9"/>
  <c r="BZ28" i="9"/>
  <c r="DI21" i="9"/>
  <c r="DH21" i="9"/>
  <c r="DH35" i="9" s="1"/>
  <c r="DK11" i="15" s="1"/>
  <c r="DG21" i="9"/>
  <c r="DG35" i="9" s="1"/>
  <c r="DJ11" i="15" s="1"/>
  <c r="DF21" i="9"/>
  <c r="DF35" i="9" s="1"/>
  <c r="DI11" i="15" s="1"/>
  <c r="DE21" i="9"/>
  <c r="DE35" i="9" s="1"/>
  <c r="DH11" i="15" s="1"/>
  <c r="DD21" i="9"/>
  <c r="DC21" i="9"/>
  <c r="DB21" i="9"/>
  <c r="DA21" i="9"/>
  <c r="CZ21" i="9"/>
  <c r="CZ35" i="9" s="1"/>
  <c r="DC11" i="15" s="1"/>
  <c r="CY21" i="9"/>
  <c r="CY35" i="9" s="1"/>
  <c r="DB11" i="15" s="1"/>
  <c r="CX21" i="9"/>
  <c r="CX35" i="9" s="1"/>
  <c r="DA11" i="15" s="1"/>
  <c r="CW21" i="9"/>
  <c r="CW35" i="9" s="1"/>
  <c r="CZ11" i="15" s="1"/>
  <c r="CV21" i="9"/>
  <c r="CU21" i="9"/>
  <c r="CT21" i="9"/>
  <c r="CS21" i="9"/>
  <c r="CR21" i="9"/>
  <c r="CR35" i="9" s="1"/>
  <c r="CU11" i="15" s="1"/>
  <c r="CQ21" i="9"/>
  <c r="CQ35" i="9" s="1"/>
  <c r="CT11" i="15" s="1"/>
  <c r="CP21" i="9"/>
  <c r="CP35" i="9" s="1"/>
  <c r="CS11" i="15" s="1"/>
  <c r="CO21" i="9"/>
  <c r="CO35" i="9" s="1"/>
  <c r="CR11" i="15" s="1"/>
  <c r="CN21" i="9"/>
  <c r="CM21" i="9"/>
  <c r="CL21" i="9"/>
  <c r="CK21" i="9"/>
  <c r="CJ21" i="9"/>
  <c r="CJ35" i="9" s="1"/>
  <c r="CM11" i="15" s="1"/>
  <c r="CI21" i="9"/>
  <c r="CI35" i="9" s="1"/>
  <c r="CL11" i="15" s="1"/>
  <c r="CH21" i="9"/>
  <c r="CH35" i="9" s="1"/>
  <c r="CK11" i="15" s="1"/>
  <c r="CG21" i="9"/>
  <c r="CG35" i="9" s="1"/>
  <c r="CJ11" i="15" s="1"/>
  <c r="CF21" i="9"/>
  <c r="CE21" i="9"/>
  <c r="CD21" i="9"/>
  <c r="CC21" i="9"/>
  <c r="CB21" i="9"/>
  <c r="CB35" i="9" s="1"/>
  <c r="CE11" i="15" s="1"/>
  <c r="CA21" i="9"/>
  <c r="CA35" i="9" s="1"/>
  <c r="CD11" i="15" s="1"/>
  <c r="BZ21" i="9"/>
  <c r="BZ35" i="9" s="1"/>
  <c r="CC11" i="15" s="1"/>
  <c r="BY44" i="9"/>
  <c r="BX44" i="9"/>
  <c r="BW44" i="9"/>
  <c r="BV44" i="9"/>
  <c r="BU44" i="9"/>
  <c r="BT44" i="9"/>
  <c r="BS44" i="9"/>
  <c r="BR44" i="9"/>
  <c r="BQ44" i="9"/>
  <c r="BP44" i="9"/>
  <c r="BO44" i="9"/>
  <c r="BN44" i="9"/>
  <c r="BM44" i="9"/>
  <c r="BL44" i="9"/>
  <c r="BK44" i="9"/>
  <c r="BJ44" i="9"/>
  <c r="BI44" i="9"/>
  <c r="BH44" i="9"/>
  <c r="BG44" i="9"/>
  <c r="BF44" i="9"/>
  <c r="BE44" i="9"/>
  <c r="BD44" i="9"/>
  <c r="BC44" i="9"/>
  <c r="BB44" i="9"/>
  <c r="BA44" i="9"/>
  <c r="AZ44" i="9"/>
  <c r="AY44" i="9"/>
  <c r="AX44" i="9"/>
  <c r="AW44" i="9"/>
  <c r="AV44" i="9"/>
  <c r="AU44" i="9"/>
  <c r="AT44" i="9"/>
  <c r="AS44" i="9"/>
  <c r="AR44" i="9"/>
  <c r="AQ44" i="9"/>
  <c r="AP44" i="9"/>
  <c r="BY39" i="9"/>
  <c r="BX39" i="9"/>
  <c r="BW39" i="9"/>
  <c r="BV39" i="9"/>
  <c r="BU39" i="9"/>
  <c r="BT39" i="9"/>
  <c r="BS39" i="9"/>
  <c r="BR39" i="9"/>
  <c r="BQ39" i="9"/>
  <c r="BP39" i="9"/>
  <c r="BO39" i="9"/>
  <c r="BN39" i="9"/>
  <c r="BM39" i="9"/>
  <c r="BL39" i="9"/>
  <c r="BK39" i="9"/>
  <c r="BJ39" i="9"/>
  <c r="BI39" i="9"/>
  <c r="BH39" i="9"/>
  <c r="BG39" i="9"/>
  <c r="BF39" i="9"/>
  <c r="BE39" i="9"/>
  <c r="BD39" i="9"/>
  <c r="BC39" i="9"/>
  <c r="BB39" i="9"/>
  <c r="BA39" i="9"/>
  <c r="AZ39" i="9"/>
  <c r="AY39" i="9"/>
  <c r="AX39" i="9"/>
  <c r="AW39" i="9"/>
  <c r="AV39" i="9"/>
  <c r="AU39" i="9"/>
  <c r="AT39" i="9"/>
  <c r="BY28" i="9"/>
  <c r="BX28" i="9"/>
  <c r="BW28" i="9"/>
  <c r="BV28" i="9"/>
  <c r="BU28" i="9"/>
  <c r="BT28" i="9"/>
  <c r="BS28" i="9"/>
  <c r="BR28" i="9"/>
  <c r="BQ28" i="9"/>
  <c r="BP28" i="9"/>
  <c r="BO28" i="9"/>
  <c r="BN28" i="9"/>
  <c r="BM28" i="9"/>
  <c r="BL28" i="9"/>
  <c r="BK28" i="9"/>
  <c r="BJ28" i="9"/>
  <c r="BI28" i="9"/>
  <c r="BH28" i="9"/>
  <c r="BG28" i="9"/>
  <c r="BF28" i="9"/>
  <c r="BE28" i="9"/>
  <c r="BD28" i="9"/>
  <c r="BC28" i="9"/>
  <c r="BB28" i="9"/>
  <c r="BA28" i="9"/>
  <c r="AZ28" i="9"/>
  <c r="AY28" i="9"/>
  <c r="AX28" i="9"/>
  <c r="AW28" i="9"/>
  <c r="AV28" i="9"/>
  <c r="AU28" i="9"/>
  <c r="AT28" i="9"/>
  <c r="AS28" i="9"/>
  <c r="AR28" i="9"/>
  <c r="AQ28" i="9"/>
  <c r="AP28" i="9"/>
  <c r="BY21" i="9"/>
  <c r="BY35" i="9" s="1"/>
  <c r="CB11" i="15" s="1"/>
  <c r="BX21" i="9"/>
  <c r="BW21" i="9"/>
  <c r="BV21" i="9"/>
  <c r="BU21" i="9"/>
  <c r="BT21" i="9"/>
  <c r="BT35" i="9" s="1"/>
  <c r="BW11" i="15" s="1"/>
  <c r="BS21" i="9"/>
  <c r="BS35" i="9" s="1"/>
  <c r="BV11" i="15" s="1"/>
  <c r="BR21" i="9"/>
  <c r="BR35" i="9" s="1"/>
  <c r="BU11" i="15" s="1"/>
  <c r="BQ21" i="9"/>
  <c r="BQ35" i="9" s="1"/>
  <c r="BT11" i="15" s="1"/>
  <c r="BP21" i="9"/>
  <c r="BO21" i="9"/>
  <c r="BN21" i="9"/>
  <c r="BM21" i="9"/>
  <c r="BL21" i="9"/>
  <c r="BL35" i="9" s="1"/>
  <c r="BO11" i="15" s="1"/>
  <c r="BK21" i="9"/>
  <c r="BK35" i="9" s="1"/>
  <c r="BN11" i="15" s="1"/>
  <c r="BJ21" i="9"/>
  <c r="BJ35" i="9" s="1"/>
  <c r="BM11" i="15" s="1"/>
  <c r="BI21" i="9"/>
  <c r="BI35" i="9" s="1"/>
  <c r="BL11" i="15" s="1"/>
  <c r="BH21" i="9"/>
  <c r="BG21" i="9"/>
  <c r="BF21" i="9"/>
  <c r="BE21" i="9"/>
  <c r="BD21" i="9"/>
  <c r="BD35" i="9" s="1"/>
  <c r="BG11" i="15" s="1"/>
  <c r="BC21" i="9"/>
  <c r="BC35" i="9" s="1"/>
  <c r="BF11" i="15" s="1"/>
  <c r="BB21" i="9"/>
  <c r="BB35" i="9" s="1"/>
  <c r="BE11" i="15" s="1"/>
  <c r="BA21" i="9"/>
  <c r="BA35" i="9" s="1"/>
  <c r="BD11" i="15" s="1"/>
  <c r="AZ21" i="9"/>
  <c r="AY21" i="9"/>
  <c r="AX21" i="9"/>
  <c r="AW21" i="9"/>
  <c r="AV21" i="9"/>
  <c r="AV35" i="9" s="1"/>
  <c r="AY11" i="15" s="1"/>
  <c r="AU21" i="9"/>
  <c r="AU35" i="9" s="1"/>
  <c r="AX11" i="15" s="1"/>
  <c r="AT21" i="9"/>
  <c r="AT35" i="9" s="1"/>
  <c r="AW11" i="15" s="1"/>
  <c r="AS21" i="9"/>
  <c r="AS35" i="9" s="1"/>
  <c r="AV11" i="15" s="1"/>
  <c r="AR21" i="9"/>
  <c r="AQ21" i="9"/>
  <c r="AP21" i="9"/>
  <c r="DW10" i="6"/>
  <c r="DX10" i="6"/>
  <c r="DY10" i="6"/>
  <c r="DZ10" i="6"/>
  <c r="EA10" i="6"/>
  <c r="EB10" i="6"/>
  <c r="EC10" i="6"/>
  <c r="ED10" i="6"/>
  <c r="EE10" i="6"/>
  <c r="DW11" i="6"/>
  <c r="DX11" i="6"/>
  <c r="DY11" i="6"/>
  <c r="DZ11" i="6"/>
  <c r="EA11" i="6"/>
  <c r="EB11" i="6"/>
  <c r="EC11" i="6"/>
  <c r="ED11" i="6"/>
  <c r="EE11" i="6"/>
  <c r="DZ14" i="6"/>
  <c r="EA14" i="6"/>
  <c r="EB14" i="6"/>
  <c r="EC14" i="6"/>
  <c r="ED14" i="6"/>
  <c r="EE14" i="6"/>
  <c r="DW18" i="6"/>
  <c r="DX18" i="6"/>
  <c r="DY18" i="6"/>
  <c r="DZ18" i="6"/>
  <c r="EA18" i="6"/>
  <c r="EB18" i="6"/>
  <c r="EC18" i="6"/>
  <c r="ED18" i="6"/>
  <c r="EE18" i="6"/>
  <c r="DW21" i="6"/>
  <c r="DX21" i="6"/>
  <c r="DY21" i="6"/>
  <c r="DZ21" i="6"/>
  <c r="EA21" i="6"/>
  <c r="EB21" i="6"/>
  <c r="EC21" i="6"/>
  <c r="ED21" i="6"/>
  <c r="EE21" i="6"/>
  <c r="DV21" i="6"/>
  <c r="DV18" i="6"/>
  <c r="DV11" i="6"/>
  <c r="DR15" i="9"/>
  <c r="DP15" i="9"/>
  <c r="DO15" i="9"/>
  <c r="DN15" i="9"/>
  <c r="DJ15" i="9"/>
  <c r="DH15" i="9"/>
  <c r="DG15" i="9"/>
  <c r="DF15" i="9"/>
  <c r="DB15" i="9"/>
  <c r="CZ15" i="9"/>
  <c r="CY15" i="9"/>
  <c r="CX15" i="9"/>
  <c r="R8" i="4" l="1"/>
  <c r="AW35" i="9"/>
  <c r="AZ11" i="15" s="1"/>
  <c r="CC35" i="9"/>
  <c r="CF11" i="15" s="1"/>
  <c r="BE35" i="9"/>
  <c r="BH11" i="15" s="1"/>
  <c r="BM35" i="9"/>
  <c r="BP11" i="15" s="1"/>
  <c r="BU35" i="9"/>
  <c r="BX11" i="15" s="1"/>
  <c r="CK35" i="9"/>
  <c r="CN11" i="15" s="1"/>
  <c r="CS35" i="9"/>
  <c r="CV11" i="15" s="1"/>
  <c r="DA35" i="9"/>
  <c r="DD11" i="15" s="1"/>
  <c r="DI35" i="9"/>
  <c r="DL11" i="15" s="1"/>
  <c r="DQ35" i="9"/>
  <c r="DT11" i="15" s="1"/>
  <c r="AP35" i="9"/>
  <c r="AS11" i="15" s="1"/>
  <c r="AX35" i="9"/>
  <c r="BA11" i="15" s="1"/>
  <c r="BF35" i="9"/>
  <c r="BI11" i="15" s="1"/>
  <c r="BN35" i="9"/>
  <c r="BQ11" i="15" s="1"/>
  <c r="BV35" i="9"/>
  <c r="BY11" i="15" s="1"/>
  <c r="CD35" i="9"/>
  <c r="CG11" i="15" s="1"/>
  <c r="CL35" i="9"/>
  <c r="CO11" i="15" s="1"/>
  <c r="CT35" i="9"/>
  <c r="CW11" i="15" s="1"/>
  <c r="DB35" i="9"/>
  <c r="DE11" i="15" s="1"/>
  <c r="DJ35" i="9"/>
  <c r="DM11" i="15" s="1"/>
  <c r="DR35" i="9"/>
  <c r="DU11" i="15" s="1"/>
  <c r="AR35" i="9"/>
  <c r="AU11" i="15" s="1"/>
  <c r="AZ35" i="9"/>
  <c r="BC11" i="15" s="1"/>
  <c r="BH35" i="9"/>
  <c r="BK11" i="15" s="1"/>
  <c r="BP35" i="9"/>
  <c r="BS11" i="15" s="1"/>
  <c r="BX35" i="9"/>
  <c r="CA11" i="15" s="1"/>
  <c r="CF35" i="9"/>
  <c r="CI11" i="15" s="1"/>
  <c r="CN35" i="9"/>
  <c r="CQ11" i="15" s="1"/>
  <c r="CV35" i="9"/>
  <c r="CY11" i="15" s="1"/>
  <c r="DD35" i="9"/>
  <c r="DG11" i="15" s="1"/>
  <c r="E4" i="30"/>
  <c r="H16" i="13"/>
  <c r="I25" i="15" s="1"/>
  <c r="J22" i="27"/>
  <c r="I44" i="29" s="1"/>
  <c r="G42" i="3"/>
  <c r="J7" i="27"/>
  <c r="S8" i="9"/>
  <c r="S6" i="9" s="1"/>
  <c r="F6" i="7"/>
  <c r="R8" i="9"/>
  <c r="E6" i="7"/>
  <c r="AP8" i="24"/>
  <c r="AQ14" i="4"/>
  <c r="AT12" i="3"/>
  <c r="AS40" i="3"/>
  <c r="N14" i="9"/>
  <c r="ED20" i="6"/>
  <c r="O14" i="9"/>
  <c r="EE20" i="6"/>
  <c r="L14" i="9"/>
  <c r="EB20" i="6"/>
  <c r="M14" i="9"/>
  <c r="EC20" i="6"/>
  <c r="H14" i="9"/>
  <c r="DX20" i="6"/>
  <c r="I14" i="9"/>
  <c r="DY20" i="6"/>
  <c r="D24" i="6"/>
  <c r="G14" i="9"/>
  <c r="DW20" i="6"/>
  <c r="J14" i="9"/>
  <c r="DZ20" i="6"/>
  <c r="K14" i="9"/>
  <c r="EA20" i="6"/>
  <c r="R4" i="30"/>
  <c r="F4" i="30"/>
  <c r="I26" i="29"/>
  <c r="F7" i="7"/>
  <c r="F5" i="7"/>
  <c r="G17" i="9" s="1"/>
  <c r="Q4" i="30"/>
  <c r="H26" i="29"/>
  <c r="E7" i="7"/>
  <c r="E5" i="7"/>
  <c r="F17" i="9" s="1"/>
  <c r="Q5" i="30"/>
  <c r="T25" i="29"/>
  <c r="DW9" i="6"/>
  <c r="M10" i="29"/>
  <c r="S9" i="4"/>
  <c r="S8" i="4" s="1"/>
  <c r="R11" i="4"/>
  <c r="S7" i="4"/>
  <c r="S6" i="4" s="1"/>
  <c r="R13" i="4"/>
  <c r="D12" i="4"/>
  <c r="G5" i="24"/>
  <c r="F7" i="24"/>
  <c r="F9" i="24" s="1"/>
  <c r="J16" i="13" s="1"/>
  <c r="K25" i="15" s="1"/>
  <c r="C6" i="24"/>
  <c r="DK23" i="3"/>
  <c r="DK24" i="3"/>
  <c r="DK25" i="3"/>
  <c r="CM23" i="3"/>
  <c r="CM24" i="3"/>
  <c r="CM25" i="3"/>
  <c r="S23" i="3"/>
  <c r="S24" i="3"/>
  <c r="S25" i="3"/>
  <c r="DC23" i="3"/>
  <c r="DC24" i="3"/>
  <c r="DC25" i="3"/>
  <c r="CE23" i="3"/>
  <c r="CE25" i="3"/>
  <c r="CE24" i="3"/>
  <c r="AY23" i="3"/>
  <c r="AY24" i="3"/>
  <c r="AY25" i="3"/>
  <c r="AA23" i="3"/>
  <c r="AA24" i="3"/>
  <c r="AA25" i="3"/>
  <c r="DG25" i="3"/>
  <c r="DG23" i="3"/>
  <c r="DG24" i="3"/>
  <c r="CQ25" i="3"/>
  <c r="CQ23" i="3"/>
  <c r="CQ24" i="3"/>
  <c r="CI25" i="3"/>
  <c r="CI23" i="3"/>
  <c r="CI24" i="3"/>
  <c r="BS25" i="3"/>
  <c r="BS23" i="3"/>
  <c r="BS24" i="3"/>
  <c r="BK25" i="3"/>
  <c r="BK23" i="3"/>
  <c r="BK24" i="3"/>
  <c r="AU25" i="3"/>
  <c r="AU24" i="3"/>
  <c r="AU23" i="3"/>
  <c r="AE25" i="3"/>
  <c r="AE24" i="3"/>
  <c r="AE23" i="3"/>
  <c r="W25" i="3"/>
  <c r="W24" i="3"/>
  <c r="W23" i="3"/>
  <c r="DS23" i="3"/>
  <c r="DS25" i="3"/>
  <c r="DS24" i="3"/>
  <c r="CU23" i="3"/>
  <c r="CU25" i="3"/>
  <c r="CU24" i="3"/>
  <c r="BW23" i="3"/>
  <c r="BW24" i="3"/>
  <c r="BW25" i="3"/>
  <c r="AQ23" i="3"/>
  <c r="AQ25" i="3"/>
  <c r="AQ24" i="3"/>
  <c r="K23" i="3"/>
  <c r="K25" i="3"/>
  <c r="K24" i="3"/>
  <c r="BG23" i="3"/>
  <c r="BG25" i="3"/>
  <c r="BG24" i="3"/>
  <c r="AI23" i="3"/>
  <c r="AI25" i="3"/>
  <c r="AI24" i="3"/>
  <c r="BO23" i="3"/>
  <c r="BO25" i="3"/>
  <c r="BO24" i="3"/>
  <c r="DL23" i="3"/>
  <c r="DL24" i="3"/>
  <c r="DL25" i="3"/>
  <c r="DD23" i="3"/>
  <c r="DD24" i="3"/>
  <c r="DD25" i="3"/>
  <c r="CN23" i="3"/>
  <c r="CN24" i="3"/>
  <c r="CN25" i="3"/>
  <c r="CF23" i="3"/>
  <c r="CF24" i="3"/>
  <c r="CF25" i="3"/>
  <c r="BP23" i="3"/>
  <c r="BP24" i="3"/>
  <c r="BP25" i="3"/>
  <c r="AZ23" i="3"/>
  <c r="AZ24" i="3"/>
  <c r="AZ25" i="3"/>
  <c r="AR23" i="3"/>
  <c r="AR24" i="3"/>
  <c r="AR25" i="3"/>
  <c r="AB23" i="3"/>
  <c r="AB24" i="3"/>
  <c r="AB25" i="3"/>
  <c r="T23" i="3"/>
  <c r="T24" i="3"/>
  <c r="T25" i="3"/>
  <c r="CL24" i="3"/>
  <c r="CT23" i="3"/>
  <c r="BN23" i="3"/>
  <c r="AH23" i="3"/>
  <c r="CY25" i="3"/>
  <c r="CY23" i="3"/>
  <c r="DT23" i="3"/>
  <c r="DT24" i="3"/>
  <c r="AM25" i="3"/>
  <c r="AM24" i="3"/>
  <c r="AM23" i="3"/>
  <c r="CV23" i="3"/>
  <c r="CV24" i="3"/>
  <c r="AJ23" i="3"/>
  <c r="AJ24" i="3"/>
  <c r="AP24" i="3"/>
  <c r="J24" i="3"/>
  <c r="DQ25" i="3"/>
  <c r="DQ24" i="3"/>
  <c r="CC25" i="3"/>
  <c r="CC24" i="3"/>
  <c r="AO25" i="3"/>
  <c r="AO24" i="3"/>
  <c r="BX23" i="3"/>
  <c r="BX24" i="3"/>
  <c r="Z23" i="3"/>
  <c r="DP24" i="3"/>
  <c r="DP23" i="3"/>
  <c r="DH24" i="3"/>
  <c r="DH23" i="3"/>
  <c r="CZ24" i="3"/>
  <c r="CZ23" i="3"/>
  <c r="CR24" i="3"/>
  <c r="CR23" i="3"/>
  <c r="CJ24" i="3"/>
  <c r="CJ23" i="3"/>
  <c r="CB24" i="3"/>
  <c r="CB23" i="3"/>
  <c r="BT24" i="3"/>
  <c r="BT23" i="3"/>
  <c r="BL24" i="3"/>
  <c r="BL23" i="3"/>
  <c r="BD24" i="3"/>
  <c r="BD23" i="3"/>
  <c r="AV24" i="3"/>
  <c r="AV23" i="3"/>
  <c r="AN24" i="3"/>
  <c r="AN23" i="3"/>
  <c r="AF24" i="3"/>
  <c r="AF23" i="3"/>
  <c r="X24" i="3"/>
  <c r="X23" i="3"/>
  <c r="P24" i="3"/>
  <c r="P23" i="3"/>
  <c r="H24" i="3"/>
  <c r="H23" i="3"/>
  <c r="DH25" i="3"/>
  <c r="AV25" i="3"/>
  <c r="CY24" i="3"/>
  <c r="CD24" i="3"/>
  <c r="AH24" i="3"/>
  <c r="DQ23" i="3"/>
  <c r="DA25" i="3"/>
  <c r="DA24" i="3"/>
  <c r="BM25" i="3"/>
  <c r="BM24" i="3"/>
  <c r="Y25" i="3"/>
  <c r="Y24" i="3"/>
  <c r="DO25" i="3"/>
  <c r="DO23" i="3"/>
  <c r="CL23" i="3"/>
  <c r="O25" i="3"/>
  <c r="O24" i="3"/>
  <c r="O23" i="3"/>
  <c r="G25" i="3"/>
  <c r="G24" i="3"/>
  <c r="G23" i="3"/>
  <c r="CJ25" i="3"/>
  <c r="X25" i="3"/>
  <c r="DR24" i="3"/>
  <c r="BF24" i="3"/>
  <c r="DJ23" i="3"/>
  <c r="CD23" i="3"/>
  <c r="AX23" i="3"/>
  <c r="R23" i="3"/>
  <c r="BH23" i="3"/>
  <c r="BH24" i="3"/>
  <c r="L23" i="3"/>
  <c r="L24" i="3"/>
  <c r="CK25" i="3"/>
  <c r="CK24" i="3"/>
  <c r="AW25" i="3"/>
  <c r="AW24" i="3"/>
  <c r="I25" i="3"/>
  <c r="I24" i="3"/>
  <c r="BC25" i="3"/>
  <c r="BC23" i="3"/>
  <c r="DB24" i="3"/>
  <c r="DR23" i="3"/>
  <c r="DN25" i="3"/>
  <c r="DN24" i="3"/>
  <c r="DN23" i="3"/>
  <c r="DF25" i="3"/>
  <c r="DF24" i="3"/>
  <c r="DF23" i="3"/>
  <c r="CX25" i="3"/>
  <c r="CX24" i="3"/>
  <c r="CX23" i="3"/>
  <c r="CP25" i="3"/>
  <c r="CP24" i="3"/>
  <c r="CP23" i="3"/>
  <c r="CH25" i="3"/>
  <c r="CH24" i="3"/>
  <c r="CH23" i="3"/>
  <c r="BZ25" i="3"/>
  <c r="BZ24" i="3"/>
  <c r="BZ23" i="3"/>
  <c r="BR25" i="3"/>
  <c r="BR24" i="3"/>
  <c r="BR23" i="3"/>
  <c r="BJ25" i="3"/>
  <c r="BJ24" i="3"/>
  <c r="BJ23" i="3"/>
  <c r="BB25" i="3"/>
  <c r="BB24" i="3"/>
  <c r="BB23" i="3"/>
  <c r="AT25" i="3"/>
  <c r="AT24" i="3"/>
  <c r="AT23" i="3"/>
  <c r="AL25" i="3"/>
  <c r="AL24" i="3"/>
  <c r="AL23" i="3"/>
  <c r="AD25" i="3"/>
  <c r="AD24" i="3"/>
  <c r="AD23" i="3"/>
  <c r="V25" i="3"/>
  <c r="V24" i="3"/>
  <c r="V23" i="3"/>
  <c r="N25" i="3"/>
  <c r="N24" i="3"/>
  <c r="N23" i="3"/>
  <c r="BL25" i="3"/>
  <c r="DO24" i="3"/>
  <c r="CT24" i="3"/>
  <c r="BC24" i="3"/>
  <c r="Z24" i="3"/>
  <c r="CC23" i="3"/>
  <c r="AW23" i="3"/>
  <c r="BN24" i="3"/>
  <c r="CS25" i="3"/>
  <c r="CS24" i="3"/>
  <c r="BE25" i="3"/>
  <c r="BE24" i="3"/>
  <c r="Q25" i="3"/>
  <c r="Q24" i="3"/>
  <c r="BF23" i="3"/>
  <c r="DU24" i="3"/>
  <c r="DU23" i="3"/>
  <c r="DU25" i="3"/>
  <c r="DM24" i="3"/>
  <c r="DM23" i="3"/>
  <c r="DM25" i="3"/>
  <c r="DE24" i="3"/>
  <c r="DE23" i="3"/>
  <c r="DE25" i="3"/>
  <c r="CW24" i="3"/>
  <c r="CW23" i="3"/>
  <c r="CW25" i="3"/>
  <c r="CO24" i="3"/>
  <c r="CO23" i="3"/>
  <c r="CO25" i="3"/>
  <c r="CG24" i="3"/>
  <c r="CG23" i="3"/>
  <c r="CG25" i="3"/>
  <c r="BY24" i="3"/>
  <c r="BY23" i="3"/>
  <c r="BY25" i="3"/>
  <c r="BQ24" i="3"/>
  <c r="BQ23" i="3"/>
  <c r="BQ25" i="3"/>
  <c r="BI24" i="3"/>
  <c r="BI23" i="3"/>
  <c r="BI25" i="3"/>
  <c r="BA24" i="3"/>
  <c r="BA23" i="3"/>
  <c r="BA25" i="3"/>
  <c r="AS24" i="3"/>
  <c r="AS23" i="3"/>
  <c r="AS25" i="3"/>
  <c r="AK24" i="3"/>
  <c r="AK23" i="3"/>
  <c r="AK25" i="3"/>
  <c r="AC24" i="3"/>
  <c r="AC23" i="3"/>
  <c r="AC25" i="3"/>
  <c r="U24" i="3"/>
  <c r="U23" i="3"/>
  <c r="U25" i="3"/>
  <c r="M24" i="3"/>
  <c r="M23" i="3"/>
  <c r="M25" i="3"/>
  <c r="DT25" i="3"/>
  <c r="CZ25" i="3"/>
  <c r="BH25" i="3"/>
  <c r="AN25" i="3"/>
  <c r="BV24" i="3"/>
  <c r="DB23" i="3"/>
  <c r="BV23" i="3"/>
  <c r="AP23" i="3"/>
  <c r="J23" i="3"/>
  <c r="CA25" i="3"/>
  <c r="CA23" i="3"/>
  <c r="DI25" i="3"/>
  <c r="DI24" i="3"/>
  <c r="BU25" i="3"/>
  <c r="BU24" i="3"/>
  <c r="AG25" i="3"/>
  <c r="AG24" i="3"/>
  <c r="CV25" i="3"/>
  <c r="CB25" i="3"/>
  <c r="AJ25" i="3"/>
  <c r="P25" i="3"/>
  <c r="DJ24" i="3"/>
  <c r="AX24" i="3"/>
  <c r="R24" i="3"/>
  <c r="DA23" i="3"/>
  <c r="BU23" i="3"/>
  <c r="AO23" i="3"/>
  <c r="I23" i="3"/>
  <c r="BS13" i="13"/>
  <c r="CU38" i="3"/>
  <c r="CW15" i="29" s="1"/>
  <c r="CW9" i="13" s="1"/>
  <c r="E41" i="3"/>
  <c r="DN13" i="13"/>
  <c r="G13" i="16"/>
  <c r="AQ35" i="9"/>
  <c r="AT11" i="15" s="1"/>
  <c r="AY35" i="9"/>
  <c r="BB11" i="15" s="1"/>
  <c r="BG35" i="9"/>
  <c r="BJ11" i="15" s="1"/>
  <c r="BO35" i="9"/>
  <c r="BR11" i="15" s="1"/>
  <c r="BW35" i="9"/>
  <c r="BZ11" i="15" s="1"/>
  <c r="CE35" i="9"/>
  <c r="CH11" i="15" s="1"/>
  <c r="CM35" i="9"/>
  <c r="CP11" i="15" s="1"/>
  <c r="CU35" i="9"/>
  <c r="CX11" i="15" s="1"/>
  <c r="DC35" i="9"/>
  <c r="DF11" i="15" s="1"/>
  <c r="DK35" i="9"/>
  <c r="DN11" i="15" s="1"/>
  <c r="DS35" i="9"/>
  <c r="DV11" i="15" s="1"/>
  <c r="DL35" i="9"/>
  <c r="DO11" i="15" s="1"/>
  <c r="DT35" i="9"/>
  <c r="DW11" i="15" s="1"/>
  <c r="DP13" i="13"/>
  <c r="DN38" i="3"/>
  <c r="DP15" i="29" s="1"/>
  <c r="DP9" i="13" s="1"/>
  <c r="DH13" i="13"/>
  <c r="DF38" i="3"/>
  <c r="DH15" i="29" s="1"/>
  <c r="DH9" i="13" s="1"/>
  <c r="CZ13" i="13"/>
  <c r="CX38" i="3"/>
  <c r="CZ15" i="29" s="1"/>
  <c r="CZ9" i="13" s="1"/>
  <c r="CR13" i="13"/>
  <c r="CP38" i="3"/>
  <c r="CR15" i="29" s="1"/>
  <c r="CR9" i="13" s="1"/>
  <c r="CJ13" i="13"/>
  <c r="CH38" i="3"/>
  <c r="CJ15" i="29" s="1"/>
  <c r="CJ9" i="13" s="1"/>
  <c r="CB13" i="13"/>
  <c r="BZ38" i="3"/>
  <c r="CB15" i="29" s="1"/>
  <c r="CB9" i="13" s="1"/>
  <c r="BT13" i="13"/>
  <c r="BR38" i="3"/>
  <c r="BT15" i="29" s="1"/>
  <c r="BT9" i="13" s="1"/>
  <c r="BL13" i="13"/>
  <c r="BJ38" i="3"/>
  <c r="BL15" i="29" s="1"/>
  <c r="BL9" i="13" s="1"/>
  <c r="BD13" i="13"/>
  <c r="BB38" i="3"/>
  <c r="BD15" i="29" s="1"/>
  <c r="BD9" i="13" s="1"/>
  <c r="AV13" i="13"/>
  <c r="AT38" i="3"/>
  <c r="AV15" i="29" s="1"/>
  <c r="AV9" i="13" s="1"/>
  <c r="DT38" i="3"/>
  <c r="DV15" i="29" s="1"/>
  <c r="DV9" i="13" s="1"/>
  <c r="DV13" i="13"/>
  <c r="DL38" i="3"/>
  <c r="DN15" i="29" s="1"/>
  <c r="DN9" i="13" s="1"/>
  <c r="DD38" i="3"/>
  <c r="DF15" i="29" s="1"/>
  <c r="DF9" i="13" s="1"/>
  <c r="DF13" i="13"/>
  <c r="CV38" i="3"/>
  <c r="CX15" i="29" s="1"/>
  <c r="CX9" i="13" s="1"/>
  <c r="CX13" i="13"/>
  <c r="CN38" i="3"/>
  <c r="CP15" i="29" s="1"/>
  <c r="CP9" i="13" s="1"/>
  <c r="CP13" i="13"/>
  <c r="CF38" i="3"/>
  <c r="CH15" i="29" s="1"/>
  <c r="CH9" i="13" s="1"/>
  <c r="CH13" i="13"/>
  <c r="BP38" i="3"/>
  <c r="BR15" i="29" s="1"/>
  <c r="BR9" i="13" s="1"/>
  <c r="BR13" i="13"/>
  <c r="BH38" i="3"/>
  <c r="BJ15" i="29" s="1"/>
  <c r="BJ9" i="13" s="1"/>
  <c r="AZ38" i="3"/>
  <c r="BB15" i="29" s="1"/>
  <c r="BB9" i="13" s="1"/>
  <c r="AR38" i="3"/>
  <c r="AT15" i="29" s="1"/>
  <c r="AT9" i="13" s="1"/>
  <c r="AT13" i="13"/>
  <c r="DS38" i="3"/>
  <c r="DU15" i="29" s="1"/>
  <c r="DU9" i="13" s="1"/>
  <c r="DU13" i="13"/>
  <c r="DM13" i="13"/>
  <c r="DK38" i="3"/>
  <c r="DM15" i="29" s="1"/>
  <c r="DM9" i="13" s="1"/>
  <c r="DC38" i="3"/>
  <c r="DE15" i="29" s="1"/>
  <c r="DE9" i="13" s="1"/>
  <c r="DE13" i="13"/>
  <c r="CG13" i="13"/>
  <c r="CE38" i="3"/>
  <c r="CG15" i="29" s="1"/>
  <c r="CG9" i="13" s="1"/>
  <c r="BW38" i="3"/>
  <c r="BY15" i="29" s="1"/>
  <c r="BY9" i="13" s="1"/>
  <c r="BY13" i="13"/>
  <c r="BO38" i="3"/>
  <c r="BQ15" i="29" s="1"/>
  <c r="BQ9" i="13" s="1"/>
  <c r="BQ13" i="13"/>
  <c r="BI13" i="13"/>
  <c r="BG38" i="3"/>
  <c r="BI15" i="29" s="1"/>
  <c r="BI9" i="13" s="1"/>
  <c r="AY38" i="3"/>
  <c r="BA15" i="29" s="1"/>
  <c r="BA9" i="13" s="1"/>
  <c r="BA13" i="13"/>
  <c r="AS13" i="13"/>
  <c r="AQ38" i="3"/>
  <c r="AS15" i="29" s="1"/>
  <c r="AS9" i="13" s="1"/>
  <c r="DU38" i="3"/>
  <c r="DW15" i="29" s="1"/>
  <c r="DW9" i="13" s="1"/>
  <c r="DW13" i="13"/>
  <c r="DE38" i="3"/>
  <c r="DG15" i="29" s="1"/>
  <c r="DG9" i="13" s="1"/>
  <c r="DG13" i="13"/>
  <c r="CO38" i="3"/>
  <c r="CQ15" i="29" s="1"/>
  <c r="CQ9" i="13" s="1"/>
  <c r="CQ13" i="13"/>
  <c r="BQ38" i="3"/>
  <c r="BS15" i="29" s="1"/>
  <c r="BS9" i="13" s="1"/>
  <c r="BA38" i="3"/>
  <c r="BC15" i="29" s="1"/>
  <c r="BC9" i="13" s="1"/>
  <c r="BC13" i="13"/>
  <c r="DT13" i="13"/>
  <c r="DR38" i="3"/>
  <c r="DT15" i="29" s="1"/>
  <c r="DT9" i="13" s="1"/>
  <c r="DL13" i="13"/>
  <c r="DJ38" i="3"/>
  <c r="DL15" i="29" s="1"/>
  <c r="DL9" i="13" s="1"/>
  <c r="DD13" i="13"/>
  <c r="DB38" i="3"/>
  <c r="DD15" i="29" s="1"/>
  <c r="DD9" i="13" s="1"/>
  <c r="CV13" i="13"/>
  <c r="CT38" i="3"/>
  <c r="CV15" i="29" s="1"/>
  <c r="CV9" i="13" s="1"/>
  <c r="CN13" i="13"/>
  <c r="CL38" i="3"/>
  <c r="CN15" i="29" s="1"/>
  <c r="CN9" i="13" s="1"/>
  <c r="CF13" i="13"/>
  <c r="CD38" i="3"/>
  <c r="CF15" i="29" s="1"/>
  <c r="CF9" i="13" s="1"/>
  <c r="BX13" i="13"/>
  <c r="BV38" i="3"/>
  <c r="BX15" i="29" s="1"/>
  <c r="BX9" i="13" s="1"/>
  <c r="BP13" i="13"/>
  <c r="BN38" i="3"/>
  <c r="BP15" i="29" s="1"/>
  <c r="BP9" i="13" s="1"/>
  <c r="BH13" i="13"/>
  <c r="BF38" i="3"/>
  <c r="BH15" i="29" s="1"/>
  <c r="BH9" i="13" s="1"/>
  <c r="AZ13" i="13"/>
  <c r="AX38" i="3"/>
  <c r="AZ15" i="29" s="1"/>
  <c r="AZ9" i="13" s="1"/>
  <c r="AR13" i="13"/>
  <c r="BY38" i="3"/>
  <c r="CA15" i="29" s="1"/>
  <c r="CA9" i="13" s="1"/>
  <c r="CA13" i="13"/>
  <c r="DQ38" i="3"/>
  <c r="DS15" i="29" s="1"/>
  <c r="DS9" i="13" s="1"/>
  <c r="DS13" i="13"/>
  <c r="DI38" i="3"/>
  <c r="DK15" i="29" s="1"/>
  <c r="DK9" i="13" s="1"/>
  <c r="DK13" i="13"/>
  <c r="DA38" i="3"/>
  <c r="DC15" i="29" s="1"/>
  <c r="DC9" i="13" s="1"/>
  <c r="DC13" i="13"/>
  <c r="CS38" i="3"/>
  <c r="CU15" i="29" s="1"/>
  <c r="CU9" i="13" s="1"/>
  <c r="CU13" i="13"/>
  <c r="CK38" i="3"/>
  <c r="CM15" i="29" s="1"/>
  <c r="CM9" i="13" s="1"/>
  <c r="CM13" i="13"/>
  <c r="CC38" i="3"/>
  <c r="CE15" i="29" s="1"/>
  <c r="CE9" i="13" s="1"/>
  <c r="CE13" i="13"/>
  <c r="BU38" i="3"/>
  <c r="BW15" i="29" s="1"/>
  <c r="BW9" i="13" s="1"/>
  <c r="BW13" i="13"/>
  <c r="BM38" i="3"/>
  <c r="BO15" i="29" s="1"/>
  <c r="BO9" i="13" s="1"/>
  <c r="BO13" i="13"/>
  <c r="BE38" i="3"/>
  <c r="BG15" i="29" s="1"/>
  <c r="BG9" i="13" s="1"/>
  <c r="BG13" i="13"/>
  <c r="AW38" i="3"/>
  <c r="AY15" i="29" s="1"/>
  <c r="AY9" i="13" s="1"/>
  <c r="AY13" i="13"/>
  <c r="DP38" i="3"/>
  <c r="DR15" i="29" s="1"/>
  <c r="DR9" i="13" s="1"/>
  <c r="DR13" i="13"/>
  <c r="DH38" i="3"/>
  <c r="DJ15" i="29" s="1"/>
  <c r="DJ9" i="13" s="1"/>
  <c r="DJ13" i="13"/>
  <c r="CZ38" i="3"/>
  <c r="DB15" i="29" s="1"/>
  <c r="DB9" i="13" s="1"/>
  <c r="DB13" i="13"/>
  <c r="CR38" i="3"/>
  <c r="CT15" i="29" s="1"/>
  <c r="CT9" i="13" s="1"/>
  <c r="CT13" i="13"/>
  <c r="CJ38" i="3"/>
  <c r="CL15" i="29" s="1"/>
  <c r="CL9" i="13" s="1"/>
  <c r="CL13" i="13"/>
  <c r="CB38" i="3"/>
  <c r="CD15" i="29" s="1"/>
  <c r="CD9" i="13" s="1"/>
  <c r="CD13" i="13"/>
  <c r="BT38" i="3"/>
  <c r="BV15" i="29" s="1"/>
  <c r="BV9" i="13" s="1"/>
  <c r="BV13" i="13"/>
  <c r="BL38" i="3"/>
  <c r="BN15" i="29" s="1"/>
  <c r="BN9" i="13" s="1"/>
  <c r="BN13" i="13"/>
  <c r="BD38" i="3"/>
  <c r="BF15" i="29" s="1"/>
  <c r="BF9" i="13" s="1"/>
  <c r="BF13" i="13"/>
  <c r="AV38" i="3"/>
  <c r="AX15" i="29" s="1"/>
  <c r="AX9" i="13" s="1"/>
  <c r="AX13" i="13"/>
  <c r="DM38" i="3"/>
  <c r="DO15" i="29" s="1"/>
  <c r="DO9" i="13" s="1"/>
  <c r="DO13" i="13"/>
  <c r="CW38" i="3"/>
  <c r="CY15" i="29" s="1"/>
  <c r="CY9" i="13" s="1"/>
  <c r="CY13" i="13"/>
  <c r="CG38" i="3"/>
  <c r="CI15" i="29" s="1"/>
  <c r="CI9" i="13" s="1"/>
  <c r="CI13" i="13"/>
  <c r="AS38" i="3"/>
  <c r="AU15" i="29" s="1"/>
  <c r="AU9" i="13" s="1"/>
  <c r="AU13" i="13"/>
  <c r="DQ13" i="13"/>
  <c r="DO38" i="3"/>
  <c r="DQ15" i="29" s="1"/>
  <c r="DQ9" i="13" s="1"/>
  <c r="DI13" i="13"/>
  <c r="DG38" i="3"/>
  <c r="DI15" i="29" s="1"/>
  <c r="DI9" i="13" s="1"/>
  <c r="DA13" i="13"/>
  <c r="CY38" i="3"/>
  <c r="DA15" i="29" s="1"/>
  <c r="DA9" i="13" s="1"/>
  <c r="CQ38" i="3"/>
  <c r="CS15" i="29" s="1"/>
  <c r="CS9" i="13" s="1"/>
  <c r="CS13" i="13"/>
  <c r="CK13" i="13"/>
  <c r="CI38" i="3"/>
  <c r="CK15" i="29" s="1"/>
  <c r="CK9" i="13" s="1"/>
  <c r="CA38" i="3"/>
  <c r="CC15" i="29" s="1"/>
  <c r="CC9" i="13" s="1"/>
  <c r="CC13" i="13"/>
  <c r="BU13" i="13"/>
  <c r="BS38" i="3"/>
  <c r="BU15" i="29" s="1"/>
  <c r="BU9" i="13" s="1"/>
  <c r="BM13" i="13"/>
  <c r="BK38" i="3"/>
  <c r="BM15" i="29" s="1"/>
  <c r="BM9" i="13" s="1"/>
  <c r="BC38" i="3"/>
  <c r="BE15" i="29" s="1"/>
  <c r="BE9" i="13" s="1"/>
  <c r="BE13" i="13"/>
  <c r="AU38" i="3"/>
  <c r="AW15" i="29" s="1"/>
  <c r="AW9" i="13" s="1"/>
  <c r="AW13" i="13"/>
  <c r="ED37" i="6"/>
  <c r="L9" i="17" s="1"/>
  <c r="DZ37" i="6"/>
  <c r="H9" i="17" s="1"/>
  <c r="DX37" i="6"/>
  <c r="F9" i="17" s="1"/>
  <c r="EE37" i="6"/>
  <c r="M9" i="17" s="1"/>
  <c r="EC37" i="6"/>
  <c r="K9" i="17" s="1"/>
  <c r="EA37" i="6"/>
  <c r="I9" i="17" s="1"/>
  <c r="DY37" i="6"/>
  <c r="G9" i="17" s="1"/>
  <c r="EB37" i="6"/>
  <c r="J9" i="17" s="1"/>
  <c r="EE8" i="6"/>
  <c r="DW8" i="6"/>
  <c r="DM15" i="9"/>
  <c r="DY8" i="6"/>
  <c r="DX8" i="6"/>
  <c r="DU15" i="9"/>
  <c r="EC8" i="6"/>
  <c r="DI15" i="9"/>
  <c r="DC15" i="9"/>
  <c r="DQ15" i="9"/>
  <c r="DL15" i="9"/>
  <c r="CV15" i="9"/>
  <c r="DD15" i="9"/>
  <c r="CW15" i="9"/>
  <c r="DE15" i="9"/>
  <c r="DK15" i="9"/>
  <c r="DS15" i="9"/>
  <c r="DT15" i="9"/>
  <c r="DA15" i="9"/>
  <c r="ED8" i="6"/>
  <c r="EB8" i="6"/>
  <c r="EA8" i="6"/>
  <c r="DZ8" i="6"/>
  <c r="DV8" i="6"/>
  <c r="Q22" i="3" l="1"/>
  <c r="DI22" i="3"/>
  <c r="BB22" i="3"/>
  <c r="BA9" i="7" s="1"/>
  <c r="DN22" i="3"/>
  <c r="K20" i="27"/>
  <c r="J13" i="27"/>
  <c r="F8" i="7"/>
  <c r="AU12" i="3"/>
  <c r="AT40" i="3"/>
  <c r="T8" i="9"/>
  <c r="T6" i="9" s="1"/>
  <c r="G6" i="7"/>
  <c r="AR14" i="4"/>
  <c r="AQ8" i="24"/>
  <c r="BJ22" i="3"/>
  <c r="BI9" i="7" s="1"/>
  <c r="CC22" i="3"/>
  <c r="CB9" i="7" s="1"/>
  <c r="CD22" i="3"/>
  <c r="CC9" i="7" s="1"/>
  <c r="Y22" i="3"/>
  <c r="X9" i="7" s="1"/>
  <c r="AM22" i="3"/>
  <c r="AG22" i="3"/>
  <c r="AF9" i="7" s="1"/>
  <c r="BM22" i="3"/>
  <c r="BL9" i="7" s="1"/>
  <c r="AF22" i="3"/>
  <c r="AE9" i="7" s="1"/>
  <c r="CR22" i="3"/>
  <c r="CQ9" i="7" s="1"/>
  <c r="CS22" i="3"/>
  <c r="CR9" i="7" s="1"/>
  <c r="AD22" i="3"/>
  <c r="AC9" i="7" s="1"/>
  <c r="CP22" i="3"/>
  <c r="CO9" i="7" s="1"/>
  <c r="F6" i="30"/>
  <c r="F9" i="30"/>
  <c r="F15" i="30" s="1"/>
  <c r="F20" i="30"/>
  <c r="I43" i="29" s="1"/>
  <c r="S4" i="30"/>
  <c r="J26" i="29"/>
  <c r="G7" i="7"/>
  <c r="G4" i="30"/>
  <c r="G5" i="7"/>
  <c r="H17" i="9" s="1"/>
  <c r="E20" i="30"/>
  <c r="E6" i="30"/>
  <c r="E9" i="30"/>
  <c r="E15" i="30" s="1"/>
  <c r="Q6" i="30"/>
  <c r="Q9" i="30"/>
  <c r="AL9" i="7"/>
  <c r="DB22" i="3"/>
  <c r="P9" i="7"/>
  <c r="DH9" i="7"/>
  <c r="DM9" i="7"/>
  <c r="T9" i="4"/>
  <c r="T8" i="4" s="1"/>
  <c r="S11" i="4"/>
  <c r="R15" i="4"/>
  <c r="R9" i="6" s="1"/>
  <c r="T7" i="4"/>
  <c r="T6" i="4" s="1"/>
  <c r="S13" i="4"/>
  <c r="H5" i="24"/>
  <c r="G7" i="24"/>
  <c r="G9" i="24" s="1"/>
  <c r="K16" i="13" s="1"/>
  <c r="L25" i="15" s="1"/>
  <c r="CW22" i="3"/>
  <c r="AK22" i="3"/>
  <c r="I22" i="3"/>
  <c r="BK22" i="3"/>
  <c r="CK22" i="3"/>
  <c r="O22" i="3"/>
  <c r="BU22" i="3"/>
  <c r="BC22" i="3"/>
  <c r="CO22" i="3"/>
  <c r="AO22" i="3"/>
  <c r="CA22" i="3"/>
  <c r="BE22" i="3"/>
  <c r="AC22" i="3"/>
  <c r="BR22" i="3"/>
  <c r="BN22" i="3"/>
  <c r="AB22" i="3"/>
  <c r="BO22" i="3"/>
  <c r="AA22" i="3"/>
  <c r="DJ22" i="3"/>
  <c r="BL22" i="3"/>
  <c r="Z22" i="3"/>
  <c r="AE22" i="3"/>
  <c r="N22" i="3"/>
  <c r="BZ22" i="3"/>
  <c r="H22" i="3"/>
  <c r="BT22" i="3"/>
  <c r="CZ22" i="3"/>
  <c r="DC22" i="3"/>
  <c r="DD22" i="3"/>
  <c r="AS22" i="3"/>
  <c r="BF22" i="3"/>
  <c r="L22" i="3"/>
  <c r="AN22" i="3"/>
  <c r="BX22" i="3"/>
  <c r="AR22" i="3"/>
  <c r="AI22" i="3"/>
  <c r="BS22" i="3"/>
  <c r="AY22" i="3"/>
  <c r="CT22" i="3"/>
  <c r="S22" i="3"/>
  <c r="CG22" i="3"/>
  <c r="DE22" i="3"/>
  <c r="DA22" i="3"/>
  <c r="BQ22" i="3"/>
  <c r="AW22" i="3"/>
  <c r="AL22" i="3"/>
  <c r="CX22" i="3"/>
  <c r="CL22" i="3"/>
  <c r="DT22" i="3"/>
  <c r="CF22" i="3"/>
  <c r="AQ22" i="3"/>
  <c r="AU22" i="3"/>
  <c r="DG22" i="3"/>
  <c r="CM22" i="3"/>
  <c r="K22" i="3"/>
  <c r="J22" i="3"/>
  <c r="BH22" i="3"/>
  <c r="DO22" i="3"/>
  <c r="DQ22" i="3"/>
  <c r="P22" i="3"/>
  <c r="AV22" i="3"/>
  <c r="CB22" i="3"/>
  <c r="DH22" i="3"/>
  <c r="AJ22" i="3"/>
  <c r="CY22" i="3"/>
  <c r="T22" i="3"/>
  <c r="DL22" i="3"/>
  <c r="DS22" i="3"/>
  <c r="DU22" i="3"/>
  <c r="BP22" i="3"/>
  <c r="CQ22" i="3"/>
  <c r="AP22" i="3"/>
  <c r="BA22" i="3"/>
  <c r="DM22" i="3"/>
  <c r="V22" i="3"/>
  <c r="CH22" i="3"/>
  <c r="F25" i="3"/>
  <c r="E25" i="3" s="1"/>
  <c r="F24" i="3"/>
  <c r="E24" i="3" s="1"/>
  <c r="F23" i="3"/>
  <c r="R22" i="3"/>
  <c r="G22" i="3"/>
  <c r="AZ22" i="3"/>
  <c r="BG22" i="3"/>
  <c r="W22" i="3"/>
  <c r="CI22" i="3"/>
  <c r="CE22" i="3"/>
  <c r="BI22" i="3"/>
  <c r="U22" i="3"/>
  <c r="CU22" i="3"/>
  <c r="BV22" i="3"/>
  <c r="M22" i="3"/>
  <c r="BY22" i="3"/>
  <c r="AT22" i="3"/>
  <c r="DF22" i="3"/>
  <c r="DR22" i="3"/>
  <c r="AX22" i="3"/>
  <c r="X22" i="3"/>
  <c r="BD22" i="3"/>
  <c r="CJ22" i="3"/>
  <c r="DP22" i="3"/>
  <c r="CV22" i="3"/>
  <c r="AH22" i="3"/>
  <c r="CN22" i="3"/>
  <c r="BW22" i="3"/>
  <c r="DK22" i="3"/>
  <c r="BB13" i="13"/>
  <c r="BK13" i="13"/>
  <c r="BI38" i="3"/>
  <c r="BK15" i="29" s="1"/>
  <c r="BK9" i="13" s="1"/>
  <c r="CW13" i="13"/>
  <c r="BZ13" i="13"/>
  <c r="BX38" i="3"/>
  <c r="BZ15" i="29" s="1"/>
  <c r="BZ9" i="13" s="1"/>
  <c r="CO13" i="13"/>
  <c r="CM38" i="3"/>
  <c r="CO15" i="29" s="1"/>
  <c r="CO9" i="13" s="1"/>
  <c r="BJ13" i="13"/>
  <c r="E21" i="30" l="1"/>
  <c r="H43" i="29"/>
  <c r="F21" i="30"/>
  <c r="K17" i="27"/>
  <c r="K22" i="27" s="1"/>
  <c r="J44" i="29" s="1"/>
  <c r="U8" i="9"/>
  <c r="U6" i="9" s="1"/>
  <c r="H6" i="7"/>
  <c r="AR8" i="24"/>
  <c r="AS14" i="4"/>
  <c r="AV12" i="3"/>
  <c r="AU40" i="3"/>
  <c r="G20" i="30"/>
  <c r="G9" i="30"/>
  <c r="G15" i="30" s="1"/>
  <c r="G6" i="30"/>
  <c r="H32" i="26"/>
  <c r="H33" i="26" s="1"/>
  <c r="H47" i="26" s="1"/>
  <c r="H19" i="26"/>
  <c r="H23" i="26" s="1"/>
  <c r="H24" i="26" s="1"/>
  <c r="G32" i="26"/>
  <c r="G19" i="26"/>
  <c r="G23" i="26" s="1"/>
  <c r="G24" i="26" s="1"/>
  <c r="T4" i="30"/>
  <c r="K26" i="29"/>
  <c r="H7" i="7"/>
  <c r="H4" i="30"/>
  <c r="H5" i="7"/>
  <c r="I17" i="9" s="1"/>
  <c r="R5" i="30"/>
  <c r="U25" i="29"/>
  <c r="DX9" i="6"/>
  <c r="AG9" i="7"/>
  <c r="CA9" i="7"/>
  <c r="AD9" i="7"/>
  <c r="CH9" i="7"/>
  <c r="AV9" i="7"/>
  <c r="AB9" i="7"/>
  <c r="V9" i="7"/>
  <c r="BP9" i="7"/>
  <c r="BJ9" i="7"/>
  <c r="L9" i="7"/>
  <c r="AQ9" i="7"/>
  <c r="H9" i="7"/>
  <c r="DE9" i="7"/>
  <c r="CL9" i="7"/>
  <c r="AX9" i="7"/>
  <c r="N9" i="7"/>
  <c r="CU9" i="7"/>
  <c r="AU9" i="7"/>
  <c r="Y9" i="7"/>
  <c r="CG9" i="7"/>
  <c r="AH9" i="7"/>
  <c r="BF9" i="7"/>
  <c r="CE9" i="7"/>
  <c r="BO9" i="7"/>
  <c r="AR9" i="7"/>
  <c r="DT9" i="7"/>
  <c r="BR9" i="7"/>
  <c r="DO9" i="7"/>
  <c r="O9" i="7"/>
  <c r="BK9" i="7"/>
  <c r="U9" i="7"/>
  <c r="AP9" i="7"/>
  <c r="CY9" i="7"/>
  <c r="BU9" i="7"/>
  <c r="S9" i="7"/>
  <c r="DD9" i="7"/>
  <c r="Z9" i="7"/>
  <c r="AJ9" i="7"/>
  <c r="DJ9" i="7"/>
  <c r="W9" i="7"/>
  <c r="CT9" i="7"/>
  <c r="F9" i="7"/>
  <c r="AZ9" i="7"/>
  <c r="CX9" i="7"/>
  <c r="BG9" i="7"/>
  <c r="DS9" i="7"/>
  <c r="CF9" i="7"/>
  <c r="AM9" i="7"/>
  <c r="G9" i="7"/>
  <c r="BN9" i="7"/>
  <c r="CN9" i="7"/>
  <c r="CV9" i="7"/>
  <c r="CD9" i="7"/>
  <c r="DC9" i="7"/>
  <c r="DR9" i="7"/>
  <c r="DB9" i="7"/>
  <c r="CI9" i="7"/>
  <c r="DP9" i="7"/>
  <c r="CZ9" i="7"/>
  <c r="DI9" i="7"/>
  <c r="AY9" i="7"/>
  <c r="DN9" i="7"/>
  <c r="BW9" i="7"/>
  <c r="BS9" i="7"/>
  <c r="AN9" i="7"/>
  <c r="BV9" i="7"/>
  <c r="AW9" i="7"/>
  <c r="T9" i="7"/>
  <c r="Q9" i="7"/>
  <c r="AO9" i="7"/>
  <c r="AI9" i="7"/>
  <c r="I9" i="7"/>
  <c r="CK9" i="7"/>
  <c r="R9" i="7"/>
  <c r="K9" i="7"/>
  <c r="BY9" i="7"/>
  <c r="AA9" i="7"/>
  <c r="BB9" i="7"/>
  <c r="AK9" i="7"/>
  <c r="BQ9" i="7"/>
  <c r="AS9" i="7"/>
  <c r="DF9" i="7"/>
  <c r="CJ9" i="7"/>
  <c r="BX9" i="7"/>
  <c r="AT9" i="7"/>
  <c r="BD9" i="7"/>
  <c r="DK9" i="7"/>
  <c r="BZ9" i="7"/>
  <c r="BC9" i="7"/>
  <c r="DL9" i="7"/>
  <c r="CM9" i="7"/>
  <c r="DQ9" i="7"/>
  <c r="BH9" i="7"/>
  <c r="CP9" i="7"/>
  <c r="DG9" i="7"/>
  <c r="J9" i="7"/>
  <c r="CW9" i="7"/>
  <c r="CS9" i="7"/>
  <c r="BE9" i="7"/>
  <c r="M9" i="7"/>
  <c r="BM9" i="7"/>
  <c r="BT9" i="7"/>
  <c r="DA9" i="7"/>
  <c r="S15" i="4"/>
  <c r="S9" i="6" s="1"/>
  <c r="DY9" i="6" s="1"/>
  <c r="U7" i="4"/>
  <c r="U6" i="4" s="1"/>
  <c r="T13" i="4"/>
  <c r="U9" i="4"/>
  <c r="U8" i="4" s="1"/>
  <c r="T11" i="4"/>
  <c r="I5" i="24"/>
  <c r="H7" i="24"/>
  <c r="H9" i="24" s="1"/>
  <c r="L16" i="13" s="1"/>
  <c r="M25" i="15" s="1"/>
  <c r="E23" i="3"/>
  <c r="F22" i="3"/>
  <c r="E9" i="7" s="1"/>
  <c r="F18" i="9" s="1"/>
  <c r="E38" i="3"/>
  <c r="G21" i="30" l="1"/>
  <c r="I32" i="26" s="1"/>
  <c r="I33" i="26" s="1"/>
  <c r="I47" i="26" s="1"/>
  <c r="J43" i="29"/>
  <c r="K7" i="27"/>
  <c r="H42" i="3"/>
  <c r="G8" i="7"/>
  <c r="G10" i="7" s="1"/>
  <c r="K13" i="27"/>
  <c r="L20" i="27"/>
  <c r="L17" i="27" s="1"/>
  <c r="H49" i="26"/>
  <c r="AT14" i="4"/>
  <c r="AS8" i="24"/>
  <c r="AW12" i="3"/>
  <c r="AV40" i="3"/>
  <c r="V8" i="9"/>
  <c r="V6" i="9" s="1"/>
  <c r="I6" i="7"/>
  <c r="I18" i="9"/>
  <c r="F10" i="7"/>
  <c r="G18" i="9"/>
  <c r="H18" i="9"/>
  <c r="H6" i="30"/>
  <c r="H20" i="30"/>
  <c r="H9" i="30"/>
  <c r="H15" i="30" s="1"/>
  <c r="U4" i="30"/>
  <c r="L26" i="29"/>
  <c r="I7" i="7"/>
  <c r="I5" i="7"/>
  <c r="I4" i="30"/>
  <c r="R9" i="30"/>
  <c r="R15" i="30" s="1"/>
  <c r="R6" i="30"/>
  <c r="S5" i="30"/>
  <c r="V25" i="29"/>
  <c r="E10" i="7"/>
  <c r="D9" i="7"/>
  <c r="V9" i="4"/>
  <c r="V8" i="4" s="1"/>
  <c r="U11" i="4"/>
  <c r="T15" i="4"/>
  <c r="T9" i="6" s="1"/>
  <c r="V7" i="4"/>
  <c r="V6" i="4" s="1"/>
  <c r="U13" i="4"/>
  <c r="J5" i="24"/>
  <c r="I7" i="24"/>
  <c r="I9" i="24" s="1"/>
  <c r="M16" i="13" s="1"/>
  <c r="N25" i="15" s="1"/>
  <c r="E22" i="3"/>
  <c r="J27" i="29" l="1"/>
  <c r="J18" i="13"/>
  <c r="H18" i="13"/>
  <c r="H27" i="29"/>
  <c r="H21" i="29" s="1"/>
  <c r="H5" i="13" s="1"/>
  <c r="I24" i="15" s="1"/>
  <c r="I27" i="29"/>
  <c r="I18" i="13"/>
  <c r="I19" i="26"/>
  <c r="I23" i="26" s="1"/>
  <c r="I24" i="26" s="1"/>
  <c r="I49" i="26" s="1"/>
  <c r="J18" i="9"/>
  <c r="H21" i="30"/>
  <c r="J19" i="26" s="1"/>
  <c r="J23" i="26" s="1"/>
  <c r="J24" i="26" s="1"/>
  <c r="K43" i="29"/>
  <c r="L7" i="27"/>
  <c r="I42" i="3"/>
  <c r="L22" i="27"/>
  <c r="AU14" i="4"/>
  <c r="AT8" i="24"/>
  <c r="AW40" i="3"/>
  <c r="AX12" i="3"/>
  <c r="J6" i="7"/>
  <c r="W8" i="9"/>
  <c r="W6" i="9" s="1"/>
  <c r="J17" i="9"/>
  <c r="J5" i="7"/>
  <c r="V4" i="30"/>
  <c r="M26" i="29"/>
  <c r="J7" i="7"/>
  <c r="K18" i="9" s="1"/>
  <c r="J4" i="30"/>
  <c r="I6" i="30"/>
  <c r="I9" i="30"/>
  <c r="I15" i="30" s="1"/>
  <c r="I20" i="30"/>
  <c r="S9" i="30"/>
  <c r="S15" i="30" s="1"/>
  <c r="S6" i="30"/>
  <c r="W25" i="29"/>
  <c r="T5" i="30"/>
  <c r="DZ9" i="6"/>
  <c r="U15" i="4"/>
  <c r="U9" i="6" s="1"/>
  <c r="EA9" i="6" s="1"/>
  <c r="W7" i="4"/>
  <c r="W6" i="4" s="1"/>
  <c r="V13" i="4"/>
  <c r="W9" i="4"/>
  <c r="W8" i="4" s="1"/>
  <c r="V11" i="4"/>
  <c r="K5" i="24"/>
  <c r="J7" i="24"/>
  <c r="J9" i="24" s="1"/>
  <c r="N16" i="13" s="1"/>
  <c r="O25" i="15" s="1"/>
  <c r="M20" i="27" l="1"/>
  <c r="K44" i="29"/>
  <c r="H20" i="29"/>
  <c r="I20" i="29"/>
  <c r="I21" i="29"/>
  <c r="I5" i="13" s="1"/>
  <c r="J24" i="15" s="1"/>
  <c r="J20" i="29"/>
  <c r="J21" i="29"/>
  <c r="J5" i="13" s="1"/>
  <c r="K24" i="15" s="1"/>
  <c r="J32" i="26"/>
  <c r="I21" i="30"/>
  <c r="K19" i="26" s="1"/>
  <c r="K23" i="26" s="1"/>
  <c r="K24" i="26" s="1"/>
  <c r="L43" i="29"/>
  <c r="L13" i="27"/>
  <c r="H8" i="7"/>
  <c r="H10" i="7" s="1"/>
  <c r="K6" i="7"/>
  <c r="X8" i="9"/>
  <c r="X6" i="9" s="1"/>
  <c r="AU8" i="24"/>
  <c r="AV14" i="4"/>
  <c r="AX40" i="3"/>
  <c r="AY12" i="3"/>
  <c r="K17" i="9"/>
  <c r="M17" i="27"/>
  <c r="K5" i="7"/>
  <c r="W4" i="30"/>
  <c r="N26" i="29"/>
  <c r="K7" i="7"/>
  <c r="K4" i="30"/>
  <c r="K32" i="26"/>
  <c r="J9" i="30"/>
  <c r="J15" i="30" s="1"/>
  <c r="J6" i="30"/>
  <c r="J20" i="30"/>
  <c r="H8" i="29"/>
  <c r="T9" i="30"/>
  <c r="T15" i="30" s="1"/>
  <c r="T6" i="30"/>
  <c r="U5" i="30"/>
  <c r="X25" i="29"/>
  <c r="X7" i="4"/>
  <c r="X6" i="4" s="1"/>
  <c r="W13" i="4"/>
  <c r="V15" i="4"/>
  <c r="V9" i="6" s="1"/>
  <c r="X9" i="4"/>
  <c r="X8" i="4" s="1"/>
  <c r="W11" i="4"/>
  <c r="L5" i="24"/>
  <c r="K7" i="24"/>
  <c r="K9" i="24" s="1"/>
  <c r="O16" i="13" s="1"/>
  <c r="P25" i="15" s="1"/>
  <c r="J18" i="29" l="1"/>
  <c r="J8" i="29" s="1"/>
  <c r="J19" i="29"/>
  <c r="J33" i="29" s="1"/>
  <c r="J10" i="13" s="1"/>
  <c r="K27" i="29"/>
  <c r="K18" i="13"/>
  <c r="I18" i="29"/>
  <c r="I19" i="29"/>
  <c r="I33" i="29" s="1"/>
  <c r="I10" i="13" s="1"/>
  <c r="H18" i="29"/>
  <c r="H35" i="29" s="1"/>
  <c r="I34" i="29" s="1"/>
  <c r="H19" i="29"/>
  <c r="H33" i="29" s="1"/>
  <c r="H10" i="13" s="1"/>
  <c r="L18" i="9"/>
  <c r="J21" i="30"/>
  <c r="L19" i="26" s="1"/>
  <c r="L23" i="26" s="1"/>
  <c r="L24" i="26" s="1"/>
  <c r="M43" i="29"/>
  <c r="M7" i="27"/>
  <c r="J42" i="3"/>
  <c r="AY40" i="3"/>
  <c r="AZ12" i="3"/>
  <c r="AV8" i="24"/>
  <c r="AW14" i="4"/>
  <c r="L6" i="7"/>
  <c r="Y8" i="9"/>
  <c r="Y6" i="9" s="1"/>
  <c r="L17" i="9"/>
  <c r="M22" i="27"/>
  <c r="L44" i="29" s="1"/>
  <c r="K20" i="30"/>
  <c r="K6" i="30"/>
  <c r="K9" i="30"/>
  <c r="K15" i="30" s="1"/>
  <c r="L5" i="7"/>
  <c r="L4" i="30"/>
  <c r="X4" i="30"/>
  <c r="O26" i="29"/>
  <c r="L7" i="7"/>
  <c r="M18" i="9" s="1"/>
  <c r="L32" i="26"/>
  <c r="U6" i="30"/>
  <c r="U9" i="30"/>
  <c r="U15" i="30" s="1"/>
  <c r="Y25" i="29"/>
  <c r="V5" i="30"/>
  <c r="EB9" i="6"/>
  <c r="I8" i="29"/>
  <c r="Y9" i="4"/>
  <c r="Y8" i="4" s="1"/>
  <c r="X11" i="4"/>
  <c r="W15" i="4"/>
  <c r="W9" i="6" s="1"/>
  <c r="Y7" i="4"/>
  <c r="Y6" i="4" s="1"/>
  <c r="X13" i="4"/>
  <c r="M5" i="24"/>
  <c r="L7" i="24"/>
  <c r="L9" i="24" s="1"/>
  <c r="P16" i="13" s="1"/>
  <c r="Q25" i="15" s="1"/>
  <c r="I31" i="29" l="1"/>
  <c r="I29" i="29" s="1"/>
  <c r="I9" i="29" s="1"/>
  <c r="K20" i="29"/>
  <c r="K21" i="29"/>
  <c r="K5" i="13" s="1"/>
  <c r="L24" i="15" s="1"/>
  <c r="K21" i="30"/>
  <c r="M32" i="26" s="1"/>
  <c r="N43" i="29"/>
  <c r="I8" i="7"/>
  <c r="I10" i="7" s="1"/>
  <c r="M13" i="27"/>
  <c r="BA12" i="3"/>
  <c r="AZ40" i="3"/>
  <c r="M6" i="7"/>
  <c r="Z8" i="9"/>
  <c r="Z6" i="9" s="1"/>
  <c r="AW8" i="24"/>
  <c r="AX14" i="4"/>
  <c r="M17" i="9"/>
  <c r="N20" i="27"/>
  <c r="M4" i="30"/>
  <c r="M5" i="7"/>
  <c r="M7" i="7"/>
  <c r="N18" i="9" s="1"/>
  <c r="Y4" i="30"/>
  <c r="P26" i="29"/>
  <c r="L9" i="30"/>
  <c r="L15" i="30" s="1"/>
  <c r="L20" i="30"/>
  <c r="L6" i="30"/>
  <c r="Z25" i="29"/>
  <c r="W5" i="30"/>
  <c r="EC9" i="6"/>
  <c r="V9" i="30"/>
  <c r="V15" i="30" s="1"/>
  <c r="V6" i="30"/>
  <c r="X15" i="4"/>
  <c r="X9" i="6" s="1"/>
  <c r="Z7" i="4"/>
  <c r="Z6" i="4" s="1"/>
  <c r="Y13" i="4"/>
  <c r="Z9" i="4"/>
  <c r="Z8" i="4" s="1"/>
  <c r="Y11" i="4"/>
  <c r="N5" i="24"/>
  <c r="M7" i="24"/>
  <c r="M9" i="24" s="1"/>
  <c r="Q16" i="13" s="1"/>
  <c r="R25" i="15" s="1"/>
  <c r="I35" i="29" l="1"/>
  <c r="J34" i="29" s="1"/>
  <c r="L27" i="29"/>
  <c r="L18" i="13"/>
  <c r="K19" i="29"/>
  <c r="K33" i="29" s="1"/>
  <c r="K10" i="13" s="1"/>
  <c r="K18" i="29"/>
  <c r="K8" i="29" s="1"/>
  <c r="M19" i="26"/>
  <c r="M23" i="26" s="1"/>
  <c r="M24" i="26" s="1"/>
  <c r="L21" i="30"/>
  <c r="N19" i="26" s="1"/>
  <c r="N23" i="26" s="1"/>
  <c r="N24" i="26" s="1"/>
  <c r="O43" i="29"/>
  <c r="AA8" i="9"/>
  <c r="AA6" i="9" s="1"/>
  <c r="N6" i="7"/>
  <c r="AX8" i="24"/>
  <c r="AY14" i="4"/>
  <c r="BA40" i="3"/>
  <c r="BB12" i="3"/>
  <c r="N17" i="9"/>
  <c r="N17" i="27"/>
  <c r="N7" i="7"/>
  <c r="N4" i="30"/>
  <c r="N5" i="7"/>
  <c r="Z4" i="30"/>
  <c r="Q26" i="29"/>
  <c r="M20" i="30"/>
  <c r="M6" i="30"/>
  <c r="M9" i="30"/>
  <c r="M15" i="30" s="1"/>
  <c r="X5" i="30"/>
  <c r="AA25" i="29"/>
  <c r="ED9" i="6"/>
  <c r="W6" i="30"/>
  <c r="W9" i="30"/>
  <c r="W15" i="30" s="1"/>
  <c r="J31" i="29"/>
  <c r="J29" i="29" s="1"/>
  <c r="J9" i="29" s="1"/>
  <c r="Y15" i="4"/>
  <c r="Y9" i="6" s="1"/>
  <c r="AA9" i="4"/>
  <c r="AA8" i="4" s="1"/>
  <c r="Z11" i="4"/>
  <c r="AA7" i="4"/>
  <c r="AA6" i="4" s="1"/>
  <c r="Z13" i="4"/>
  <c r="O5" i="24"/>
  <c r="N7" i="24"/>
  <c r="N9" i="24" s="1"/>
  <c r="R16" i="13" s="1"/>
  <c r="S25" i="15" s="1"/>
  <c r="O18" i="9" l="1"/>
  <c r="N32" i="26"/>
  <c r="L20" i="29"/>
  <c r="L21" i="29"/>
  <c r="L5" i="13" s="1"/>
  <c r="M24" i="15" s="1"/>
  <c r="M21" i="30"/>
  <c r="O32" i="26" s="1"/>
  <c r="P43" i="29"/>
  <c r="N7" i="27"/>
  <c r="K42" i="3"/>
  <c r="AY8" i="24"/>
  <c r="AZ14" i="4"/>
  <c r="AB8" i="9"/>
  <c r="AB6" i="9" s="1"/>
  <c r="O6" i="7"/>
  <c r="BB40" i="3"/>
  <c r="BC12" i="3"/>
  <c r="O17" i="9"/>
  <c r="N22" i="27"/>
  <c r="M44" i="29" s="1"/>
  <c r="O19" i="26"/>
  <c r="O23" i="26" s="1"/>
  <c r="O24" i="26" s="1"/>
  <c r="N6" i="30"/>
  <c r="N9" i="30"/>
  <c r="N15" i="30" s="1"/>
  <c r="N20" i="30"/>
  <c r="AA4" i="30"/>
  <c r="R26" i="29"/>
  <c r="O7" i="7"/>
  <c r="O4" i="30"/>
  <c r="O5" i="7"/>
  <c r="AB25" i="29"/>
  <c r="Y5" i="30"/>
  <c r="EE9" i="6"/>
  <c r="X6" i="30"/>
  <c r="X9" i="30"/>
  <c r="X15" i="30" s="1"/>
  <c r="J35" i="29"/>
  <c r="AB7" i="4"/>
  <c r="AB6" i="4" s="1"/>
  <c r="AA13" i="4"/>
  <c r="Z15" i="4"/>
  <c r="Z9" i="6" s="1"/>
  <c r="AB9" i="4"/>
  <c r="AB8" i="4" s="1"/>
  <c r="AA11" i="4"/>
  <c r="P5" i="24"/>
  <c r="O7" i="24"/>
  <c r="O9" i="24" s="1"/>
  <c r="S16" i="13" s="1"/>
  <c r="T25" i="15" s="1"/>
  <c r="L18" i="29" l="1"/>
  <c r="L8" i="29" s="1"/>
  <c r="L19" i="29"/>
  <c r="L33" i="29" s="1"/>
  <c r="L10" i="13" s="1"/>
  <c r="P18" i="9"/>
  <c r="N21" i="30"/>
  <c r="P32" i="26" s="1"/>
  <c r="Q43" i="29"/>
  <c r="J8" i="7"/>
  <c r="J10" i="7" s="1"/>
  <c r="N13" i="27"/>
  <c r="BA14" i="4"/>
  <c r="AZ8" i="24"/>
  <c r="BC40" i="3"/>
  <c r="BD12" i="3"/>
  <c r="AC8" i="9"/>
  <c r="AC6" i="9" s="1"/>
  <c r="P6" i="7"/>
  <c r="P17" i="9"/>
  <c r="O20" i="27"/>
  <c r="P19" i="26"/>
  <c r="P23" i="26" s="1"/>
  <c r="P24" i="26" s="1"/>
  <c r="O20" i="30"/>
  <c r="O6" i="30"/>
  <c r="O9" i="30"/>
  <c r="O15" i="30" s="1"/>
  <c r="AB4" i="30"/>
  <c r="P7" i="7"/>
  <c r="Q18" i="9" s="1"/>
  <c r="S26" i="29"/>
  <c r="P5" i="7"/>
  <c r="Q17" i="9" s="1"/>
  <c r="Y6" i="30"/>
  <c r="Y9" i="30"/>
  <c r="Y15" i="30" s="1"/>
  <c r="Z5" i="30"/>
  <c r="AC25" i="29"/>
  <c r="K34" i="29"/>
  <c r="K31" i="29"/>
  <c r="K29" i="29" s="1"/>
  <c r="K9" i="29" s="1"/>
  <c r="AC9" i="4"/>
  <c r="AC8" i="4" s="1"/>
  <c r="AB11" i="4"/>
  <c r="AA15" i="4"/>
  <c r="AA9" i="6" s="1"/>
  <c r="AC7" i="4"/>
  <c r="AC6" i="4" s="1"/>
  <c r="AB13" i="4"/>
  <c r="P7" i="24"/>
  <c r="P9" i="24" s="1"/>
  <c r="T16" i="13" s="1"/>
  <c r="U25" i="15" s="1"/>
  <c r="Q5" i="24"/>
  <c r="M27" i="29" l="1"/>
  <c r="M18" i="13"/>
  <c r="O21" i="30"/>
  <c r="R43" i="29"/>
  <c r="BA8" i="24"/>
  <c r="BB14" i="4"/>
  <c r="AD8" i="9"/>
  <c r="AD6" i="9" s="1"/>
  <c r="Q6" i="7"/>
  <c r="BD40" i="3"/>
  <c r="BE12" i="3"/>
  <c r="O17" i="27"/>
  <c r="O22" i="27" s="1"/>
  <c r="N44" i="29" s="1"/>
  <c r="Q32" i="26"/>
  <c r="Q19" i="26"/>
  <c r="Q23" i="26" s="1"/>
  <c r="Q24" i="26" s="1"/>
  <c r="Z6" i="30"/>
  <c r="Z9" i="30"/>
  <c r="Z15" i="30" s="1"/>
  <c r="AA5" i="30"/>
  <c r="AD25" i="29"/>
  <c r="T26" i="29"/>
  <c r="AC4" i="30"/>
  <c r="Q7" i="7"/>
  <c r="Q5" i="7"/>
  <c r="R17" i="9" s="1"/>
  <c r="K35" i="29"/>
  <c r="AB15" i="4"/>
  <c r="AB9" i="6" s="1"/>
  <c r="AD7" i="4"/>
  <c r="AD6" i="4" s="1"/>
  <c r="AC13" i="4"/>
  <c r="AD9" i="4"/>
  <c r="AD8" i="4" s="1"/>
  <c r="AC11" i="4"/>
  <c r="R5" i="24"/>
  <c r="Q7" i="24"/>
  <c r="Q9" i="24" s="1"/>
  <c r="U16" i="13" s="1"/>
  <c r="V25" i="15" s="1"/>
  <c r="M20" i="29" l="1"/>
  <c r="M21" i="29"/>
  <c r="M5" i="13" s="1"/>
  <c r="N24" i="15" s="1"/>
  <c r="R18" i="9"/>
  <c r="K8" i="7"/>
  <c r="K10" i="7" s="1"/>
  <c r="O13" i="27"/>
  <c r="O7" i="27"/>
  <c r="L42" i="3"/>
  <c r="BE40" i="3"/>
  <c r="BF12" i="3"/>
  <c r="BC14" i="4"/>
  <c r="BB8" i="24"/>
  <c r="R6" i="7"/>
  <c r="AE8" i="9"/>
  <c r="AE6" i="9" s="1"/>
  <c r="P20" i="27"/>
  <c r="AD4" i="30"/>
  <c r="U26" i="29"/>
  <c r="R7" i="7"/>
  <c r="R5" i="7"/>
  <c r="S17" i="9" s="1"/>
  <c r="Q16" i="30"/>
  <c r="Q20" i="30" s="1"/>
  <c r="T43" i="29" s="1"/>
  <c r="AB5" i="30"/>
  <c r="AE25" i="29"/>
  <c r="AA6" i="30"/>
  <c r="AA9" i="30"/>
  <c r="AA15" i="30" s="1"/>
  <c r="L34" i="29"/>
  <c r="L31" i="29"/>
  <c r="L29" i="29" s="1"/>
  <c r="L9" i="29" s="1"/>
  <c r="AE9" i="4"/>
  <c r="AE8" i="4" s="1"/>
  <c r="AD11" i="4"/>
  <c r="AC15" i="4"/>
  <c r="AC9" i="6" s="1"/>
  <c r="AE7" i="4"/>
  <c r="AE6" i="4" s="1"/>
  <c r="AD13" i="4"/>
  <c r="S5" i="24"/>
  <c r="R7" i="24"/>
  <c r="R9" i="24" s="1"/>
  <c r="V16" i="13" s="1"/>
  <c r="W25" i="15" s="1"/>
  <c r="S18" i="9" l="1"/>
  <c r="N27" i="29"/>
  <c r="N18" i="13"/>
  <c r="M18" i="29"/>
  <c r="M8" i="29" s="1"/>
  <c r="M19" i="29"/>
  <c r="M33" i="29" s="1"/>
  <c r="M10" i="13" s="1"/>
  <c r="BF40" i="3"/>
  <c r="BG12" i="3"/>
  <c r="S6" i="7"/>
  <c r="AF8" i="9"/>
  <c r="AF6" i="9" s="1"/>
  <c r="BD14" i="4"/>
  <c r="BC8" i="24"/>
  <c r="P17" i="27"/>
  <c r="AE4" i="30"/>
  <c r="V26" i="29"/>
  <c r="S5" i="7"/>
  <c r="T17" i="9" s="1"/>
  <c r="S7" i="7"/>
  <c r="T18" i="9" s="1"/>
  <c r="AB9" i="30"/>
  <c r="AB15" i="30" s="1"/>
  <c r="AB6" i="30"/>
  <c r="R16" i="30"/>
  <c r="R20" i="30" s="1"/>
  <c r="U43" i="29" s="1"/>
  <c r="AC5" i="30"/>
  <c r="AF25" i="29"/>
  <c r="L35" i="29"/>
  <c r="AD15" i="4"/>
  <c r="AD9" i="6" s="1"/>
  <c r="AF7" i="4"/>
  <c r="AF6" i="4" s="1"/>
  <c r="AE13" i="4"/>
  <c r="AF9" i="4"/>
  <c r="AF8" i="4" s="1"/>
  <c r="AE11" i="4"/>
  <c r="T5" i="24"/>
  <c r="S7" i="24"/>
  <c r="S9" i="24" s="1"/>
  <c r="W16" i="13" s="1"/>
  <c r="X25" i="15" s="1"/>
  <c r="N20" i="29" l="1"/>
  <c r="N21" i="29"/>
  <c r="N5" i="13" s="1"/>
  <c r="O24" i="15" s="1"/>
  <c r="P7" i="27"/>
  <c r="M42" i="3"/>
  <c r="P22" i="27"/>
  <c r="T6" i="7"/>
  <c r="AG8" i="9"/>
  <c r="AG6" i="9" s="1"/>
  <c r="BG40" i="3"/>
  <c r="BH12" i="3"/>
  <c r="BD8" i="24"/>
  <c r="BE14" i="4"/>
  <c r="AC6" i="30"/>
  <c r="AC9" i="30"/>
  <c r="AC15" i="30" s="1"/>
  <c r="AD5" i="30"/>
  <c r="AG25" i="29"/>
  <c r="S16" i="30"/>
  <c r="S20" i="30" s="1"/>
  <c r="V43" i="29" s="1"/>
  <c r="W26" i="29"/>
  <c r="T5" i="7"/>
  <c r="U17" i="9" s="1"/>
  <c r="AF4" i="30"/>
  <c r="T7" i="7"/>
  <c r="M34" i="29"/>
  <c r="M31" i="29"/>
  <c r="M29" i="29" s="1"/>
  <c r="M9" i="29" s="1"/>
  <c r="AG9" i="4"/>
  <c r="AG8" i="4" s="1"/>
  <c r="AF11" i="4"/>
  <c r="AG7" i="4"/>
  <c r="AG6" i="4" s="1"/>
  <c r="AF13" i="4"/>
  <c r="AE15" i="4"/>
  <c r="AE9" i="6" s="1"/>
  <c r="U5" i="24"/>
  <c r="T7" i="24"/>
  <c r="T9" i="24" s="1"/>
  <c r="X16" i="13" s="1"/>
  <c r="Y25" i="15" s="1"/>
  <c r="Q20" i="27" l="1"/>
  <c r="O44" i="29"/>
  <c r="N18" i="29"/>
  <c r="N8" i="29" s="1"/>
  <c r="N19" i="29"/>
  <c r="N33" i="29" s="1"/>
  <c r="N10" i="13" s="1"/>
  <c r="U18" i="9"/>
  <c r="P13" i="27"/>
  <c r="L8" i="7"/>
  <c r="L10" i="7" s="1"/>
  <c r="BH40" i="3"/>
  <c r="BI12" i="3"/>
  <c r="U6" i="7"/>
  <c r="AH8" i="9"/>
  <c r="AH6" i="9" s="1"/>
  <c r="BE8" i="24"/>
  <c r="BF14" i="4"/>
  <c r="Q17" i="27"/>
  <c r="Q22" i="27" s="1"/>
  <c r="P44" i="29" s="1"/>
  <c r="AE5" i="30"/>
  <c r="AH25" i="29"/>
  <c r="AD6" i="30"/>
  <c r="AD9" i="30"/>
  <c r="AD15" i="30" s="1"/>
  <c r="T16" i="30"/>
  <c r="T20" i="30" s="1"/>
  <c r="W43" i="29" s="1"/>
  <c r="AG4" i="30"/>
  <c r="U5" i="7"/>
  <c r="V17" i="9" s="1"/>
  <c r="U7" i="7"/>
  <c r="X26" i="29"/>
  <c r="M35" i="29"/>
  <c r="AH7" i="4"/>
  <c r="AH6" i="4" s="1"/>
  <c r="AG13" i="4"/>
  <c r="AF15" i="4"/>
  <c r="AF9" i="6" s="1"/>
  <c r="AH9" i="4"/>
  <c r="AH8" i="4" s="1"/>
  <c r="AG11" i="4"/>
  <c r="V5" i="24"/>
  <c r="U7" i="24"/>
  <c r="U9" i="24" s="1"/>
  <c r="Y16" i="13" s="1"/>
  <c r="Z25" i="15" s="1"/>
  <c r="O27" i="29" l="1"/>
  <c r="O18" i="13"/>
  <c r="V18" i="9"/>
  <c r="Q7" i="27"/>
  <c r="N42" i="3"/>
  <c r="Q13" i="27"/>
  <c r="M8" i="7"/>
  <c r="M10" i="7" s="1"/>
  <c r="AI8" i="9"/>
  <c r="AI6" i="9" s="1"/>
  <c r="V6" i="7"/>
  <c r="BI40" i="3"/>
  <c r="BJ12" i="3"/>
  <c r="BG14" i="4"/>
  <c r="BF8" i="24"/>
  <c r="R20" i="27"/>
  <c r="AH4" i="30"/>
  <c r="Y26" i="29"/>
  <c r="V7" i="7"/>
  <c r="W18" i="9" s="1"/>
  <c r="V5" i="7"/>
  <c r="W17" i="9" s="1"/>
  <c r="U16" i="30"/>
  <c r="U20" i="30" s="1"/>
  <c r="X43" i="29" s="1"/>
  <c r="AE9" i="30"/>
  <c r="AE15" i="30" s="1"/>
  <c r="AE6" i="30"/>
  <c r="AF5" i="30"/>
  <c r="AI25" i="29"/>
  <c r="N34" i="29"/>
  <c r="N31" i="29"/>
  <c r="N29" i="29" s="1"/>
  <c r="N9" i="29" s="1"/>
  <c r="AI9" i="4"/>
  <c r="AI8" i="4" s="1"/>
  <c r="AH11" i="4"/>
  <c r="AG15" i="4"/>
  <c r="AG9" i="6" s="1"/>
  <c r="AI7" i="4"/>
  <c r="AI6" i="4" s="1"/>
  <c r="AH13" i="4"/>
  <c r="W5" i="24"/>
  <c r="V7" i="24"/>
  <c r="V9" i="24" s="1"/>
  <c r="Z16" i="13" s="1"/>
  <c r="AA25" i="15" s="1"/>
  <c r="P27" i="29" l="1"/>
  <c r="P18" i="13"/>
  <c r="O20" i="29"/>
  <c r="O21" i="29"/>
  <c r="O5" i="13" s="1"/>
  <c r="P24" i="15" s="1"/>
  <c r="BK12" i="3"/>
  <c r="BJ40" i="3"/>
  <c r="BH14" i="4"/>
  <c r="BG8" i="24"/>
  <c r="AJ8" i="9"/>
  <c r="AJ6" i="9" s="1"/>
  <c r="W6" i="7"/>
  <c r="R17" i="27"/>
  <c r="V16" i="30"/>
  <c r="V20" i="30" s="1"/>
  <c r="Y43" i="29" s="1"/>
  <c r="AF6" i="30"/>
  <c r="AF9" i="30"/>
  <c r="AF15" i="30" s="1"/>
  <c r="AG5" i="30"/>
  <c r="AJ25" i="29"/>
  <c r="Z26" i="29"/>
  <c r="AI4" i="30"/>
  <c r="W7" i="7"/>
  <c r="W5" i="7"/>
  <c r="X17" i="9" s="1"/>
  <c r="N35" i="29"/>
  <c r="AJ7" i="4"/>
  <c r="AJ6" i="4" s="1"/>
  <c r="AI13" i="4"/>
  <c r="AH15" i="4"/>
  <c r="AH9" i="6" s="1"/>
  <c r="AJ9" i="4"/>
  <c r="AJ8" i="4" s="1"/>
  <c r="AI11" i="4"/>
  <c r="X5" i="24"/>
  <c r="W7" i="24"/>
  <c r="W9" i="24" s="1"/>
  <c r="AA16" i="13" s="1"/>
  <c r="AB25" i="15" s="1"/>
  <c r="F9" i="4"/>
  <c r="F8" i="4" s="1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BU31" i="3"/>
  <c r="BV31" i="3"/>
  <c r="BW31" i="3"/>
  <c r="BX31" i="3"/>
  <c r="BY31" i="3"/>
  <c r="BZ31" i="3"/>
  <c r="CA31" i="3"/>
  <c r="CB31" i="3"/>
  <c r="CC31" i="3"/>
  <c r="CD31" i="3"/>
  <c r="CE31" i="3"/>
  <c r="CF31" i="3"/>
  <c r="CG31" i="3"/>
  <c r="CH31" i="3"/>
  <c r="CI31" i="3"/>
  <c r="CJ31" i="3"/>
  <c r="CK31" i="3"/>
  <c r="CL31" i="3"/>
  <c r="CM31" i="3"/>
  <c r="CN31" i="3"/>
  <c r="CO31" i="3"/>
  <c r="CP31" i="3"/>
  <c r="CQ31" i="3"/>
  <c r="CR31" i="3"/>
  <c r="CS31" i="3"/>
  <c r="CT31" i="3"/>
  <c r="CU31" i="3"/>
  <c r="CV31" i="3"/>
  <c r="CW31" i="3"/>
  <c r="CX31" i="3"/>
  <c r="CY31" i="3"/>
  <c r="CZ31" i="3"/>
  <c r="DA31" i="3"/>
  <c r="DB31" i="3"/>
  <c r="DC31" i="3"/>
  <c r="DD31" i="3"/>
  <c r="DE31" i="3"/>
  <c r="DF31" i="3"/>
  <c r="DG31" i="3"/>
  <c r="DH31" i="3"/>
  <c r="DI31" i="3"/>
  <c r="DJ31" i="3"/>
  <c r="DK31" i="3"/>
  <c r="DL31" i="3"/>
  <c r="DM31" i="3"/>
  <c r="DN31" i="3"/>
  <c r="DO31" i="3"/>
  <c r="DP31" i="3"/>
  <c r="DQ31" i="3"/>
  <c r="DR31" i="3"/>
  <c r="DS31" i="3"/>
  <c r="DT31" i="3"/>
  <c r="DU31" i="3"/>
  <c r="E30" i="3"/>
  <c r="O19" i="29" l="1"/>
  <c r="O33" i="29" s="1"/>
  <c r="O10" i="13" s="1"/>
  <c r="O18" i="29"/>
  <c r="O8" i="29" s="1"/>
  <c r="P20" i="29"/>
  <c r="P21" i="29"/>
  <c r="P5" i="13" s="1"/>
  <c r="Q24" i="15" s="1"/>
  <c r="X18" i="9"/>
  <c r="O42" i="3"/>
  <c r="R7" i="27"/>
  <c r="AK8" i="9"/>
  <c r="AK6" i="9" s="1"/>
  <c r="X6" i="7"/>
  <c r="BI14" i="4"/>
  <c r="BH8" i="24"/>
  <c r="BL12" i="3"/>
  <c r="BK40" i="3"/>
  <c r="R22" i="27"/>
  <c r="AG9" i="30"/>
  <c r="AG15" i="30" s="1"/>
  <c r="AG6" i="30"/>
  <c r="W16" i="30"/>
  <c r="W20" i="30" s="1"/>
  <c r="Z43" i="29" s="1"/>
  <c r="AH5" i="30"/>
  <c r="AK25" i="29"/>
  <c r="AJ4" i="30"/>
  <c r="AA26" i="29"/>
  <c r="X7" i="7"/>
  <c r="X5" i="7"/>
  <c r="Y17" i="9" s="1"/>
  <c r="O34" i="29"/>
  <c r="O31" i="29"/>
  <c r="O29" i="29" s="1"/>
  <c r="O9" i="29" s="1"/>
  <c r="AK9" i="4"/>
  <c r="AK8" i="4" s="1"/>
  <c r="AJ11" i="4"/>
  <c r="AI15" i="4"/>
  <c r="AI9" i="6" s="1"/>
  <c r="AK7" i="4"/>
  <c r="AK6" i="4" s="1"/>
  <c r="AJ13" i="4"/>
  <c r="G9" i="4"/>
  <c r="Y5" i="24"/>
  <c r="X7" i="24"/>
  <c r="X9" i="24" s="1"/>
  <c r="AB16" i="13" s="1"/>
  <c r="AC25" i="15" s="1"/>
  <c r="DL14" i="13"/>
  <c r="CN14" i="13"/>
  <c r="DS14" i="13"/>
  <c r="DK14" i="13"/>
  <c r="DC14" i="13"/>
  <c r="CU14" i="13"/>
  <c r="CM14" i="13"/>
  <c r="CE14" i="13"/>
  <c r="BW14" i="13"/>
  <c r="DD14" i="13"/>
  <c r="BX14" i="13"/>
  <c r="DR14" i="13"/>
  <c r="DJ14" i="13"/>
  <c r="DB14" i="13"/>
  <c r="CT14" i="13"/>
  <c r="CL14" i="13"/>
  <c r="CD14" i="13"/>
  <c r="BV14" i="13"/>
  <c r="DQ14" i="13"/>
  <c r="DI14" i="13"/>
  <c r="DA14" i="13"/>
  <c r="CS14" i="13"/>
  <c r="CK14" i="13"/>
  <c r="CC14" i="13"/>
  <c r="BU14" i="13"/>
  <c r="CV14" i="13"/>
  <c r="DP14" i="13"/>
  <c r="DH14" i="13"/>
  <c r="CZ14" i="13"/>
  <c r="CR14" i="13"/>
  <c r="CJ14" i="13"/>
  <c r="CB14" i="13"/>
  <c r="BT14" i="13"/>
  <c r="DT14" i="13"/>
  <c r="CF14" i="13"/>
  <c r="DW14" i="13"/>
  <c r="DO14" i="13"/>
  <c r="DG14" i="13"/>
  <c r="CY14" i="13"/>
  <c r="CQ14" i="13"/>
  <c r="CI14" i="13"/>
  <c r="CA14" i="13"/>
  <c r="BS14" i="13"/>
  <c r="DV14" i="13"/>
  <c r="DN14" i="13"/>
  <c r="DF14" i="13"/>
  <c r="CX14" i="13"/>
  <c r="CP14" i="13"/>
  <c r="CH14" i="13"/>
  <c r="BZ14" i="13"/>
  <c r="BR14" i="13"/>
  <c r="DU14" i="13"/>
  <c r="DM14" i="13"/>
  <c r="DE14" i="13"/>
  <c r="CW14" i="13"/>
  <c r="CO14" i="13"/>
  <c r="CG14" i="13"/>
  <c r="BY14" i="13"/>
  <c r="BQ14" i="13"/>
  <c r="BP14" i="13"/>
  <c r="BM14" i="13"/>
  <c r="BE14" i="13"/>
  <c r="AW14" i="13"/>
  <c r="BD14" i="13"/>
  <c r="BK14" i="13"/>
  <c r="BC14" i="13"/>
  <c r="AU14" i="13"/>
  <c r="BJ14" i="13"/>
  <c r="BB14" i="13"/>
  <c r="AT14" i="13"/>
  <c r="BL14" i="13"/>
  <c r="BI14" i="13"/>
  <c r="BA14" i="13"/>
  <c r="BH14" i="13"/>
  <c r="AZ14" i="13"/>
  <c r="AV14" i="13"/>
  <c r="BO14" i="13"/>
  <c r="BG14" i="13"/>
  <c r="AY14" i="13"/>
  <c r="BN14" i="13"/>
  <c r="BF14" i="13"/>
  <c r="AX14" i="13"/>
  <c r="AS14" i="13"/>
  <c r="AR14" i="13"/>
  <c r="H9" i="4" l="1"/>
  <c r="G8" i="4"/>
  <c r="S20" i="27"/>
  <c r="Q44" i="29"/>
  <c r="P19" i="29"/>
  <c r="P33" i="29" s="1"/>
  <c r="P10" i="13" s="1"/>
  <c r="P18" i="29"/>
  <c r="P8" i="29" s="1"/>
  <c r="Y18" i="9"/>
  <c r="R13" i="27"/>
  <c r="N8" i="7"/>
  <c r="N10" i="7" s="1"/>
  <c r="AL8" i="9"/>
  <c r="AL6" i="9" s="1"/>
  <c r="Y6" i="7"/>
  <c r="BJ14" i="4"/>
  <c r="BI8" i="24"/>
  <c r="BM12" i="3"/>
  <c r="BL40" i="3"/>
  <c r="S17" i="27"/>
  <c r="AK4" i="30"/>
  <c r="AB26" i="29"/>
  <c r="Y7" i="7"/>
  <c r="Z18" i="9" s="1"/>
  <c r="Y5" i="7"/>
  <c r="Z17" i="9" s="1"/>
  <c r="AH9" i="30"/>
  <c r="AH15" i="30" s="1"/>
  <c r="AH6" i="30"/>
  <c r="X16" i="30"/>
  <c r="AI5" i="30"/>
  <c r="AL25" i="29"/>
  <c r="O35" i="29"/>
  <c r="AL7" i="4"/>
  <c r="AL6" i="4" s="1"/>
  <c r="AK13" i="4"/>
  <c r="AJ15" i="4"/>
  <c r="AJ9" i="6" s="1"/>
  <c r="AL9" i="4"/>
  <c r="AL8" i="4" s="1"/>
  <c r="AK11" i="4"/>
  <c r="Z5" i="24"/>
  <c r="Y7" i="24"/>
  <c r="Y9" i="24" s="1"/>
  <c r="AC16" i="13" s="1"/>
  <c r="AD25" i="15" s="1"/>
  <c r="I9" i="4" l="1"/>
  <c r="H8" i="4"/>
  <c r="Q27" i="29"/>
  <c r="Q18" i="13"/>
  <c r="P42" i="3"/>
  <c r="S7" i="27"/>
  <c r="BK14" i="4"/>
  <c r="BJ8" i="24"/>
  <c r="Z6" i="7"/>
  <c r="AM8" i="9"/>
  <c r="AM6" i="9" s="1"/>
  <c r="BM40" i="3"/>
  <c r="BN12" i="3"/>
  <c r="S22" i="27"/>
  <c r="R44" i="29" s="1"/>
  <c r="Y16" i="30"/>
  <c r="Y20" i="30" s="1"/>
  <c r="AB43" i="29" s="1"/>
  <c r="X20" i="30"/>
  <c r="AA43" i="29" s="1"/>
  <c r="AM25" i="29"/>
  <c r="AJ5" i="30"/>
  <c r="AI6" i="30"/>
  <c r="AI9" i="30"/>
  <c r="AI15" i="30" s="1"/>
  <c r="AL4" i="30"/>
  <c r="AC26" i="29"/>
  <c r="Z7" i="7"/>
  <c r="Z5" i="7"/>
  <c r="AA17" i="9" s="1"/>
  <c r="P34" i="29"/>
  <c r="P31" i="29"/>
  <c r="P29" i="29" s="1"/>
  <c r="P9" i="29" s="1"/>
  <c r="AM9" i="4"/>
  <c r="AM8" i="4" s="1"/>
  <c r="AL11" i="4"/>
  <c r="AK15" i="4"/>
  <c r="AK9" i="6" s="1"/>
  <c r="AM7" i="4"/>
  <c r="AM6" i="4" s="1"/>
  <c r="AL13" i="4"/>
  <c r="AA5" i="24"/>
  <c r="Z7" i="24"/>
  <c r="Z9" i="24" s="1"/>
  <c r="AD16" i="13" s="1"/>
  <c r="AE25" i="15" s="1"/>
  <c r="J9" i="4" l="1"/>
  <c r="I8" i="4"/>
  <c r="Q20" i="29"/>
  <c r="Q21" i="29"/>
  <c r="Q5" i="13" s="1"/>
  <c r="R24" i="15" s="1"/>
  <c r="AA18" i="9"/>
  <c r="T20" i="27"/>
  <c r="T17" i="27" s="1"/>
  <c r="T22" i="27" s="1"/>
  <c r="S44" i="29" s="1"/>
  <c r="S13" i="27"/>
  <c r="O8" i="7"/>
  <c r="O10" i="7" s="1"/>
  <c r="BK8" i="24"/>
  <c r="BL14" i="4"/>
  <c r="AA6" i="7"/>
  <c r="AN8" i="9"/>
  <c r="AN6" i="9" s="1"/>
  <c r="BO12" i="3"/>
  <c r="BN40" i="3"/>
  <c r="H9" i="27"/>
  <c r="AK5" i="30"/>
  <c r="AN25" i="29"/>
  <c r="Z16" i="30"/>
  <c r="AM4" i="30"/>
  <c r="AD26" i="29"/>
  <c r="AA5" i="7"/>
  <c r="AB17" i="9" s="1"/>
  <c r="AA7" i="7"/>
  <c r="AJ6" i="30"/>
  <c r="AJ9" i="30"/>
  <c r="AJ15" i="30" s="1"/>
  <c r="P35" i="29"/>
  <c r="AL15" i="4"/>
  <c r="AL9" i="6" s="1"/>
  <c r="AN7" i="4"/>
  <c r="AN6" i="4" s="1"/>
  <c r="AM13" i="4"/>
  <c r="AN9" i="4"/>
  <c r="AN8" i="4" s="1"/>
  <c r="AM11" i="4"/>
  <c r="AB5" i="24"/>
  <c r="AA7" i="24"/>
  <c r="AA9" i="24" s="1"/>
  <c r="AE16" i="13" s="1"/>
  <c r="AF25" i="15" s="1"/>
  <c r="K9" i="4" l="1"/>
  <c r="J8" i="4"/>
  <c r="R27" i="29"/>
  <c r="R18" i="13"/>
  <c r="Q18" i="29"/>
  <c r="Q8" i="29" s="1"/>
  <c r="Q19" i="29"/>
  <c r="Q33" i="29" s="1"/>
  <c r="Q10" i="13" s="1"/>
  <c r="AB18" i="9"/>
  <c r="T13" i="27"/>
  <c r="P8" i="7"/>
  <c r="U20" i="27"/>
  <c r="T7" i="27"/>
  <c r="Q42" i="3"/>
  <c r="BM14" i="4"/>
  <c r="BL8" i="24"/>
  <c r="AB6" i="7"/>
  <c r="AO8" i="9"/>
  <c r="AO6" i="9" s="1"/>
  <c r="BO40" i="3"/>
  <c r="BP12" i="3"/>
  <c r="AO25" i="29"/>
  <c r="AL5" i="30"/>
  <c r="AN4" i="30"/>
  <c r="AE26" i="29"/>
  <c r="AB7" i="7"/>
  <c r="AB5" i="7"/>
  <c r="AC17" i="9" s="1"/>
  <c r="AA16" i="30"/>
  <c r="AA20" i="30" s="1"/>
  <c r="AD43" i="29" s="1"/>
  <c r="Z20" i="30"/>
  <c r="AC43" i="29" s="1"/>
  <c r="AK9" i="30"/>
  <c r="AK15" i="30" s="1"/>
  <c r="AK6" i="30"/>
  <c r="Q34" i="29"/>
  <c r="AM15" i="4"/>
  <c r="AM9" i="6" s="1"/>
  <c r="AO7" i="4"/>
  <c r="AO6" i="4" s="1"/>
  <c r="AN13" i="4"/>
  <c r="AO9" i="4"/>
  <c r="AO8" i="4" s="1"/>
  <c r="AN11" i="4"/>
  <c r="AC5" i="24"/>
  <c r="AB7" i="24"/>
  <c r="AB9" i="24" s="1"/>
  <c r="AF16" i="13" s="1"/>
  <c r="AG25" i="15" s="1"/>
  <c r="L9" i="4" l="1"/>
  <c r="K8" i="4"/>
  <c r="Q31" i="29"/>
  <c r="Q29" i="29" s="1"/>
  <c r="Q9" i="29" s="1"/>
  <c r="R20" i="29"/>
  <c r="R21" i="29"/>
  <c r="R5" i="13" s="1"/>
  <c r="S24" i="15" s="1"/>
  <c r="U17" i="27"/>
  <c r="AC6" i="7"/>
  <c r="AP8" i="9"/>
  <c r="AP6" i="9" s="1"/>
  <c r="BM8" i="24"/>
  <c r="BN14" i="4"/>
  <c r="BQ12" i="3"/>
  <c r="BP40" i="3"/>
  <c r="AC18" i="9"/>
  <c r="AB16" i="30"/>
  <c r="AP25" i="29"/>
  <c r="AM5" i="30"/>
  <c r="AL6" i="30"/>
  <c r="AL9" i="30"/>
  <c r="AL15" i="30" s="1"/>
  <c r="AO4" i="30"/>
  <c r="AF26" i="29"/>
  <c r="AC5" i="7"/>
  <c r="AD17" i="9" s="1"/>
  <c r="AC7" i="7"/>
  <c r="AP9" i="4"/>
  <c r="AP8" i="4" s="1"/>
  <c r="AO11" i="4"/>
  <c r="AN15" i="4"/>
  <c r="AN9" i="6" s="1"/>
  <c r="AP7" i="4"/>
  <c r="AP6" i="4" s="1"/>
  <c r="AO13" i="4"/>
  <c r="AD5" i="24"/>
  <c r="AC7" i="24"/>
  <c r="AC9" i="24" s="1"/>
  <c r="AG16" i="13" s="1"/>
  <c r="AH25" i="15" s="1"/>
  <c r="M9" i="4" l="1"/>
  <c r="L8" i="4"/>
  <c r="Q35" i="29"/>
  <c r="R18" i="29"/>
  <c r="R8" i="29" s="1"/>
  <c r="R19" i="29"/>
  <c r="R33" i="29" s="1"/>
  <c r="R10" i="13" s="1"/>
  <c r="AD18" i="9"/>
  <c r="U7" i="27"/>
  <c r="R42" i="3"/>
  <c r="U22" i="27"/>
  <c r="T44" i="29" s="1"/>
  <c r="AQ8" i="9"/>
  <c r="AQ6" i="9" s="1"/>
  <c r="AD6" i="7"/>
  <c r="BQ40" i="3"/>
  <c r="BR12" i="3"/>
  <c r="BN8" i="24"/>
  <c r="BO14" i="4"/>
  <c r="AG26" i="29"/>
  <c r="AP4" i="30"/>
  <c r="AD5" i="7"/>
  <c r="AE17" i="9" s="1"/>
  <c r="AD7" i="7"/>
  <c r="AC16" i="30"/>
  <c r="AC20" i="30" s="1"/>
  <c r="AF43" i="29" s="1"/>
  <c r="AM6" i="30"/>
  <c r="AM9" i="30"/>
  <c r="AM15" i="30" s="1"/>
  <c r="AN5" i="30"/>
  <c r="AQ25" i="29"/>
  <c r="AB20" i="30"/>
  <c r="AE43" i="29" s="1"/>
  <c r="R34" i="29"/>
  <c r="AO15" i="4"/>
  <c r="AO9" i="6" s="1"/>
  <c r="AQ7" i="4"/>
  <c r="AQ6" i="4" s="1"/>
  <c r="AP13" i="4"/>
  <c r="AQ9" i="4"/>
  <c r="AQ8" i="4" s="1"/>
  <c r="AP11" i="4"/>
  <c r="AE5" i="24"/>
  <c r="AD7" i="24"/>
  <c r="AD9" i="24" s="1"/>
  <c r="AH16" i="13" s="1"/>
  <c r="AI25" i="15" s="1"/>
  <c r="N9" i="4" l="1"/>
  <c r="M8" i="4"/>
  <c r="R31" i="29"/>
  <c r="R29" i="29" s="1"/>
  <c r="R9" i="29" s="1"/>
  <c r="AE18" i="9"/>
  <c r="V20" i="27"/>
  <c r="Q8" i="7"/>
  <c r="U13" i="27"/>
  <c r="BR40" i="3"/>
  <c r="BS12" i="3"/>
  <c r="AR8" i="9"/>
  <c r="AR6" i="9" s="1"/>
  <c r="AE6" i="7"/>
  <c r="BP14" i="4"/>
  <c r="BO8" i="24"/>
  <c r="D5" i="30"/>
  <c r="AN9" i="30"/>
  <c r="AN15" i="30" s="1"/>
  <c r="AN6" i="30"/>
  <c r="AH26" i="29"/>
  <c r="AQ4" i="30"/>
  <c r="AE7" i="7"/>
  <c r="AE5" i="7"/>
  <c r="AF17" i="9" s="1"/>
  <c r="AR25" i="29"/>
  <c r="AO5" i="30"/>
  <c r="AD16" i="30"/>
  <c r="R35" i="29"/>
  <c r="AR9" i="4"/>
  <c r="AR8" i="4" s="1"/>
  <c r="AQ11" i="4"/>
  <c r="AR7" i="4"/>
  <c r="AR6" i="4" s="1"/>
  <c r="AQ13" i="4"/>
  <c r="AP15" i="4"/>
  <c r="AP9" i="6" s="1"/>
  <c r="AF5" i="24"/>
  <c r="AE7" i="24"/>
  <c r="AE9" i="24" s="1"/>
  <c r="AI16" i="13" s="1"/>
  <c r="AJ25" i="15" s="1"/>
  <c r="O9" i="4" l="1"/>
  <c r="N8" i="4"/>
  <c r="AF18" i="9"/>
  <c r="V17" i="27"/>
  <c r="V22" i="27" s="1"/>
  <c r="U44" i="29" s="1"/>
  <c r="BT12" i="3"/>
  <c r="BS40" i="3"/>
  <c r="AS8" i="9"/>
  <c r="AS6" i="9" s="1"/>
  <c r="AF6" i="7"/>
  <c r="BP8" i="24"/>
  <c r="BQ14" i="4"/>
  <c r="AP5" i="30"/>
  <c r="AS25" i="29"/>
  <c r="AD20" i="30"/>
  <c r="AG43" i="29" s="1"/>
  <c r="AO9" i="30"/>
  <c r="AO15" i="30" s="1"/>
  <c r="AO6" i="30"/>
  <c r="AE16" i="30"/>
  <c r="AE20" i="30" s="1"/>
  <c r="AH43" i="29" s="1"/>
  <c r="AR4" i="30"/>
  <c r="AI26" i="29"/>
  <c r="AF5" i="7"/>
  <c r="AG17" i="9" s="1"/>
  <c r="AF7" i="7"/>
  <c r="S34" i="29"/>
  <c r="AQ15" i="4"/>
  <c r="AQ9" i="6" s="1"/>
  <c r="AS7" i="4"/>
  <c r="AS6" i="4" s="1"/>
  <c r="AR13" i="4"/>
  <c r="AS9" i="4"/>
  <c r="AS8" i="4" s="1"/>
  <c r="AR11" i="4"/>
  <c r="AG5" i="24"/>
  <c r="AF7" i="24"/>
  <c r="AF9" i="24" s="1"/>
  <c r="AJ16" i="13" s="1"/>
  <c r="AK25" i="15" s="1"/>
  <c r="P9" i="4" l="1"/>
  <c r="P8" i="4" s="1"/>
  <c r="O8" i="4"/>
  <c r="AG18" i="9"/>
  <c r="R8" i="7"/>
  <c r="W20" i="27"/>
  <c r="V13" i="27"/>
  <c r="V7" i="27"/>
  <c r="S42" i="3"/>
  <c r="AT8" i="9"/>
  <c r="AT6" i="9" s="1"/>
  <c r="AG6" i="7"/>
  <c r="BR14" i="4"/>
  <c r="BQ8" i="24"/>
  <c r="BU12" i="3"/>
  <c r="BT40" i="3"/>
  <c r="AP6" i="30"/>
  <c r="AP9" i="30"/>
  <c r="AP15" i="30" s="1"/>
  <c r="AF16" i="30"/>
  <c r="AJ26" i="29"/>
  <c r="AG7" i="7"/>
  <c r="AG5" i="7"/>
  <c r="AH17" i="9" s="1"/>
  <c r="AS4" i="30"/>
  <c r="AQ5" i="30"/>
  <c r="AT25" i="29"/>
  <c r="AT9" i="4"/>
  <c r="AT8" i="4" s="1"/>
  <c r="AS11" i="4"/>
  <c r="AR15" i="4"/>
  <c r="AR9" i="6" s="1"/>
  <c r="AT7" i="4"/>
  <c r="AT6" i="4" s="1"/>
  <c r="AS13" i="4"/>
  <c r="AH5" i="24"/>
  <c r="AG7" i="24"/>
  <c r="AG9" i="24" s="1"/>
  <c r="AK16" i="13" s="1"/>
  <c r="AL25" i="15" s="1"/>
  <c r="AH18" i="9" l="1"/>
  <c r="W17" i="27"/>
  <c r="W22" i="27" s="1"/>
  <c r="V44" i="29" s="1"/>
  <c r="BS14" i="4"/>
  <c r="BR8" i="24"/>
  <c r="BU40" i="3"/>
  <c r="BV12" i="3"/>
  <c r="AH6" i="7"/>
  <c r="AU8" i="9"/>
  <c r="AU6" i="9" s="1"/>
  <c r="AR5" i="30"/>
  <c r="AU25" i="29"/>
  <c r="AF20" i="30"/>
  <c r="AI43" i="29" s="1"/>
  <c r="AQ6" i="30"/>
  <c r="AQ9" i="30"/>
  <c r="AQ15" i="30" s="1"/>
  <c r="AT4" i="30"/>
  <c r="AK26" i="29"/>
  <c r="AH7" i="7"/>
  <c r="AH5" i="7"/>
  <c r="AI17" i="9" s="1"/>
  <c r="AG16" i="30"/>
  <c r="AG20" i="30" s="1"/>
  <c r="AJ43" i="29" s="1"/>
  <c r="AS15" i="4"/>
  <c r="AS9" i="6" s="1"/>
  <c r="AU7" i="4"/>
  <c r="AU6" i="4" s="1"/>
  <c r="AT13" i="4"/>
  <c r="AU9" i="4"/>
  <c r="AU8" i="4" s="1"/>
  <c r="AT11" i="4"/>
  <c r="AI5" i="24"/>
  <c r="AH7" i="24"/>
  <c r="AH9" i="24" s="1"/>
  <c r="AL16" i="13" s="1"/>
  <c r="AM25" i="15" s="1"/>
  <c r="X20" i="27" l="1"/>
  <c r="W13" i="27"/>
  <c r="S8" i="7"/>
  <c r="W7" i="27"/>
  <c r="T42" i="3"/>
  <c r="BS8" i="24"/>
  <c r="BT14" i="4"/>
  <c r="AI6" i="7"/>
  <c r="AV8" i="9"/>
  <c r="AV6" i="9" s="1"/>
  <c r="BV40" i="3"/>
  <c r="BW12" i="3"/>
  <c r="AI18" i="9"/>
  <c r="AH16" i="30"/>
  <c r="AH20" i="30" s="1"/>
  <c r="AK43" i="29" s="1"/>
  <c r="AU4" i="30"/>
  <c r="AL26" i="29"/>
  <c r="AI5" i="7"/>
  <c r="AJ17" i="9" s="1"/>
  <c r="AI7" i="7"/>
  <c r="AS5" i="30"/>
  <c r="AV25" i="29"/>
  <c r="AR9" i="30"/>
  <c r="AR15" i="30" s="1"/>
  <c r="AR6" i="30"/>
  <c r="AV9" i="4"/>
  <c r="AV8" i="4" s="1"/>
  <c r="AU11" i="4"/>
  <c r="AV7" i="4"/>
  <c r="AV6" i="4" s="1"/>
  <c r="AU13" i="4"/>
  <c r="AT15" i="4"/>
  <c r="AT9" i="6" s="1"/>
  <c r="AJ5" i="24"/>
  <c r="AI7" i="24"/>
  <c r="AI9" i="24" s="1"/>
  <c r="AM16" i="13" s="1"/>
  <c r="AN25" i="15" s="1"/>
  <c r="AJ18" i="9" l="1"/>
  <c r="X17" i="27"/>
  <c r="X22" i="27" s="1"/>
  <c r="W44" i="29" s="1"/>
  <c r="BX12" i="3"/>
  <c r="BW40" i="3"/>
  <c r="BT8" i="24"/>
  <c r="BU14" i="4"/>
  <c r="AJ6" i="7"/>
  <c r="AW8" i="9"/>
  <c r="AW6" i="9" s="1"/>
  <c r="AM26" i="29"/>
  <c r="AV4" i="30"/>
  <c r="AJ5" i="7"/>
  <c r="AK17" i="9" s="1"/>
  <c r="AJ7" i="7"/>
  <c r="AI16" i="30"/>
  <c r="AI20" i="30" s="1"/>
  <c r="AL43" i="29" s="1"/>
  <c r="AT5" i="30"/>
  <c r="AW25" i="29"/>
  <c r="AS9" i="30"/>
  <c r="AS15" i="30" s="1"/>
  <c r="AS6" i="30"/>
  <c r="AU15" i="4"/>
  <c r="AU9" i="6" s="1"/>
  <c r="AW7" i="4"/>
  <c r="AW6" i="4" s="1"/>
  <c r="AV13" i="4"/>
  <c r="AW9" i="4"/>
  <c r="AW8" i="4" s="1"/>
  <c r="AV11" i="4"/>
  <c r="AK5" i="24"/>
  <c r="AJ7" i="24"/>
  <c r="AJ9" i="24" s="1"/>
  <c r="AN16" i="13" s="1"/>
  <c r="AO25" i="15" s="1"/>
  <c r="AK18" i="9" l="1"/>
  <c r="Y20" i="27"/>
  <c r="X13" i="27"/>
  <c r="T8" i="7"/>
  <c r="X7" i="27"/>
  <c r="U42" i="3"/>
  <c r="AK6" i="7"/>
  <c r="AX8" i="9"/>
  <c r="AX6" i="9" s="1"/>
  <c r="BV14" i="4"/>
  <c r="BU8" i="24"/>
  <c r="BY12" i="3"/>
  <c r="BX40" i="3"/>
  <c r="AT6" i="30"/>
  <c r="AT9" i="30"/>
  <c r="AT15" i="30" s="1"/>
  <c r="AU5" i="30"/>
  <c r="AX25" i="29"/>
  <c r="AJ16" i="30"/>
  <c r="AJ20" i="30" s="1"/>
  <c r="AM43" i="29" s="1"/>
  <c r="AW4" i="30"/>
  <c r="AK5" i="7"/>
  <c r="AL17" i="9" s="1"/>
  <c r="AN26" i="29"/>
  <c r="AK7" i="7"/>
  <c r="AX9" i="4"/>
  <c r="AX8" i="4" s="1"/>
  <c r="AW11" i="4"/>
  <c r="AV15" i="4"/>
  <c r="AV9" i="6" s="1"/>
  <c r="AX7" i="4"/>
  <c r="AX6" i="4" s="1"/>
  <c r="AW13" i="4"/>
  <c r="AL5" i="24"/>
  <c r="AK7" i="24"/>
  <c r="AK9" i="24" s="1"/>
  <c r="AO16" i="13" s="1"/>
  <c r="AP25" i="15" s="1"/>
  <c r="AL18" i="9" l="1"/>
  <c r="Y17" i="27"/>
  <c r="Y22" i="27" s="1"/>
  <c r="X44" i="29" s="1"/>
  <c r="BV8" i="24"/>
  <c r="BW14" i="4"/>
  <c r="BY40" i="3"/>
  <c r="BZ12" i="3"/>
  <c r="AY8" i="9"/>
  <c r="AY6" i="9" s="1"/>
  <c r="AL6" i="7"/>
  <c r="AV5" i="30"/>
  <c r="AY25" i="29"/>
  <c r="AU9" i="30"/>
  <c r="AU15" i="30" s="1"/>
  <c r="AU6" i="30"/>
  <c r="AK16" i="30"/>
  <c r="AK20" i="30" s="1"/>
  <c r="AN43" i="29" s="1"/>
  <c r="AX4" i="30"/>
  <c r="AO26" i="29"/>
  <c r="AL7" i="7"/>
  <c r="AL5" i="7"/>
  <c r="AM17" i="9" s="1"/>
  <c r="AW15" i="4"/>
  <c r="AW9" i="6" s="1"/>
  <c r="AY7" i="4"/>
  <c r="AY6" i="4" s="1"/>
  <c r="AX13" i="4"/>
  <c r="AY9" i="4"/>
  <c r="AY8" i="4" s="1"/>
  <c r="AX11" i="4"/>
  <c r="AM5" i="24"/>
  <c r="AL7" i="24"/>
  <c r="AL9" i="24" s="1"/>
  <c r="AP16" i="13" s="1"/>
  <c r="AQ25" i="15" s="1"/>
  <c r="U8" i="7" l="1"/>
  <c r="Z20" i="27"/>
  <c r="Y13" i="27"/>
  <c r="Y7" i="27"/>
  <c r="V42" i="3"/>
  <c r="CA12" i="3"/>
  <c r="BZ40" i="3"/>
  <c r="BX14" i="4"/>
  <c r="BW8" i="24"/>
  <c r="AZ8" i="9"/>
  <c r="AZ6" i="9" s="1"/>
  <c r="AM6" i="7"/>
  <c r="AM18" i="9"/>
  <c r="AW5" i="30"/>
  <c r="AZ25" i="29"/>
  <c r="AP26" i="29"/>
  <c r="AY4" i="30"/>
  <c r="AM5" i="7"/>
  <c r="AN17" i="9" s="1"/>
  <c r="AM7" i="7"/>
  <c r="AL16" i="30"/>
  <c r="AL20" i="30" s="1"/>
  <c r="AO43" i="29" s="1"/>
  <c r="AV9" i="30"/>
  <c r="AV15" i="30" s="1"/>
  <c r="AV6" i="30"/>
  <c r="AZ9" i="4"/>
  <c r="AZ8" i="4" s="1"/>
  <c r="AY11" i="4"/>
  <c r="AX15" i="4"/>
  <c r="AX9" i="6" s="1"/>
  <c r="AZ7" i="4"/>
  <c r="AZ6" i="4" s="1"/>
  <c r="AY13" i="4"/>
  <c r="AN5" i="24"/>
  <c r="AM7" i="24"/>
  <c r="AM9" i="24" s="1"/>
  <c r="AQ16" i="13" s="1"/>
  <c r="AR25" i="15" s="1"/>
  <c r="Z17" i="27" l="1"/>
  <c r="Z22" i="27" s="1"/>
  <c r="Y44" i="29" s="1"/>
  <c r="BX8" i="24"/>
  <c r="BY14" i="4"/>
  <c r="BA8" i="9"/>
  <c r="BA6" i="9" s="1"/>
  <c r="AN6" i="7"/>
  <c r="AN18" i="9"/>
  <c r="CB12" i="3"/>
  <c r="CA40" i="3"/>
  <c r="AZ4" i="30"/>
  <c r="AQ26" i="29"/>
  <c r="AN5" i="7"/>
  <c r="AO17" i="9" s="1"/>
  <c r="AN7" i="7"/>
  <c r="AM16" i="30"/>
  <c r="AM20" i="30" s="1"/>
  <c r="AP43" i="29" s="1"/>
  <c r="AX5" i="30"/>
  <c r="BA25" i="29"/>
  <c r="AW6" i="30"/>
  <c r="AW9" i="30"/>
  <c r="AW15" i="30" s="1"/>
  <c r="BA7" i="4"/>
  <c r="BA6" i="4" s="1"/>
  <c r="AZ13" i="4"/>
  <c r="AY15" i="4"/>
  <c r="AY9" i="6" s="1"/>
  <c r="BA9" i="4"/>
  <c r="BA8" i="4" s="1"/>
  <c r="AZ11" i="4"/>
  <c r="AO5" i="24"/>
  <c r="AN7" i="24"/>
  <c r="AN9" i="24" s="1"/>
  <c r="AR16" i="13" s="1"/>
  <c r="AS25" i="15" s="1"/>
  <c r="AO18" i="9" l="1"/>
  <c r="V8" i="7"/>
  <c r="Z13" i="27"/>
  <c r="AA20" i="27"/>
  <c r="Z7" i="27"/>
  <c r="W42" i="3"/>
  <c r="CC12" i="3"/>
  <c r="CB40" i="3"/>
  <c r="BZ14" i="4"/>
  <c r="BY8" i="24"/>
  <c r="BB8" i="9"/>
  <c r="BB6" i="9" s="1"/>
  <c r="AO6" i="7"/>
  <c r="AY5" i="30"/>
  <c r="BB25" i="29"/>
  <c r="BA4" i="30"/>
  <c r="AR26" i="29"/>
  <c r="AO5" i="7"/>
  <c r="AP17" i="9" s="1"/>
  <c r="AO7" i="7"/>
  <c r="AX9" i="30"/>
  <c r="AX15" i="30" s="1"/>
  <c r="AX6" i="30"/>
  <c r="AN16" i="30"/>
  <c r="BB9" i="4"/>
  <c r="BB8" i="4" s="1"/>
  <c r="BA11" i="4"/>
  <c r="AZ15" i="4"/>
  <c r="AZ9" i="6" s="1"/>
  <c r="BB7" i="4"/>
  <c r="BB6" i="4" s="1"/>
  <c r="BA13" i="4"/>
  <c r="AP5" i="24"/>
  <c r="AO7" i="24"/>
  <c r="AO9" i="24" s="1"/>
  <c r="AS16" i="13" s="1"/>
  <c r="AT25" i="15" s="1"/>
  <c r="AP18" i="9" l="1"/>
  <c r="AA17" i="27"/>
  <c r="AA22" i="27" s="1"/>
  <c r="Z44" i="29" s="1"/>
  <c r="BZ8" i="24"/>
  <c r="CA14" i="4"/>
  <c r="AP6" i="7"/>
  <c r="BC8" i="9"/>
  <c r="BC6" i="9" s="1"/>
  <c r="CC40" i="3"/>
  <c r="CD12" i="3"/>
  <c r="BB4" i="30"/>
  <c r="AS26" i="29"/>
  <c r="AP5" i="7"/>
  <c r="AQ17" i="9" s="1"/>
  <c r="AP7" i="7"/>
  <c r="AO16" i="30"/>
  <c r="AO20" i="30" s="1"/>
  <c r="AN20" i="30"/>
  <c r="AQ43" i="29" s="1"/>
  <c r="D16" i="30"/>
  <c r="BC25" i="29"/>
  <c r="AZ5" i="30"/>
  <c r="AY6" i="30"/>
  <c r="AY9" i="30"/>
  <c r="AY15" i="30" s="1"/>
  <c r="BC7" i="4"/>
  <c r="BC6" i="4" s="1"/>
  <c r="BB13" i="4"/>
  <c r="BA15" i="4"/>
  <c r="BA9" i="6" s="1"/>
  <c r="BC9" i="4"/>
  <c r="BC8" i="4" s="1"/>
  <c r="BB11" i="4"/>
  <c r="AQ5" i="24"/>
  <c r="AP7" i="24"/>
  <c r="AP9" i="24" s="1"/>
  <c r="AT16" i="13" s="1"/>
  <c r="AU25" i="15" s="1"/>
  <c r="AQ18" i="9" l="1"/>
  <c r="AO21" i="30"/>
  <c r="AQ32" i="26" s="1"/>
  <c r="AR43" i="29"/>
  <c r="W8" i="7"/>
  <c r="AB20" i="27"/>
  <c r="AA13" i="27"/>
  <c r="AA7" i="27"/>
  <c r="X42" i="3"/>
  <c r="CE12" i="3"/>
  <c r="CD40" i="3"/>
  <c r="AQ6" i="7"/>
  <c r="BD8" i="9"/>
  <c r="BD6" i="9" s="1"/>
  <c r="CA8" i="24"/>
  <c r="CB14" i="4"/>
  <c r="AQ19" i="26"/>
  <c r="AZ9" i="30"/>
  <c r="AZ15" i="30" s="1"/>
  <c r="AZ6" i="30"/>
  <c r="AP16" i="30"/>
  <c r="AP20" i="30" s="1"/>
  <c r="BA5" i="30"/>
  <c r="BD25" i="29"/>
  <c r="BC4" i="30"/>
  <c r="AT26" i="29"/>
  <c r="AQ5" i="7"/>
  <c r="AR17" i="9" s="1"/>
  <c r="AQ7" i="7"/>
  <c r="BB15" i="4"/>
  <c r="BB9" i="6" s="1"/>
  <c r="BD9" i="4"/>
  <c r="BD8" i="4" s="1"/>
  <c r="BC11" i="4"/>
  <c r="BD7" i="4"/>
  <c r="BD6" i="4" s="1"/>
  <c r="BC13" i="4"/>
  <c r="AR5" i="24"/>
  <c r="AQ7" i="24"/>
  <c r="AQ9" i="24" s="1"/>
  <c r="AU16" i="13" s="1"/>
  <c r="AV25" i="15" s="1"/>
  <c r="AR18" i="9" l="1"/>
  <c r="AP21" i="30"/>
  <c r="AS43" i="29"/>
  <c r="AB17" i="27"/>
  <c r="AB22" i="27" s="1"/>
  <c r="AA44" i="29" s="1"/>
  <c r="AR6" i="7"/>
  <c r="BE8" i="9"/>
  <c r="BE6" i="9" s="1"/>
  <c r="CB8" i="24"/>
  <c r="CC14" i="4"/>
  <c r="CE40" i="3"/>
  <c r="CF12" i="3"/>
  <c r="AQ16" i="30"/>
  <c r="AQ20" i="30" s="1"/>
  <c r="AR19" i="26"/>
  <c r="AR32" i="26"/>
  <c r="BA6" i="30"/>
  <c r="BA9" i="30"/>
  <c r="BA15" i="30" s="1"/>
  <c r="BD4" i="30"/>
  <c r="AU26" i="29"/>
  <c r="AR7" i="7"/>
  <c r="AR5" i="7"/>
  <c r="AS17" i="9" s="1"/>
  <c r="BE25" i="29"/>
  <c r="BB5" i="30"/>
  <c r="BC15" i="4"/>
  <c r="BC9" i="6" s="1"/>
  <c r="BE9" i="4"/>
  <c r="BE8" i="4" s="1"/>
  <c r="BD11" i="4"/>
  <c r="BE7" i="4"/>
  <c r="BE6" i="4" s="1"/>
  <c r="BD13" i="4"/>
  <c r="AS5" i="24"/>
  <c r="AR7" i="24"/>
  <c r="AR9" i="24" s="1"/>
  <c r="AV16" i="13" s="1"/>
  <c r="AW25" i="15" s="1"/>
  <c r="AQ21" i="30" l="1"/>
  <c r="AT43" i="29"/>
  <c r="AS18" i="9"/>
  <c r="X8" i="7"/>
  <c r="AB13" i="27"/>
  <c r="AC20" i="27"/>
  <c r="AB7" i="27"/>
  <c r="Y42" i="3"/>
  <c r="CG12" i="3"/>
  <c r="CF40" i="3"/>
  <c r="AS6" i="7"/>
  <c r="BF8" i="9"/>
  <c r="BF6" i="9" s="1"/>
  <c r="CC8" i="24"/>
  <c r="CD14" i="4"/>
  <c r="AR16" i="30"/>
  <c r="AR20" i="30" s="1"/>
  <c r="AS19" i="26"/>
  <c r="AS32" i="26"/>
  <c r="BC5" i="30"/>
  <c r="BF25" i="29"/>
  <c r="BE4" i="30"/>
  <c r="AS5" i="7"/>
  <c r="AT17" i="9" s="1"/>
  <c r="AV26" i="29"/>
  <c r="AS7" i="7"/>
  <c r="AT18" i="9" s="1"/>
  <c r="BB6" i="30"/>
  <c r="BB9" i="30"/>
  <c r="BB15" i="30" s="1"/>
  <c r="BD15" i="4"/>
  <c r="BD9" i="6" s="1"/>
  <c r="BF9" i="4"/>
  <c r="BF8" i="4" s="1"/>
  <c r="BE11" i="4"/>
  <c r="BF7" i="4"/>
  <c r="BF6" i="4" s="1"/>
  <c r="BE13" i="4"/>
  <c r="AT5" i="24"/>
  <c r="AS7" i="24"/>
  <c r="AS9" i="24" s="1"/>
  <c r="AW16" i="13" s="1"/>
  <c r="AX25" i="15" s="1"/>
  <c r="AR21" i="30" l="1"/>
  <c r="AT32" i="26" s="1"/>
  <c r="AU43" i="29"/>
  <c r="AC17" i="27"/>
  <c r="AC22" i="27" s="1"/>
  <c r="AB44" i="29" s="1"/>
  <c r="BG8" i="9"/>
  <c r="BG6" i="9" s="1"/>
  <c r="AT6" i="7"/>
  <c r="CD8" i="24"/>
  <c r="CE14" i="4"/>
  <c r="CG40" i="3"/>
  <c r="CH12" i="3"/>
  <c r="AT19" i="26"/>
  <c r="AS16" i="30"/>
  <c r="AS20" i="30" s="1"/>
  <c r="BF4" i="30"/>
  <c r="AW26" i="29"/>
  <c r="AT7" i="7"/>
  <c r="AT5" i="7"/>
  <c r="AU17" i="9" s="1"/>
  <c r="BD5" i="30"/>
  <c r="BG25" i="29"/>
  <c r="BC6" i="30"/>
  <c r="BC9" i="30"/>
  <c r="BC15" i="30" s="1"/>
  <c r="BE15" i="4"/>
  <c r="BE9" i="6" s="1"/>
  <c r="BG7" i="4"/>
  <c r="BG6" i="4" s="1"/>
  <c r="BF13" i="4"/>
  <c r="BG9" i="4"/>
  <c r="BG8" i="4" s="1"/>
  <c r="BF11" i="4"/>
  <c r="AU5" i="24"/>
  <c r="AT7" i="24"/>
  <c r="AT9" i="24" s="1"/>
  <c r="AX16" i="13" s="1"/>
  <c r="AY25" i="15" s="1"/>
  <c r="AU18" i="9" l="1"/>
  <c r="AS21" i="30"/>
  <c r="AV43" i="29"/>
  <c r="Y8" i="7"/>
  <c r="AD20" i="27"/>
  <c r="AC13" i="27"/>
  <c r="AC7" i="27"/>
  <c r="Z42" i="3"/>
  <c r="CI12" i="3"/>
  <c r="CH40" i="3"/>
  <c r="BH8" i="9"/>
  <c r="BH6" i="9" s="1"/>
  <c r="AU6" i="7"/>
  <c r="CF14" i="4"/>
  <c r="CE8" i="24"/>
  <c r="AU19" i="26"/>
  <c r="AU32" i="26"/>
  <c r="BD9" i="30"/>
  <c r="BD15" i="30" s="1"/>
  <c r="BD6" i="30"/>
  <c r="AT16" i="30"/>
  <c r="AT20" i="30" s="1"/>
  <c r="AX26" i="29"/>
  <c r="BG4" i="30"/>
  <c r="AU7" i="7"/>
  <c r="AU5" i="7"/>
  <c r="AV17" i="9" s="1"/>
  <c r="BE5" i="30"/>
  <c r="BH25" i="29"/>
  <c r="BH9" i="4"/>
  <c r="BH8" i="4" s="1"/>
  <c r="BG11" i="4"/>
  <c r="BF15" i="4"/>
  <c r="BF9" i="6" s="1"/>
  <c r="BH7" i="4"/>
  <c r="BH6" i="4" s="1"/>
  <c r="BG13" i="4"/>
  <c r="AV5" i="24"/>
  <c r="AU7" i="24"/>
  <c r="AU9" i="24" s="1"/>
  <c r="AY16" i="13" s="1"/>
  <c r="AZ25" i="15" s="1"/>
  <c r="AT21" i="30" l="1"/>
  <c r="AV32" i="26" s="1"/>
  <c r="AW43" i="29"/>
  <c r="AD17" i="27"/>
  <c r="AD22" i="27" s="1"/>
  <c r="AC44" i="29" s="1"/>
  <c r="BI8" i="9"/>
  <c r="BI6" i="9" s="1"/>
  <c r="AV6" i="7"/>
  <c r="AV18" i="9"/>
  <c r="CG14" i="4"/>
  <c r="CF8" i="24"/>
  <c r="CI40" i="3"/>
  <c r="CJ12" i="3"/>
  <c r="AV19" i="26"/>
  <c r="AU16" i="30"/>
  <c r="AU20" i="30" s="1"/>
  <c r="BH4" i="30"/>
  <c r="AY26" i="29"/>
  <c r="AV5" i="7"/>
  <c r="AW17" i="9" s="1"/>
  <c r="AV7" i="7"/>
  <c r="BE6" i="30"/>
  <c r="BE9" i="30"/>
  <c r="BE15" i="30" s="1"/>
  <c r="BF5" i="30"/>
  <c r="BI25" i="29"/>
  <c r="BG15" i="4"/>
  <c r="BG9" i="6" s="1"/>
  <c r="BI7" i="4"/>
  <c r="BI6" i="4" s="1"/>
  <c r="BH13" i="4"/>
  <c r="BI9" i="4"/>
  <c r="BI8" i="4" s="1"/>
  <c r="BH11" i="4"/>
  <c r="AW5" i="24"/>
  <c r="AV7" i="24"/>
  <c r="AV9" i="24" s="1"/>
  <c r="AZ16" i="13" s="1"/>
  <c r="BA25" i="15" s="1"/>
  <c r="AU21" i="30" l="1"/>
  <c r="AW19" i="26" s="1"/>
  <c r="AX43" i="29"/>
  <c r="AW18" i="9"/>
  <c r="AE20" i="27"/>
  <c r="AD13" i="27"/>
  <c r="Z8" i="7"/>
  <c r="AD7" i="27"/>
  <c r="AA42" i="3"/>
  <c r="CH14" i="4"/>
  <c r="CG8" i="24"/>
  <c r="CK12" i="3"/>
  <c r="CJ40" i="3"/>
  <c r="BJ8" i="9"/>
  <c r="BJ6" i="9" s="1"/>
  <c r="AW6" i="7"/>
  <c r="AV16" i="30"/>
  <c r="AV20" i="30" s="1"/>
  <c r="BF6" i="30"/>
  <c r="BF9" i="30"/>
  <c r="BF15" i="30" s="1"/>
  <c r="AZ26" i="29"/>
  <c r="BI4" i="30"/>
  <c r="AW5" i="7"/>
  <c r="AX17" i="9" s="1"/>
  <c r="AW7" i="7"/>
  <c r="BG5" i="30"/>
  <c r="BJ25" i="29"/>
  <c r="BJ7" i="4"/>
  <c r="BJ6" i="4" s="1"/>
  <c r="BI13" i="4"/>
  <c r="BJ9" i="4"/>
  <c r="BJ8" i="4" s="1"/>
  <c r="BI11" i="4"/>
  <c r="BH15" i="4"/>
  <c r="BH9" i="6" s="1"/>
  <c r="AX5" i="24"/>
  <c r="AW7" i="24"/>
  <c r="AW9" i="24" s="1"/>
  <c r="BA16" i="13" s="1"/>
  <c r="BB25" i="15" s="1"/>
  <c r="AW32" i="26" l="1"/>
  <c r="AV21" i="30"/>
  <c r="AX19" i="26" s="1"/>
  <c r="AY43" i="29"/>
  <c r="AE17" i="27"/>
  <c r="AE22" i="27" s="1"/>
  <c r="AD44" i="29" s="1"/>
  <c r="CH8" i="24"/>
  <c r="CI14" i="4"/>
  <c r="AX6" i="7"/>
  <c r="BK8" i="9"/>
  <c r="BK6" i="9" s="1"/>
  <c r="AX18" i="9"/>
  <c r="CK40" i="3"/>
  <c r="CL12" i="3"/>
  <c r="BH5" i="30"/>
  <c r="BK25" i="29"/>
  <c r="BJ4" i="30"/>
  <c r="BA26" i="29"/>
  <c r="AX5" i="7"/>
  <c r="AY17" i="9" s="1"/>
  <c r="AX7" i="7"/>
  <c r="AW16" i="30"/>
  <c r="AW20" i="30" s="1"/>
  <c r="BG6" i="30"/>
  <c r="BG9" i="30"/>
  <c r="BG15" i="30" s="1"/>
  <c r="BK9" i="4"/>
  <c r="BK8" i="4" s="1"/>
  <c r="BJ11" i="4"/>
  <c r="BI15" i="4"/>
  <c r="BI9" i="6" s="1"/>
  <c r="BK7" i="4"/>
  <c r="BK6" i="4" s="1"/>
  <c r="BJ13" i="4"/>
  <c r="AY5" i="24"/>
  <c r="AX7" i="24"/>
  <c r="AX9" i="24" s="1"/>
  <c r="BB16" i="13" s="1"/>
  <c r="BC25" i="15" s="1"/>
  <c r="AX32" i="26" l="1"/>
  <c r="AW21" i="30"/>
  <c r="AY19" i="26" s="1"/>
  <c r="AZ43" i="29"/>
  <c r="AY18" i="9"/>
  <c r="AE13" i="27"/>
  <c r="AA8" i="7"/>
  <c r="AF20" i="27"/>
  <c r="AE7" i="27"/>
  <c r="AB42" i="3"/>
  <c r="CL40" i="3"/>
  <c r="CM12" i="3"/>
  <c r="AY6" i="7"/>
  <c r="BL8" i="9"/>
  <c r="BL6" i="9" s="1"/>
  <c r="CI8" i="24"/>
  <c r="CJ14" i="4"/>
  <c r="BH9" i="30"/>
  <c r="BH15" i="30" s="1"/>
  <c r="BH6" i="30"/>
  <c r="AX16" i="30"/>
  <c r="AX20" i="30" s="1"/>
  <c r="BI5" i="30"/>
  <c r="BL25" i="29"/>
  <c r="BK4" i="30"/>
  <c r="BB26" i="29"/>
  <c r="AY5" i="7"/>
  <c r="AZ17" i="9" s="1"/>
  <c r="AY7" i="7"/>
  <c r="BJ15" i="4"/>
  <c r="BJ9" i="6" s="1"/>
  <c r="BL7" i="4"/>
  <c r="BL6" i="4" s="1"/>
  <c r="BK13" i="4"/>
  <c r="BL9" i="4"/>
  <c r="BL8" i="4" s="1"/>
  <c r="BK11" i="4"/>
  <c r="AZ5" i="24"/>
  <c r="AY7" i="24"/>
  <c r="AY9" i="24" s="1"/>
  <c r="BC16" i="13" s="1"/>
  <c r="BD25" i="15" s="1"/>
  <c r="AY32" i="26" l="1"/>
  <c r="AX21" i="30"/>
  <c r="AZ32" i="26" s="1"/>
  <c r="BA43" i="29"/>
  <c r="AZ18" i="9"/>
  <c r="AF17" i="27"/>
  <c r="AZ6" i="7"/>
  <c r="BM8" i="9"/>
  <c r="BM6" i="9" s="1"/>
  <c r="CM40" i="3"/>
  <c r="CN12" i="3"/>
  <c r="CJ8" i="24"/>
  <c r="CK14" i="4"/>
  <c r="AY16" i="30"/>
  <c r="AY20" i="30" s="1"/>
  <c r="BJ5" i="30"/>
  <c r="BM25" i="29"/>
  <c r="BC26" i="29"/>
  <c r="BL4" i="30"/>
  <c r="AZ5" i="7"/>
  <c r="BA17" i="9" s="1"/>
  <c r="AZ7" i="7"/>
  <c r="BI6" i="30"/>
  <c r="BI9" i="30"/>
  <c r="BI15" i="30" s="1"/>
  <c r="BM9" i="4"/>
  <c r="BM8" i="4" s="1"/>
  <c r="BL11" i="4"/>
  <c r="BM7" i="4"/>
  <c r="BM6" i="4" s="1"/>
  <c r="BL13" i="4"/>
  <c r="BK15" i="4"/>
  <c r="BK9" i="6" s="1"/>
  <c r="BA5" i="24"/>
  <c r="AZ7" i="24"/>
  <c r="AZ9" i="24" s="1"/>
  <c r="BD16" i="13" s="1"/>
  <c r="BE25" i="15" s="1"/>
  <c r="AZ19" i="26" l="1"/>
  <c r="BA18" i="9"/>
  <c r="AY21" i="30"/>
  <c r="BA19" i="26" s="1"/>
  <c r="BB43" i="29"/>
  <c r="AF7" i="27"/>
  <c r="AC42" i="3"/>
  <c r="AF22" i="27"/>
  <c r="AE44" i="29" s="1"/>
  <c r="CO12" i="3"/>
  <c r="CN40" i="3"/>
  <c r="BA6" i="7"/>
  <c r="BN8" i="9"/>
  <c r="BN6" i="9" s="1"/>
  <c r="CK8" i="24"/>
  <c r="CL14" i="4"/>
  <c r="BA32" i="26"/>
  <c r="BJ9" i="30"/>
  <c r="BJ15" i="30" s="1"/>
  <c r="BJ6" i="30"/>
  <c r="BM4" i="30"/>
  <c r="BD26" i="29"/>
  <c r="BA5" i="7"/>
  <c r="BB17" i="9" s="1"/>
  <c r="BA7" i="7"/>
  <c r="AZ16" i="30"/>
  <c r="AZ20" i="30" s="1"/>
  <c r="BK5" i="30"/>
  <c r="BN25" i="29"/>
  <c r="BL15" i="4"/>
  <c r="BL9" i="6" s="1"/>
  <c r="BN7" i="4"/>
  <c r="BN6" i="4" s="1"/>
  <c r="BM13" i="4"/>
  <c r="BN9" i="4"/>
  <c r="BN8" i="4" s="1"/>
  <c r="BM11" i="4"/>
  <c r="BB5" i="24"/>
  <c r="BA7" i="24"/>
  <c r="BA9" i="24" s="1"/>
  <c r="BE16" i="13" s="1"/>
  <c r="BF25" i="15" s="1"/>
  <c r="AZ21" i="30" l="1"/>
  <c r="BB32" i="26" s="1"/>
  <c r="BC43" i="29"/>
  <c r="BB18" i="9"/>
  <c r="AF13" i="27"/>
  <c r="AG20" i="27"/>
  <c r="AB8" i="7"/>
  <c r="BO8" i="9"/>
  <c r="BO6" i="9" s="1"/>
  <c r="BB6" i="7"/>
  <c r="CL8" i="24"/>
  <c r="CM14" i="4"/>
  <c r="CO40" i="3"/>
  <c r="CP12" i="3"/>
  <c r="BN4" i="30"/>
  <c r="BE26" i="29"/>
  <c r="BB7" i="7"/>
  <c r="BB5" i="7"/>
  <c r="BC17" i="9" s="1"/>
  <c r="BA16" i="30"/>
  <c r="BA20" i="30" s="1"/>
  <c r="BL5" i="30"/>
  <c r="BO25" i="29"/>
  <c r="BK9" i="30"/>
  <c r="BK15" i="30" s="1"/>
  <c r="BK6" i="30"/>
  <c r="BO7" i="4"/>
  <c r="BO6" i="4" s="1"/>
  <c r="BN13" i="4"/>
  <c r="BO9" i="4"/>
  <c r="BO8" i="4" s="1"/>
  <c r="BN11" i="4"/>
  <c r="BM15" i="4"/>
  <c r="BM9" i="6" s="1"/>
  <c r="BC5" i="24"/>
  <c r="BB7" i="24"/>
  <c r="BB9" i="24" s="1"/>
  <c r="BF16" i="13" s="1"/>
  <c r="BG25" i="15" s="1"/>
  <c r="BB19" i="26" l="1"/>
  <c r="BA21" i="30"/>
  <c r="BC19" i="26" s="1"/>
  <c r="BD43" i="29"/>
  <c r="BC18" i="9"/>
  <c r="AG17" i="27"/>
  <c r="AG22" i="27" s="1"/>
  <c r="AF44" i="29" s="1"/>
  <c r="CQ12" i="3"/>
  <c r="CP40" i="3"/>
  <c r="BP8" i="9"/>
  <c r="BP6" i="9" s="1"/>
  <c r="BC6" i="7"/>
  <c r="CN14" i="4"/>
  <c r="CM8" i="24"/>
  <c r="BB16" i="30"/>
  <c r="BB20" i="30" s="1"/>
  <c r="BM5" i="30"/>
  <c r="BP25" i="29"/>
  <c r="BF26" i="29"/>
  <c r="BO4" i="30"/>
  <c r="BC7" i="7"/>
  <c r="BC5" i="7"/>
  <c r="BD17" i="9" s="1"/>
  <c r="BL6" i="30"/>
  <c r="BL9" i="30"/>
  <c r="BL15" i="30" s="1"/>
  <c r="BP9" i="4"/>
  <c r="BP8" i="4" s="1"/>
  <c r="BO11" i="4"/>
  <c r="BN15" i="4"/>
  <c r="BN9" i="6" s="1"/>
  <c r="BP7" i="4"/>
  <c r="BP6" i="4" s="1"/>
  <c r="BO13" i="4"/>
  <c r="BD5" i="24"/>
  <c r="BC7" i="24"/>
  <c r="BC9" i="24" s="1"/>
  <c r="BG16" i="13" s="1"/>
  <c r="BH25" i="15" s="1"/>
  <c r="BC32" i="26" l="1"/>
  <c r="BB21" i="30"/>
  <c r="BD32" i="26" s="1"/>
  <c r="BE43" i="29"/>
  <c r="AG13" i="27"/>
  <c r="AH20" i="27"/>
  <c r="AC8" i="7"/>
  <c r="AG7" i="27"/>
  <c r="AD42" i="3"/>
  <c r="BD18" i="9"/>
  <c r="CO14" i="4"/>
  <c r="CN8" i="24"/>
  <c r="BQ8" i="9"/>
  <c r="BQ6" i="9" s="1"/>
  <c r="BD6" i="7"/>
  <c r="CR12" i="3"/>
  <c r="CQ40" i="3"/>
  <c r="BN5" i="30"/>
  <c r="BQ25" i="29"/>
  <c r="BP4" i="30"/>
  <c r="BG26" i="29"/>
  <c r="BD7" i="7"/>
  <c r="BD5" i="7"/>
  <c r="BE17" i="9" s="1"/>
  <c r="BM6" i="30"/>
  <c r="BM9" i="30"/>
  <c r="BM15" i="30" s="1"/>
  <c r="BC16" i="30"/>
  <c r="BC20" i="30" s="1"/>
  <c r="BO15" i="4"/>
  <c r="BO9" i="6" s="1"/>
  <c r="BQ7" i="4"/>
  <c r="BQ6" i="4" s="1"/>
  <c r="BP13" i="4"/>
  <c r="BQ9" i="4"/>
  <c r="BQ8" i="4" s="1"/>
  <c r="BP11" i="4"/>
  <c r="BE5" i="24"/>
  <c r="BD7" i="24"/>
  <c r="BD9" i="24" s="1"/>
  <c r="BH16" i="13" s="1"/>
  <c r="BI25" i="15" s="1"/>
  <c r="BD19" i="26" l="1"/>
  <c r="BC21" i="30"/>
  <c r="BE32" i="26" s="1"/>
  <c r="BF43" i="29"/>
  <c r="AH17" i="27"/>
  <c r="AH22" i="27" s="1"/>
  <c r="AG44" i="29" s="1"/>
  <c r="BR8" i="9"/>
  <c r="BR6" i="9" s="1"/>
  <c r="BE6" i="7"/>
  <c r="CR40" i="3"/>
  <c r="CS12" i="3"/>
  <c r="BE18" i="9"/>
  <c r="CO8" i="24"/>
  <c r="CP14" i="4"/>
  <c r="BE19" i="26"/>
  <c r="BQ4" i="30"/>
  <c r="BH26" i="29"/>
  <c r="BE5" i="7"/>
  <c r="BF17" i="9" s="1"/>
  <c r="BE7" i="7"/>
  <c r="BN6" i="30"/>
  <c r="BN9" i="30"/>
  <c r="BN15" i="30" s="1"/>
  <c r="BO5" i="30"/>
  <c r="BR25" i="29"/>
  <c r="BD16" i="30"/>
  <c r="BD20" i="30" s="1"/>
  <c r="BP15" i="4"/>
  <c r="BP9" i="6" s="1"/>
  <c r="BR9" i="4"/>
  <c r="BR8" i="4" s="1"/>
  <c r="BQ11" i="4"/>
  <c r="BR7" i="4"/>
  <c r="BR6" i="4" s="1"/>
  <c r="BQ13" i="4"/>
  <c r="BF5" i="24"/>
  <c r="BE7" i="24"/>
  <c r="BE9" i="24" s="1"/>
  <c r="BI16" i="13" s="1"/>
  <c r="BJ25" i="15" s="1"/>
  <c r="BD21" i="30" l="1"/>
  <c r="BG43" i="29"/>
  <c r="AH13" i="27"/>
  <c r="AI20" i="27"/>
  <c r="AD8" i="7"/>
  <c r="AH7" i="27"/>
  <c r="AE42" i="3"/>
  <c r="BF6" i="7"/>
  <c r="BS8" i="9"/>
  <c r="BS6" i="9" s="1"/>
  <c r="CS40" i="3"/>
  <c r="CT12" i="3"/>
  <c r="CP8" i="24"/>
  <c r="CQ14" i="4"/>
  <c r="BF18" i="9"/>
  <c r="BF19" i="26"/>
  <c r="BF32" i="26"/>
  <c r="BR4" i="30"/>
  <c r="BI26" i="29"/>
  <c r="BF5" i="7"/>
  <c r="BG17" i="9" s="1"/>
  <c r="BF7" i="7"/>
  <c r="BO9" i="30"/>
  <c r="BO15" i="30" s="1"/>
  <c r="BO6" i="30"/>
  <c r="BP5" i="30"/>
  <c r="BS25" i="29"/>
  <c r="BE16" i="30"/>
  <c r="BE20" i="30" s="1"/>
  <c r="BS7" i="4"/>
  <c r="BS6" i="4" s="1"/>
  <c r="BR13" i="4"/>
  <c r="BQ15" i="4"/>
  <c r="BQ9" i="6" s="1"/>
  <c r="BS9" i="4"/>
  <c r="BS8" i="4" s="1"/>
  <c r="BR11" i="4"/>
  <c r="BG5" i="24"/>
  <c r="BF7" i="24"/>
  <c r="BF9" i="24" s="1"/>
  <c r="BJ16" i="13" s="1"/>
  <c r="BK25" i="15" s="1"/>
  <c r="BG18" i="9" l="1"/>
  <c r="BE21" i="30"/>
  <c r="BG32" i="26" s="1"/>
  <c r="BH43" i="29"/>
  <c r="AI17" i="27"/>
  <c r="AI22" i="27" s="1"/>
  <c r="AH44" i="29" s="1"/>
  <c r="BG6" i="7"/>
  <c r="BT8" i="9"/>
  <c r="BT6" i="9" s="1"/>
  <c r="CU12" i="3"/>
  <c r="CT40" i="3"/>
  <c r="CQ8" i="24"/>
  <c r="CR14" i="4"/>
  <c r="BS4" i="30"/>
  <c r="BG5" i="7"/>
  <c r="BH17" i="9" s="1"/>
  <c r="BJ26" i="29"/>
  <c r="BG7" i="7"/>
  <c r="BH18" i="9" s="1"/>
  <c r="BP9" i="30"/>
  <c r="BP15" i="30" s="1"/>
  <c r="BP6" i="30"/>
  <c r="BF16" i="30"/>
  <c r="BF20" i="30" s="1"/>
  <c r="BQ5" i="30"/>
  <c r="BT25" i="29"/>
  <c r="BT9" i="4"/>
  <c r="BT8" i="4" s="1"/>
  <c r="BS11" i="4"/>
  <c r="BR15" i="4"/>
  <c r="BR9" i="6" s="1"/>
  <c r="BT7" i="4"/>
  <c r="BT6" i="4" s="1"/>
  <c r="BS13" i="4"/>
  <c r="BH5" i="24"/>
  <c r="BG7" i="24"/>
  <c r="BG9" i="24" s="1"/>
  <c r="BK16" i="13" s="1"/>
  <c r="BL25" i="15" s="1"/>
  <c r="BG19" i="26" l="1"/>
  <c r="BF21" i="30"/>
  <c r="BH32" i="26" s="1"/>
  <c r="BI43" i="29"/>
  <c r="AE8" i="7"/>
  <c r="AI13" i="27"/>
  <c r="AJ20" i="27"/>
  <c r="AI7" i="27"/>
  <c r="AF42" i="3"/>
  <c r="BH6" i="7"/>
  <c r="BU8" i="9"/>
  <c r="BU6" i="9" s="1"/>
  <c r="CR8" i="24"/>
  <c r="CS14" i="4"/>
  <c r="CU40" i="3"/>
  <c r="CV12" i="3"/>
  <c r="BG16" i="30"/>
  <c r="BG20" i="30" s="1"/>
  <c r="BT4" i="30"/>
  <c r="BK26" i="29"/>
  <c r="BH5" i="7"/>
  <c r="BI17" i="9" s="1"/>
  <c r="BH7" i="7"/>
  <c r="BQ6" i="30"/>
  <c r="BQ9" i="30"/>
  <c r="BQ15" i="30" s="1"/>
  <c r="BU25" i="29"/>
  <c r="BR5" i="30"/>
  <c r="BS15" i="4"/>
  <c r="BS9" i="6" s="1"/>
  <c r="BU7" i="4"/>
  <c r="BU6" i="4" s="1"/>
  <c r="BT13" i="4"/>
  <c r="BU9" i="4"/>
  <c r="BU8" i="4" s="1"/>
  <c r="BT11" i="4"/>
  <c r="BI5" i="24"/>
  <c r="BH7" i="24"/>
  <c r="BH9" i="24" s="1"/>
  <c r="BL16" i="13" s="1"/>
  <c r="BM25" i="15" s="1"/>
  <c r="BH19" i="26" l="1"/>
  <c r="BI18" i="9"/>
  <c r="BG21" i="30"/>
  <c r="BI19" i="26" s="1"/>
  <c r="BJ43" i="29"/>
  <c r="AJ17" i="27"/>
  <c r="CW12" i="3"/>
  <c r="CV40" i="3"/>
  <c r="BI6" i="7"/>
  <c r="BV8" i="9"/>
  <c r="BV6" i="9" s="1"/>
  <c r="CS8" i="24"/>
  <c r="CT14" i="4"/>
  <c r="BH16" i="30"/>
  <c r="BH20" i="30" s="1"/>
  <c r="BU4" i="30"/>
  <c r="BI5" i="7"/>
  <c r="BJ17" i="9" s="1"/>
  <c r="BL26" i="29"/>
  <c r="BI7" i="7"/>
  <c r="BV25" i="29"/>
  <c r="BS5" i="30"/>
  <c r="BR9" i="30"/>
  <c r="BR15" i="30" s="1"/>
  <c r="BR6" i="30"/>
  <c r="BT15" i="4"/>
  <c r="BT9" i="6" s="1"/>
  <c r="BV9" i="4"/>
  <c r="BV8" i="4" s="1"/>
  <c r="BU11" i="4"/>
  <c r="BV7" i="4"/>
  <c r="BV6" i="4" s="1"/>
  <c r="BU13" i="4"/>
  <c r="BJ5" i="24"/>
  <c r="BI7" i="24"/>
  <c r="BI9" i="24" s="1"/>
  <c r="BM16" i="13" s="1"/>
  <c r="BN25" i="15" s="1"/>
  <c r="BI32" i="26" l="1"/>
  <c r="BJ18" i="9"/>
  <c r="BH21" i="30"/>
  <c r="BK43" i="29"/>
  <c r="AJ7" i="27"/>
  <c r="AG42" i="3"/>
  <c r="AJ22" i="27"/>
  <c r="AI44" i="29" s="1"/>
  <c r="BW8" i="9"/>
  <c r="BW6" i="9" s="1"/>
  <c r="BJ6" i="7"/>
  <c r="CT8" i="24"/>
  <c r="CU14" i="4"/>
  <c r="CW40" i="3"/>
  <c r="CX12" i="3"/>
  <c r="BJ32" i="26"/>
  <c r="BJ19" i="26"/>
  <c r="BI16" i="30"/>
  <c r="BI20" i="30" s="1"/>
  <c r="BT5" i="30"/>
  <c r="BW25" i="29"/>
  <c r="BS6" i="30"/>
  <c r="BS9" i="30"/>
  <c r="BS15" i="30" s="1"/>
  <c r="BV4" i="30"/>
  <c r="BJ7" i="7"/>
  <c r="BJ5" i="7"/>
  <c r="BK17" i="9" s="1"/>
  <c r="BM26" i="29"/>
  <c r="BU15" i="4"/>
  <c r="BU9" i="6" s="1"/>
  <c r="BW7" i="4"/>
  <c r="BW6" i="4" s="1"/>
  <c r="BV13" i="4"/>
  <c r="BW9" i="4"/>
  <c r="BW8" i="4" s="1"/>
  <c r="BV11" i="4"/>
  <c r="BK5" i="24"/>
  <c r="BJ7" i="24"/>
  <c r="BJ9" i="24" s="1"/>
  <c r="BN16" i="13" s="1"/>
  <c r="BO25" i="15" s="1"/>
  <c r="BK18" i="9" l="1"/>
  <c r="BI21" i="30"/>
  <c r="BL43" i="29"/>
  <c r="AK20" i="27"/>
  <c r="AJ13" i="27"/>
  <c r="AF8" i="7"/>
  <c r="CY12" i="3"/>
  <c r="CX40" i="3"/>
  <c r="BX8" i="9"/>
  <c r="BX6" i="9" s="1"/>
  <c r="BK6" i="7"/>
  <c r="CV14" i="4"/>
  <c r="CU8" i="24"/>
  <c r="BK19" i="26"/>
  <c r="BK32" i="26"/>
  <c r="BJ16" i="30"/>
  <c r="BJ20" i="30" s="1"/>
  <c r="BT6" i="30"/>
  <c r="BT9" i="30"/>
  <c r="BT15" i="30" s="1"/>
  <c r="BN26" i="29"/>
  <c r="BW4" i="30"/>
  <c r="BK7" i="7"/>
  <c r="BK5" i="7"/>
  <c r="BL17" i="9" s="1"/>
  <c r="BX25" i="29"/>
  <c r="BU5" i="30"/>
  <c r="BX9" i="4"/>
  <c r="BX8" i="4" s="1"/>
  <c r="BW11" i="4"/>
  <c r="BV15" i="4"/>
  <c r="BV9" i="6" s="1"/>
  <c r="BX7" i="4"/>
  <c r="BX6" i="4" s="1"/>
  <c r="BW13" i="4"/>
  <c r="BL5" i="24"/>
  <c r="BK7" i="24"/>
  <c r="BK9" i="24" s="1"/>
  <c r="BO16" i="13" s="1"/>
  <c r="BP25" i="15" s="1"/>
  <c r="BJ21" i="30" l="1"/>
  <c r="BL19" i="26" s="1"/>
  <c r="BM43" i="29"/>
  <c r="AK17" i="27"/>
  <c r="BY8" i="9"/>
  <c r="BY6" i="9" s="1"/>
  <c r="BL6" i="7"/>
  <c r="CW14" i="4"/>
  <c r="CV8" i="24"/>
  <c r="BL18" i="9"/>
  <c r="CZ12" i="3"/>
  <c r="CY40" i="3"/>
  <c r="BV5" i="30"/>
  <c r="BY25" i="29"/>
  <c r="BX4" i="30"/>
  <c r="BO26" i="29"/>
  <c r="BL7" i="7"/>
  <c r="BL5" i="7"/>
  <c r="BM17" i="9" s="1"/>
  <c r="BU9" i="30"/>
  <c r="BU15" i="30" s="1"/>
  <c r="BU6" i="30"/>
  <c r="BK16" i="30"/>
  <c r="BK20" i="30" s="1"/>
  <c r="BW15" i="4"/>
  <c r="BW9" i="6" s="1"/>
  <c r="BY7" i="4"/>
  <c r="BY6" i="4" s="1"/>
  <c r="BX13" i="4"/>
  <c r="BY9" i="4"/>
  <c r="BY8" i="4" s="1"/>
  <c r="BX11" i="4"/>
  <c r="BM5" i="24"/>
  <c r="BL7" i="24"/>
  <c r="BL9" i="24" s="1"/>
  <c r="BP16" i="13" s="1"/>
  <c r="BQ25" i="15" s="1"/>
  <c r="BL32" i="26" l="1"/>
  <c r="BK21" i="30"/>
  <c r="BN43" i="29"/>
  <c r="BM18" i="9"/>
  <c r="AK7" i="27"/>
  <c r="AH42" i="3"/>
  <c r="AK22" i="27"/>
  <c r="AJ44" i="29" s="1"/>
  <c r="DA12" i="3"/>
  <c r="CZ40" i="3"/>
  <c r="CW8" i="24"/>
  <c r="CX14" i="4"/>
  <c r="BZ8" i="9"/>
  <c r="BZ6" i="9" s="1"/>
  <c r="BM6" i="7"/>
  <c r="BM32" i="26"/>
  <c r="BM19" i="26"/>
  <c r="BP26" i="29"/>
  <c r="BM7" i="7"/>
  <c r="BM5" i="7"/>
  <c r="BN17" i="9" s="1"/>
  <c r="BY4" i="30"/>
  <c r="BV9" i="30"/>
  <c r="BV15" i="30" s="1"/>
  <c r="BV6" i="30"/>
  <c r="BW5" i="30"/>
  <c r="BZ25" i="29"/>
  <c r="BL16" i="30"/>
  <c r="BL20" i="30" s="1"/>
  <c r="BZ9" i="4"/>
  <c r="BZ8" i="4" s="1"/>
  <c r="BY11" i="4"/>
  <c r="BZ7" i="4"/>
  <c r="BZ6" i="4" s="1"/>
  <c r="BY13" i="4"/>
  <c r="BX15" i="4"/>
  <c r="BX9" i="6" s="1"/>
  <c r="BN5" i="24"/>
  <c r="BM7" i="24"/>
  <c r="BM9" i="24" s="1"/>
  <c r="BQ16" i="13" s="1"/>
  <c r="BR25" i="15" s="1"/>
  <c r="BN18" i="9" l="1"/>
  <c r="BL21" i="30"/>
  <c r="BO43" i="29"/>
  <c r="AL20" i="27"/>
  <c r="AG8" i="7"/>
  <c r="AK13" i="27"/>
  <c r="CX8" i="24"/>
  <c r="CY14" i="4"/>
  <c r="BN6" i="7"/>
  <c r="CA8" i="9"/>
  <c r="CA6" i="9" s="1"/>
  <c r="DA40" i="3"/>
  <c r="DB12" i="3"/>
  <c r="BN19" i="26"/>
  <c r="BN32" i="26"/>
  <c r="BZ4" i="30"/>
  <c r="BQ26" i="29"/>
  <c r="BN5" i="7"/>
  <c r="BO17" i="9" s="1"/>
  <c r="BN7" i="7"/>
  <c r="BW6" i="30"/>
  <c r="BW9" i="30"/>
  <c r="BW15" i="30" s="1"/>
  <c r="BM16" i="30"/>
  <c r="BM20" i="30" s="1"/>
  <c r="BX5" i="30"/>
  <c r="CA25" i="29"/>
  <c r="BY15" i="4"/>
  <c r="BY9" i="6" s="1"/>
  <c r="CA7" i="4"/>
  <c r="CA6" i="4" s="1"/>
  <c r="BZ13" i="4"/>
  <c r="CA9" i="4"/>
  <c r="CA8" i="4" s="1"/>
  <c r="BZ11" i="4"/>
  <c r="BO5" i="24"/>
  <c r="BN7" i="24"/>
  <c r="BN9" i="24" s="1"/>
  <c r="BR16" i="13" s="1"/>
  <c r="BS25" i="15" s="1"/>
  <c r="BM21" i="30" l="1"/>
  <c r="BO32" i="26" s="1"/>
  <c r="BP43" i="29"/>
  <c r="BO18" i="9"/>
  <c r="AL17" i="27"/>
  <c r="AL22" i="27" s="1"/>
  <c r="AK44" i="29" s="1"/>
  <c r="DB40" i="3"/>
  <c r="DC12" i="3"/>
  <c r="BO6" i="7"/>
  <c r="CB8" i="9"/>
  <c r="CB6" i="9" s="1"/>
  <c r="CY8" i="24"/>
  <c r="CZ14" i="4"/>
  <c r="BO19" i="26"/>
  <c r="CA4" i="30"/>
  <c r="BO5" i="7"/>
  <c r="BP17" i="9" s="1"/>
  <c r="BR26" i="29"/>
  <c r="BO7" i="7"/>
  <c r="BN16" i="30"/>
  <c r="BN20" i="30" s="1"/>
  <c r="BY5" i="30"/>
  <c r="CB25" i="29"/>
  <c r="BX9" i="30"/>
  <c r="BX15" i="30" s="1"/>
  <c r="BX6" i="30"/>
  <c r="CB9" i="4"/>
  <c r="CB8" i="4" s="1"/>
  <c r="CA11" i="4"/>
  <c r="BZ15" i="4"/>
  <c r="BZ9" i="6" s="1"/>
  <c r="CB7" i="4"/>
  <c r="CB6" i="4" s="1"/>
  <c r="CA13" i="4"/>
  <c r="BP5" i="24"/>
  <c r="BO7" i="24"/>
  <c r="BO9" i="24" s="1"/>
  <c r="BS16" i="13" s="1"/>
  <c r="BT25" i="15" s="1"/>
  <c r="BP18" i="9" l="1"/>
  <c r="BN21" i="30"/>
  <c r="BQ43" i="29"/>
  <c r="AM20" i="27"/>
  <c r="AH8" i="7"/>
  <c r="AL13" i="27"/>
  <c r="AL7" i="27"/>
  <c r="AI42" i="3"/>
  <c r="DC40" i="3"/>
  <c r="DD12" i="3"/>
  <c r="BP6" i="7"/>
  <c r="CC8" i="9"/>
  <c r="CC6" i="9" s="1"/>
  <c r="CZ8" i="24"/>
  <c r="DA14" i="4"/>
  <c r="BP32" i="26"/>
  <c r="BP19" i="26"/>
  <c r="BS26" i="29"/>
  <c r="CB4" i="30"/>
  <c r="BP5" i="7"/>
  <c r="BQ17" i="9" s="1"/>
  <c r="BP7" i="7"/>
  <c r="BQ18" i="9" s="1"/>
  <c r="BO16" i="30"/>
  <c r="BO20" i="30" s="1"/>
  <c r="BY6" i="30"/>
  <c r="BY9" i="30"/>
  <c r="BY15" i="30" s="1"/>
  <c r="BZ5" i="30"/>
  <c r="CC25" i="29"/>
  <c r="CA15" i="4"/>
  <c r="CA9" i="6" s="1"/>
  <c r="CC7" i="4"/>
  <c r="CC6" i="4" s="1"/>
  <c r="CB13" i="4"/>
  <c r="CC9" i="4"/>
  <c r="CC8" i="4" s="1"/>
  <c r="CB11" i="4"/>
  <c r="BQ5" i="24"/>
  <c r="BP7" i="24"/>
  <c r="BP9" i="24" s="1"/>
  <c r="BT16" i="13" s="1"/>
  <c r="BU25" i="15" s="1"/>
  <c r="BO21" i="30" l="1"/>
  <c r="BQ19" i="26" s="1"/>
  <c r="BR43" i="29"/>
  <c r="AM17" i="27"/>
  <c r="AM22" i="27" s="1"/>
  <c r="AL44" i="29" s="1"/>
  <c r="DE12" i="3"/>
  <c r="DD40" i="3"/>
  <c r="BQ6" i="7"/>
  <c r="CD8" i="9"/>
  <c r="CD6" i="9" s="1"/>
  <c r="DB14" i="4"/>
  <c r="DA8" i="24"/>
  <c r="CA5" i="30"/>
  <c r="CD25" i="29"/>
  <c r="CC4" i="30"/>
  <c r="BT26" i="29"/>
  <c r="BQ5" i="7"/>
  <c r="BR17" i="9" s="1"/>
  <c r="BQ7" i="7"/>
  <c r="BP16" i="30"/>
  <c r="BP20" i="30" s="1"/>
  <c r="BZ9" i="30"/>
  <c r="BZ15" i="30" s="1"/>
  <c r="BZ6" i="30"/>
  <c r="CD7" i="4"/>
  <c r="CD6" i="4" s="1"/>
  <c r="CC13" i="4"/>
  <c r="CD9" i="4"/>
  <c r="CD8" i="4" s="1"/>
  <c r="CC11" i="4"/>
  <c r="CB15" i="4"/>
  <c r="CB9" i="6" s="1"/>
  <c r="BR5" i="24"/>
  <c r="BQ7" i="24"/>
  <c r="BQ9" i="24" s="1"/>
  <c r="BU16" i="13" s="1"/>
  <c r="BV25" i="15" s="1"/>
  <c r="BQ32" i="26" l="1"/>
  <c r="BP21" i="30"/>
  <c r="BR19" i="26" s="1"/>
  <c r="BS43" i="29"/>
  <c r="BR18" i="9"/>
  <c r="AI8" i="7"/>
  <c r="AM13" i="27"/>
  <c r="AN20" i="27"/>
  <c r="AM7" i="27"/>
  <c r="AJ42" i="3"/>
  <c r="CE8" i="9"/>
  <c r="CE6" i="9" s="1"/>
  <c r="BR6" i="7"/>
  <c r="DB8" i="24"/>
  <c r="DC14" i="4"/>
  <c r="DE40" i="3"/>
  <c r="DF12" i="3"/>
  <c r="CA9" i="30"/>
  <c r="CA15" i="30" s="1"/>
  <c r="CA6" i="30"/>
  <c r="CD4" i="30"/>
  <c r="BU26" i="29"/>
  <c r="BR7" i="7"/>
  <c r="BS18" i="9" s="1"/>
  <c r="BR5" i="7"/>
  <c r="BS17" i="9" s="1"/>
  <c r="BQ16" i="30"/>
  <c r="BQ20" i="30" s="1"/>
  <c r="CB5" i="30"/>
  <c r="CE25" i="29"/>
  <c r="CE9" i="4"/>
  <c r="CE8" i="4" s="1"/>
  <c r="CD11" i="4"/>
  <c r="CC15" i="4"/>
  <c r="CC9" i="6" s="1"/>
  <c r="CE7" i="4"/>
  <c r="CE6" i="4" s="1"/>
  <c r="CD13" i="4"/>
  <c r="BS5" i="24"/>
  <c r="BR7" i="24"/>
  <c r="BR9" i="24" s="1"/>
  <c r="BV16" i="13" s="1"/>
  <c r="BW25" i="15" s="1"/>
  <c r="BR32" i="26" l="1"/>
  <c r="BQ21" i="30"/>
  <c r="BS19" i="26" s="1"/>
  <c r="BT43" i="29"/>
  <c r="AN17" i="27"/>
  <c r="AN22" i="27" s="1"/>
  <c r="AM44" i="29" s="1"/>
  <c r="DG12" i="3"/>
  <c r="DF40" i="3"/>
  <c r="DD14" i="4"/>
  <c r="DC8" i="24"/>
  <c r="CF8" i="9"/>
  <c r="CF6" i="9" s="1"/>
  <c r="BS6" i="7"/>
  <c r="BV26" i="29"/>
  <c r="CE4" i="30"/>
  <c r="BS7" i="7"/>
  <c r="BT18" i="9" s="1"/>
  <c r="BS5" i="7"/>
  <c r="BT17" i="9" s="1"/>
  <c r="BR16" i="30"/>
  <c r="BR20" i="30" s="1"/>
  <c r="CC5" i="30"/>
  <c r="CF25" i="29"/>
  <c r="CB9" i="30"/>
  <c r="CB15" i="30" s="1"/>
  <c r="CB6" i="30"/>
  <c r="CF7" i="4"/>
  <c r="CF6" i="4" s="1"/>
  <c r="CE13" i="4"/>
  <c r="CD15" i="4"/>
  <c r="CD9" i="6" s="1"/>
  <c r="CF9" i="4"/>
  <c r="CF8" i="4" s="1"/>
  <c r="CE11" i="4"/>
  <c r="BT5" i="24"/>
  <c r="BS7" i="24"/>
  <c r="BS9" i="24" s="1"/>
  <c r="BW16" i="13" s="1"/>
  <c r="BX25" i="15" s="1"/>
  <c r="BS32" i="26" l="1"/>
  <c r="BR21" i="30"/>
  <c r="BT32" i="26" s="1"/>
  <c r="BU43" i="29"/>
  <c r="AN13" i="27"/>
  <c r="AO20" i="27"/>
  <c r="AJ8" i="7"/>
  <c r="AN7" i="27"/>
  <c r="AK42" i="3"/>
  <c r="CG8" i="9"/>
  <c r="CG6" i="9" s="1"/>
  <c r="BT6" i="7"/>
  <c r="DD8" i="24"/>
  <c r="DE14" i="4"/>
  <c r="DH12" i="3"/>
  <c r="DG40" i="3"/>
  <c r="BT19" i="26"/>
  <c r="BS16" i="30"/>
  <c r="BS20" i="30" s="1"/>
  <c r="CC6" i="30"/>
  <c r="CC9" i="30"/>
  <c r="CC15" i="30" s="1"/>
  <c r="CF4" i="30"/>
  <c r="BW26" i="29"/>
  <c r="BT7" i="7"/>
  <c r="BT5" i="7"/>
  <c r="BU17" i="9" s="1"/>
  <c r="CD5" i="30"/>
  <c r="CG25" i="29"/>
  <c r="CG9" i="4"/>
  <c r="CG8" i="4" s="1"/>
  <c r="CF11" i="4"/>
  <c r="CE15" i="4"/>
  <c r="CE9" i="6" s="1"/>
  <c r="CG7" i="4"/>
  <c r="CG6" i="4" s="1"/>
  <c r="CF13" i="4"/>
  <c r="BU5" i="24"/>
  <c r="BT7" i="24"/>
  <c r="BT9" i="24" s="1"/>
  <c r="BX16" i="13" s="1"/>
  <c r="BY25" i="15" s="1"/>
  <c r="BU18" i="9" l="1"/>
  <c r="BS21" i="30"/>
  <c r="BU19" i="26" s="1"/>
  <c r="BV43" i="29"/>
  <c r="AO17" i="27"/>
  <c r="AO22" i="27" s="1"/>
  <c r="AN44" i="29" s="1"/>
  <c r="DF14" i="4"/>
  <c r="DE8" i="24"/>
  <c r="CH8" i="9"/>
  <c r="CH6" i="9" s="1"/>
  <c r="BU6" i="7"/>
  <c r="DI12" i="3"/>
  <c r="DH40" i="3"/>
  <c r="BU32" i="26"/>
  <c r="BT16" i="30"/>
  <c r="BT20" i="30" s="1"/>
  <c r="CG4" i="30"/>
  <c r="BX26" i="29"/>
  <c r="BU7" i="7"/>
  <c r="BU5" i="7"/>
  <c r="BV17" i="9" s="1"/>
  <c r="CE5" i="30"/>
  <c r="CH25" i="29"/>
  <c r="CD9" i="30"/>
  <c r="CD15" i="30" s="1"/>
  <c r="CD6" i="30"/>
  <c r="CH7" i="4"/>
  <c r="CH6" i="4" s="1"/>
  <c r="CG13" i="4"/>
  <c r="CF15" i="4"/>
  <c r="CF9" i="6" s="1"/>
  <c r="CH9" i="4"/>
  <c r="CH8" i="4" s="1"/>
  <c r="CG11" i="4"/>
  <c r="BV5" i="24"/>
  <c r="BU7" i="24"/>
  <c r="BU9" i="24" s="1"/>
  <c r="BY16" i="13" s="1"/>
  <c r="BZ25" i="15" s="1"/>
  <c r="BV18" i="9" l="1"/>
  <c r="BT21" i="30"/>
  <c r="BV19" i="26" s="1"/>
  <c r="BW43" i="29"/>
  <c r="AK8" i="7"/>
  <c r="AP20" i="27"/>
  <c r="AO13" i="27"/>
  <c r="AO7" i="27"/>
  <c r="AL42" i="3"/>
  <c r="DF8" i="24"/>
  <c r="DG14" i="4"/>
  <c r="DI40" i="3"/>
  <c r="DJ12" i="3"/>
  <c r="BV6" i="7"/>
  <c r="CI8" i="9"/>
  <c r="CI6" i="9" s="1"/>
  <c r="CH4" i="30"/>
  <c r="BY26" i="29"/>
  <c r="BV7" i="7"/>
  <c r="BV5" i="7"/>
  <c r="BW17" i="9" s="1"/>
  <c r="CE9" i="30"/>
  <c r="CE15" i="30" s="1"/>
  <c r="CE6" i="30"/>
  <c r="CF5" i="30"/>
  <c r="CI25" i="29"/>
  <c r="BU16" i="30"/>
  <c r="BU20" i="30" s="1"/>
  <c r="CI9" i="4"/>
  <c r="CI8" i="4" s="1"/>
  <c r="CH11" i="4"/>
  <c r="CG15" i="4"/>
  <c r="CG9" i="6" s="1"/>
  <c r="CI7" i="4"/>
  <c r="CI6" i="4" s="1"/>
  <c r="CH13" i="4"/>
  <c r="BW5" i="24"/>
  <c r="BV7" i="24"/>
  <c r="BV9" i="24" s="1"/>
  <c r="BZ16" i="13" s="1"/>
  <c r="CA25" i="15" s="1"/>
  <c r="BV32" i="26" l="1"/>
  <c r="BU21" i="30"/>
  <c r="BW32" i="26" s="1"/>
  <c r="BX43" i="29"/>
  <c r="BW18" i="9"/>
  <c r="AP17" i="27"/>
  <c r="AP22" i="27" s="1"/>
  <c r="AO44" i="29" s="1"/>
  <c r="BW6" i="7"/>
  <c r="CJ8" i="9"/>
  <c r="CJ6" i="9" s="1"/>
  <c r="DJ40" i="3"/>
  <c r="DK12" i="3"/>
  <c r="DG8" i="24"/>
  <c r="DH14" i="4"/>
  <c r="CF9" i="30"/>
  <c r="CF15" i="30" s="1"/>
  <c r="CF6" i="30"/>
  <c r="CI4" i="30"/>
  <c r="BZ26" i="29"/>
  <c r="BW5" i="7"/>
  <c r="BX17" i="9" s="1"/>
  <c r="BW7" i="7"/>
  <c r="BV16" i="30"/>
  <c r="BV20" i="30" s="1"/>
  <c r="CG5" i="30"/>
  <c r="CJ25" i="29"/>
  <c r="CH15" i="4"/>
  <c r="CH9" i="6" s="1"/>
  <c r="CJ7" i="4"/>
  <c r="CJ6" i="4" s="1"/>
  <c r="CI13" i="4"/>
  <c r="CJ9" i="4"/>
  <c r="CJ8" i="4" s="1"/>
  <c r="CI11" i="4"/>
  <c r="BX5" i="24"/>
  <c r="BW7" i="24"/>
  <c r="BW9" i="24" s="1"/>
  <c r="CA16" i="13" s="1"/>
  <c r="CB25" i="15" s="1"/>
  <c r="BW19" i="26" l="1"/>
  <c r="BV21" i="30"/>
  <c r="BX32" i="26" s="1"/>
  <c r="BY43" i="29"/>
  <c r="BX18" i="9"/>
  <c r="AL8" i="7"/>
  <c r="AQ20" i="27"/>
  <c r="AP13" i="27"/>
  <c r="AP7" i="27"/>
  <c r="AM42" i="3"/>
  <c r="BX6" i="7"/>
  <c r="CK8" i="9"/>
  <c r="CK6" i="9" s="1"/>
  <c r="DL12" i="3"/>
  <c r="DK40" i="3"/>
  <c r="DI14" i="4"/>
  <c r="DH8" i="24"/>
  <c r="BX19" i="26"/>
  <c r="CG6" i="30"/>
  <c r="CG9" i="30"/>
  <c r="CG15" i="30" s="1"/>
  <c r="CJ4" i="30"/>
  <c r="CA26" i="29"/>
  <c r="BX5" i="7"/>
  <c r="BY17" i="9" s="1"/>
  <c r="BX7" i="7"/>
  <c r="BY18" i="9" s="1"/>
  <c r="BW16" i="30"/>
  <c r="BW20" i="30" s="1"/>
  <c r="CK25" i="29"/>
  <c r="CH5" i="30"/>
  <c r="CI15" i="4"/>
  <c r="CI9" i="6" s="1"/>
  <c r="CK7" i="4"/>
  <c r="CK6" i="4" s="1"/>
  <c r="CJ13" i="4"/>
  <c r="CK9" i="4"/>
  <c r="CK8" i="4" s="1"/>
  <c r="CJ11" i="4"/>
  <c r="BY5" i="24"/>
  <c r="BX7" i="24"/>
  <c r="BX9" i="24" s="1"/>
  <c r="CB16" i="13" s="1"/>
  <c r="CC25" i="15" s="1"/>
  <c r="BW21" i="30" l="1"/>
  <c r="BY19" i="26" s="1"/>
  <c r="BZ43" i="29"/>
  <c r="AQ17" i="27"/>
  <c r="AQ22" i="27" s="1"/>
  <c r="AP44" i="29" s="1"/>
  <c r="DJ14" i="4"/>
  <c r="DI8" i="24"/>
  <c r="DM12" i="3"/>
  <c r="DL40" i="3"/>
  <c r="BY6" i="7"/>
  <c r="CL8" i="9"/>
  <c r="CL6" i="9" s="1"/>
  <c r="BY32" i="26"/>
  <c r="CK4" i="30"/>
  <c r="BY5" i="7"/>
  <c r="BZ17" i="9" s="1"/>
  <c r="CB26" i="29"/>
  <c r="BY7" i="7"/>
  <c r="CI5" i="30"/>
  <c r="CL25" i="29"/>
  <c r="CH9" i="30"/>
  <c r="CH15" i="30" s="1"/>
  <c r="CH6" i="30"/>
  <c r="BX16" i="30"/>
  <c r="BX20" i="30" s="1"/>
  <c r="CL9" i="4"/>
  <c r="CL8" i="4" s="1"/>
  <c r="CK11" i="4"/>
  <c r="CL7" i="4"/>
  <c r="CL6" i="4" s="1"/>
  <c r="CK13" i="4"/>
  <c r="CJ15" i="4"/>
  <c r="CJ9" i="6" s="1"/>
  <c r="BZ5" i="24"/>
  <c r="BY7" i="24"/>
  <c r="BY9" i="24" s="1"/>
  <c r="CC16" i="13" s="1"/>
  <c r="CD25" i="15" s="1"/>
  <c r="BZ18" i="9" l="1"/>
  <c r="BX21" i="30"/>
  <c r="CA43" i="29"/>
  <c r="AR20" i="27"/>
  <c r="AM8" i="7"/>
  <c r="AQ13" i="27"/>
  <c r="AQ7" i="27"/>
  <c r="AN42" i="3"/>
  <c r="CM8" i="9"/>
  <c r="CM6" i="9" s="1"/>
  <c r="BZ6" i="7"/>
  <c r="DK14" i="4"/>
  <c r="DJ8" i="24"/>
  <c r="DM40" i="3"/>
  <c r="DN12" i="3"/>
  <c r="BZ32" i="26"/>
  <c r="BZ19" i="26"/>
  <c r="BY16" i="30"/>
  <c r="BY20" i="30" s="1"/>
  <c r="CJ5" i="30"/>
  <c r="CM25" i="29"/>
  <c r="CI9" i="30"/>
  <c r="CI15" i="30" s="1"/>
  <c r="CI6" i="30"/>
  <c r="BZ7" i="7"/>
  <c r="CA18" i="9" s="1"/>
  <c r="BZ5" i="7"/>
  <c r="CA17" i="9" s="1"/>
  <c r="CL4" i="30"/>
  <c r="CC26" i="29"/>
  <c r="CK15" i="4"/>
  <c r="CK9" i="6" s="1"/>
  <c r="CM7" i="4"/>
  <c r="CM6" i="4" s="1"/>
  <c r="CL13" i="4"/>
  <c r="CM9" i="4"/>
  <c r="CM8" i="4" s="1"/>
  <c r="CL11" i="4"/>
  <c r="CA5" i="24"/>
  <c r="BZ7" i="24"/>
  <c r="BZ9" i="24" s="1"/>
  <c r="CD16" i="13" s="1"/>
  <c r="CE25" i="15" s="1"/>
  <c r="BY21" i="30" l="1"/>
  <c r="CA19" i="26" s="1"/>
  <c r="CB43" i="29"/>
  <c r="AR17" i="27"/>
  <c r="AR22" i="27" s="1"/>
  <c r="AQ44" i="29" s="1"/>
  <c r="H20" i="27"/>
  <c r="CN8" i="9"/>
  <c r="CN6" i="9" s="1"/>
  <c r="CA6" i="7"/>
  <c r="DL14" i="4"/>
  <c r="DK8" i="24"/>
  <c r="DO12" i="3"/>
  <c r="DN40" i="3"/>
  <c r="CD26" i="29"/>
  <c r="CM4" i="30"/>
  <c r="CA7" i="7"/>
  <c r="CA5" i="7"/>
  <c r="CB17" i="9" s="1"/>
  <c r="CK5" i="30"/>
  <c r="CN25" i="29"/>
  <c r="CJ9" i="30"/>
  <c r="CJ15" i="30" s="1"/>
  <c r="CJ6" i="30"/>
  <c r="BZ16" i="30"/>
  <c r="BZ20" i="30" s="1"/>
  <c r="CN9" i="4"/>
  <c r="CN8" i="4" s="1"/>
  <c r="CM11" i="4"/>
  <c r="CL15" i="4"/>
  <c r="CL9" i="6" s="1"/>
  <c r="CN7" i="4"/>
  <c r="CN6" i="4" s="1"/>
  <c r="CM13" i="4"/>
  <c r="CB5" i="24"/>
  <c r="CA7" i="24"/>
  <c r="CA9" i="24" s="1"/>
  <c r="CE16" i="13" s="1"/>
  <c r="CF25" i="15" s="1"/>
  <c r="CB18" i="9" l="1"/>
  <c r="CA32" i="26"/>
  <c r="BZ21" i="30"/>
  <c r="CB32" i="26" s="1"/>
  <c r="CC43" i="29"/>
  <c r="AN8" i="7"/>
  <c r="AR13" i="27"/>
  <c r="AS20" i="27"/>
  <c r="AR7" i="27"/>
  <c r="AO42" i="3"/>
  <c r="DM14" i="4"/>
  <c r="DL8" i="24"/>
  <c r="DP12" i="3"/>
  <c r="DO40" i="3"/>
  <c r="CO8" i="9"/>
  <c r="CO6" i="9" s="1"/>
  <c r="CB6" i="7"/>
  <c r="CA16" i="30"/>
  <c r="CA20" i="30" s="1"/>
  <c r="CL5" i="30"/>
  <c r="CO25" i="29"/>
  <c r="CN4" i="30"/>
  <c r="CE26" i="29"/>
  <c r="CB7" i="7"/>
  <c r="CB5" i="7"/>
  <c r="CC17" i="9" s="1"/>
  <c r="CK6" i="30"/>
  <c r="CK9" i="30"/>
  <c r="CK15" i="30" s="1"/>
  <c r="CM15" i="4"/>
  <c r="CM9" i="6" s="1"/>
  <c r="CO7" i="4"/>
  <c r="CO6" i="4" s="1"/>
  <c r="CN13" i="4"/>
  <c r="CO9" i="4"/>
  <c r="CO8" i="4" s="1"/>
  <c r="CN11" i="4"/>
  <c r="CC5" i="24"/>
  <c r="CB7" i="24"/>
  <c r="CB9" i="24" s="1"/>
  <c r="CF16" i="13" s="1"/>
  <c r="CG25" i="15" s="1"/>
  <c r="CB19" i="26" l="1"/>
  <c r="CA21" i="30"/>
  <c r="CC32" i="26" s="1"/>
  <c r="CD43" i="29"/>
  <c r="AS17" i="27"/>
  <c r="DM8" i="24"/>
  <c r="DN14" i="4"/>
  <c r="DQ12" i="3"/>
  <c r="DP40" i="3"/>
  <c r="CP8" i="9"/>
  <c r="CP6" i="9" s="1"/>
  <c r="CC6" i="7"/>
  <c r="CC18" i="9"/>
  <c r="CB16" i="30"/>
  <c r="CB20" i="30" s="1"/>
  <c r="CF26" i="29"/>
  <c r="CO4" i="30"/>
  <c r="CC7" i="7"/>
  <c r="CC5" i="7"/>
  <c r="CD17" i="9" s="1"/>
  <c r="CM5" i="30"/>
  <c r="CP25" i="29"/>
  <c r="CL9" i="30"/>
  <c r="CL15" i="30" s="1"/>
  <c r="CL6" i="30"/>
  <c r="CP9" i="4"/>
  <c r="CP8" i="4" s="1"/>
  <c r="CO11" i="4"/>
  <c r="CP7" i="4"/>
  <c r="CP6" i="4" s="1"/>
  <c r="CO13" i="4"/>
  <c r="CN15" i="4"/>
  <c r="CN9" i="6" s="1"/>
  <c r="CD5" i="24"/>
  <c r="CC7" i="24"/>
  <c r="CC9" i="24" s="1"/>
  <c r="CG16" i="13" s="1"/>
  <c r="CH25" i="15" s="1"/>
  <c r="CC19" i="26" l="1"/>
  <c r="CB21" i="30"/>
  <c r="CE43" i="29"/>
  <c r="AS7" i="27"/>
  <c r="AP42" i="3"/>
  <c r="AS22" i="27"/>
  <c r="AR44" i="29" s="1"/>
  <c r="DN8" i="24"/>
  <c r="DO14" i="4"/>
  <c r="CD6" i="7"/>
  <c r="CQ8" i="9"/>
  <c r="CQ6" i="9" s="1"/>
  <c r="DQ40" i="3"/>
  <c r="DR12" i="3"/>
  <c r="CD18" i="9"/>
  <c r="CD19" i="26"/>
  <c r="CD32" i="26"/>
  <c r="CM9" i="30"/>
  <c r="CM15" i="30" s="1"/>
  <c r="CM6" i="30"/>
  <c r="CN5" i="30"/>
  <c r="CQ25" i="29"/>
  <c r="CC16" i="30"/>
  <c r="CC20" i="30" s="1"/>
  <c r="CP4" i="30"/>
  <c r="CG26" i="29"/>
  <c r="CD7" i="7"/>
  <c r="CD5" i="7"/>
  <c r="CE17" i="9" s="1"/>
  <c r="CO15" i="4"/>
  <c r="CO9" i="6" s="1"/>
  <c r="CQ7" i="4"/>
  <c r="CQ6" i="4" s="1"/>
  <c r="CP13" i="4"/>
  <c r="CQ9" i="4"/>
  <c r="CQ8" i="4" s="1"/>
  <c r="CP11" i="4"/>
  <c r="CE5" i="24"/>
  <c r="CD7" i="24"/>
  <c r="CD9" i="24" s="1"/>
  <c r="CH16" i="13" s="1"/>
  <c r="CI25" i="15" s="1"/>
  <c r="CE18" i="9" l="1"/>
  <c r="CC21" i="30"/>
  <c r="CE32" i="26" s="1"/>
  <c r="CF43" i="29"/>
  <c r="AO8" i="7"/>
  <c r="AT20" i="27"/>
  <c r="AS13" i="27"/>
  <c r="DS12" i="3"/>
  <c r="DR40" i="3"/>
  <c r="DO8" i="24"/>
  <c r="DP14" i="4"/>
  <c r="CE6" i="7"/>
  <c r="CR8" i="9"/>
  <c r="CR6" i="9" s="1"/>
  <c r="CQ4" i="30"/>
  <c r="CH26" i="29"/>
  <c r="CE5" i="7"/>
  <c r="CF17" i="9" s="1"/>
  <c r="CE7" i="7"/>
  <c r="CN6" i="30"/>
  <c r="CN9" i="30"/>
  <c r="CN15" i="30" s="1"/>
  <c r="CO5" i="30"/>
  <c r="CR25" i="29"/>
  <c r="CD16" i="30"/>
  <c r="CD20" i="30" s="1"/>
  <c r="CP15" i="4"/>
  <c r="CP9" i="6" s="1"/>
  <c r="CR9" i="4"/>
  <c r="CR8" i="4" s="1"/>
  <c r="CQ11" i="4"/>
  <c r="CR7" i="4"/>
  <c r="CR6" i="4" s="1"/>
  <c r="CQ13" i="4"/>
  <c r="CF5" i="24"/>
  <c r="CE7" i="24"/>
  <c r="CE9" i="24" s="1"/>
  <c r="CI16" i="13" s="1"/>
  <c r="CJ25" i="15" s="1"/>
  <c r="CE19" i="26" l="1"/>
  <c r="CD21" i="30"/>
  <c r="CG43" i="29"/>
  <c r="CF18" i="9"/>
  <c r="AT17" i="27"/>
  <c r="CF6" i="7"/>
  <c r="CS8" i="9"/>
  <c r="CS6" i="9" s="1"/>
  <c r="DQ14" i="4"/>
  <c r="DP8" i="24"/>
  <c r="DS40" i="3"/>
  <c r="DT12" i="3"/>
  <c r="CF32" i="26"/>
  <c r="CF19" i="26"/>
  <c r="CP5" i="30"/>
  <c r="CS25" i="29"/>
  <c r="CE16" i="30"/>
  <c r="CE20" i="30" s="1"/>
  <c r="CO6" i="30"/>
  <c r="CO9" i="30"/>
  <c r="CO15" i="30" s="1"/>
  <c r="CI26" i="29"/>
  <c r="CR4" i="30"/>
  <c r="CF5" i="7"/>
  <c r="CG17" i="9" s="1"/>
  <c r="CF7" i="7"/>
  <c r="CQ15" i="4"/>
  <c r="CQ9" i="6" s="1"/>
  <c r="CS9" i="4"/>
  <c r="CS8" i="4" s="1"/>
  <c r="CR11" i="4"/>
  <c r="CS7" i="4"/>
  <c r="CS6" i="4" s="1"/>
  <c r="CR13" i="4"/>
  <c r="CG5" i="24"/>
  <c r="CF7" i="24"/>
  <c r="CF9" i="24" s="1"/>
  <c r="CJ16" i="13" s="1"/>
  <c r="CK25" i="15" s="1"/>
  <c r="CG18" i="9" l="1"/>
  <c r="CE21" i="30"/>
  <c r="CG19" i="26" s="1"/>
  <c r="CH43" i="29"/>
  <c r="AT7" i="27"/>
  <c r="AQ42" i="3"/>
  <c r="AT22" i="27"/>
  <c r="AS44" i="29" s="1"/>
  <c r="DR14" i="4"/>
  <c r="DQ8" i="24"/>
  <c r="DU12" i="3"/>
  <c r="DU40" i="3" s="1"/>
  <c r="DT40" i="3"/>
  <c r="CG6" i="7"/>
  <c r="CT8" i="9"/>
  <c r="CT6" i="9" s="1"/>
  <c r="CG32" i="26"/>
  <c r="CS4" i="30"/>
  <c r="CG5" i="7"/>
  <c r="CH17" i="9" s="1"/>
  <c r="CJ26" i="29"/>
  <c r="CG7" i="7"/>
  <c r="CQ5" i="30"/>
  <c r="CT25" i="29"/>
  <c r="CP6" i="30"/>
  <c r="CP9" i="30"/>
  <c r="CP15" i="30" s="1"/>
  <c r="CF16" i="30"/>
  <c r="CF20" i="30" s="1"/>
  <c r="CR15" i="4"/>
  <c r="CR9" i="6" s="1"/>
  <c r="CT7" i="4"/>
  <c r="CT6" i="4" s="1"/>
  <c r="CS13" i="4"/>
  <c r="CT9" i="4"/>
  <c r="CT8" i="4" s="1"/>
  <c r="CS11" i="4"/>
  <c r="CH5" i="24"/>
  <c r="CG7" i="24"/>
  <c r="CG9" i="24" s="1"/>
  <c r="CK16" i="13" s="1"/>
  <c r="CL25" i="15" s="1"/>
  <c r="CF21" i="30" l="1"/>
  <c r="CH19" i="26" s="1"/>
  <c r="CI43" i="29"/>
  <c r="AP8" i="7"/>
  <c r="AT13" i="27"/>
  <c r="AU20" i="27"/>
  <c r="DS8" i="24"/>
  <c r="DT14" i="4"/>
  <c r="DS14" i="4"/>
  <c r="DR8" i="24"/>
  <c r="CH18" i="9"/>
  <c r="CU8" i="9"/>
  <c r="CU6" i="9" s="1"/>
  <c r="CH6" i="7"/>
  <c r="CG16" i="30"/>
  <c r="CG20" i="30" s="1"/>
  <c r="CR5" i="30"/>
  <c r="CU25" i="29"/>
  <c r="CT4" i="30"/>
  <c r="CH7" i="7"/>
  <c r="CK26" i="29"/>
  <c r="CH5" i="7"/>
  <c r="CI17" i="9" s="1"/>
  <c r="CQ9" i="30"/>
  <c r="CQ15" i="30" s="1"/>
  <c r="CQ6" i="30"/>
  <c r="CU9" i="4"/>
  <c r="CU8" i="4" s="1"/>
  <c r="CT11" i="4"/>
  <c r="CS15" i="4"/>
  <c r="CS9" i="6" s="1"/>
  <c r="CU7" i="4"/>
  <c r="CU6" i="4" s="1"/>
  <c r="CT13" i="4"/>
  <c r="CI5" i="24"/>
  <c r="CH7" i="24"/>
  <c r="CH9" i="24" s="1"/>
  <c r="CL16" i="13" s="1"/>
  <c r="CM25" i="15" s="1"/>
  <c r="CH32" i="26" l="1"/>
  <c r="CI18" i="9"/>
  <c r="CG21" i="30"/>
  <c r="CI32" i="26" s="1"/>
  <c r="CJ43" i="29"/>
  <c r="AU17" i="27"/>
  <c r="CV8" i="9"/>
  <c r="CV6" i="9" s="1"/>
  <c r="CI6" i="7"/>
  <c r="CI19" i="26"/>
  <c r="CS5" i="30"/>
  <c r="CV25" i="29"/>
  <c r="CH16" i="30"/>
  <c r="CH20" i="30" s="1"/>
  <c r="CR6" i="30"/>
  <c r="CR9" i="30"/>
  <c r="CR15" i="30" s="1"/>
  <c r="CL26" i="29"/>
  <c r="CU4" i="30"/>
  <c r="CI7" i="7"/>
  <c r="CJ18" i="9" s="1"/>
  <c r="CI5" i="7"/>
  <c r="CJ17" i="9" s="1"/>
  <c r="CT15" i="4"/>
  <c r="CT9" i="6" s="1"/>
  <c r="CV7" i="4"/>
  <c r="CV6" i="4" s="1"/>
  <c r="CU13" i="4"/>
  <c r="CV9" i="4"/>
  <c r="CV8" i="4" s="1"/>
  <c r="CU11" i="4"/>
  <c r="CJ5" i="24"/>
  <c r="CI7" i="24"/>
  <c r="CI9" i="24" s="1"/>
  <c r="CM16" i="13" s="1"/>
  <c r="CN25" i="15" s="1"/>
  <c r="CH21" i="30" l="1"/>
  <c r="CK43" i="29"/>
  <c r="AU7" i="27"/>
  <c r="AR42" i="3"/>
  <c r="AU22" i="27"/>
  <c r="AT44" i="29" s="1"/>
  <c r="CW8" i="9"/>
  <c r="CW6" i="9" s="1"/>
  <c r="CJ6" i="7"/>
  <c r="CJ32" i="26"/>
  <c r="CJ19" i="26"/>
  <c r="CT5" i="30"/>
  <c r="CW25" i="29"/>
  <c r="CV4" i="30"/>
  <c r="CM26" i="29"/>
  <c r="CJ7" i="7"/>
  <c r="CJ5" i="7"/>
  <c r="CK17" i="9" s="1"/>
  <c r="CS9" i="30"/>
  <c r="CS15" i="30" s="1"/>
  <c r="CS6" i="30"/>
  <c r="CI16" i="30"/>
  <c r="CI20" i="30" s="1"/>
  <c r="CU15" i="4"/>
  <c r="CU9" i="6" s="1"/>
  <c r="CW7" i="4"/>
  <c r="CW6" i="4" s="1"/>
  <c r="CV13" i="4"/>
  <c r="CW9" i="4"/>
  <c r="CW8" i="4" s="1"/>
  <c r="CV11" i="4"/>
  <c r="CK5" i="24"/>
  <c r="CJ7" i="24"/>
  <c r="CJ9" i="24" s="1"/>
  <c r="CN16" i="13" s="1"/>
  <c r="CO25" i="15" s="1"/>
  <c r="CI21" i="30" l="1"/>
  <c r="CK19" i="26" s="1"/>
  <c r="CL43" i="29"/>
  <c r="AU13" i="27"/>
  <c r="AV20" i="27"/>
  <c r="AQ8" i="7"/>
  <c r="CX8" i="9"/>
  <c r="CX6" i="9" s="1"/>
  <c r="CK6" i="7"/>
  <c r="CK18" i="9"/>
  <c r="CK32" i="26"/>
  <c r="CT6" i="30"/>
  <c r="CT9" i="30"/>
  <c r="CT15" i="30" s="1"/>
  <c r="CW4" i="30"/>
  <c r="CN26" i="29"/>
  <c r="CK7" i="7"/>
  <c r="CK5" i="7"/>
  <c r="CL17" i="9" s="1"/>
  <c r="CU5" i="30"/>
  <c r="CX25" i="29"/>
  <c r="CJ16" i="30"/>
  <c r="CJ20" i="30" s="1"/>
  <c r="CX9" i="4"/>
  <c r="CX8" i="4" s="1"/>
  <c r="CW11" i="4"/>
  <c r="CX7" i="4"/>
  <c r="CX6" i="4" s="1"/>
  <c r="CW13" i="4"/>
  <c r="CV15" i="4"/>
  <c r="CV9" i="6" s="1"/>
  <c r="CL5" i="24"/>
  <c r="CK7" i="24"/>
  <c r="CK9" i="24" s="1"/>
  <c r="CO16" i="13" s="1"/>
  <c r="CP25" i="15" s="1"/>
  <c r="CL18" i="9" l="1"/>
  <c r="CJ21" i="30"/>
  <c r="CM43" i="29"/>
  <c r="AV17" i="27"/>
  <c r="CL6" i="7"/>
  <c r="CY8" i="9"/>
  <c r="CY6" i="9" s="1"/>
  <c r="CL19" i="26"/>
  <c r="CL32" i="26"/>
  <c r="CU9" i="30"/>
  <c r="CU15" i="30" s="1"/>
  <c r="CU6" i="30"/>
  <c r="CX4" i="30"/>
  <c r="CO26" i="29"/>
  <c r="CL7" i="7"/>
  <c r="CM18" i="9" s="1"/>
  <c r="CL5" i="7"/>
  <c r="CM17" i="9" s="1"/>
  <c r="CK16" i="30"/>
  <c r="CK20" i="30" s="1"/>
  <c r="CV5" i="30"/>
  <c r="CY25" i="29"/>
  <c r="CW15" i="4"/>
  <c r="CW9" i="6" s="1"/>
  <c r="CY7" i="4"/>
  <c r="CY6" i="4" s="1"/>
  <c r="CX13" i="4"/>
  <c r="CY9" i="4"/>
  <c r="CY8" i="4" s="1"/>
  <c r="CX11" i="4"/>
  <c r="CM5" i="24"/>
  <c r="CL7" i="24"/>
  <c r="CL9" i="24" s="1"/>
  <c r="CP16" i="13" s="1"/>
  <c r="CQ25" i="15" s="1"/>
  <c r="CK21" i="30" l="1"/>
  <c r="CM32" i="26" s="1"/>
  <c r="CN43" i="29"/>
  <c r="AV7" i="27"/>
  <c r="AS42" i="3"/>
  <c r="AV22" i="27"/>
  <c r="AU44" i="29" s="1"/>
  <c r="CM6" i="7"/>
  <c r="CZ8" i="9"/>
  <c r="CZ6" i="9" s="1"/>
  <c r="CM19" i="26"/>
  <c r="CY4" i="30"/>
  <c r="CP26" i="29"/>
  <c r="CM7" i="7"/>
  <c r="CM5" i="7"/>
  <c r="CN17" i="9" s="1"/>
  <c r="CW5" i="30"/>
  <c r="CZ25" i="29"/>
  <c r="CL16" i="30"/>
  <c r="CL20" i="30" s="1"/>
  <c r="CV9" i="30"/>
  <c r="CV15" i="30" s="1"/>
  <c r="CV6" i="30"/>
  <c r="CZ9" i="4"/>
  <c r="CZ8" i="4" s="1"/>
  <c r="CY11" i="4"/>
  <c r="CX15" i="4"/>
  <c r="CX9" i="6" s="1"/>
  <c r="CZ7" i="4"/>
  <c r="CZ6" i="4" s="1"/>
  <c r="CY13" i="4"/>
  <c r="CN5" i="24"/>
  <c r="CM7" i="24"/>
  <c r="CM9" i="24" s="1"/>
  <c r="CQ16" i="13" s="1"/>
  <c r="CR25" i="15" s="1"/>
  <c r="CN18" i="9" l="1"/>
  <c r="CL21" i="30"/>
  <c r="CO43" i="29"/>
  <c r="AV13" i="27"/>
  <c r="AW20" i="27"/>
  <c r="AR8" i="7"/>
  <c r="CN6" i="7"/>
  <c r="DA8" i="9"/>
  <c r="DA6" i="9" s="1"/>
  <c r="DA25" i="29"/>
  <c r="CX5" i="30"/>
  <c r="CZ4" i="30"/>
  <c r="CQ26" i="29"/>
  <c r="CN7" i="7"/>
  <c r="CN5" i="7"/>
  <c r="CO17" i="9" s="1"/>
  <c r="CN19" i="26"/>
  <c r="CN32" i="26"/>
  <c r="CW6" i="30"/>
  <c r="CW9" i="30"/>
  <c r="CW15" i="30" s="1"/>
  <c r="CM16" i="30"/>
  <c r="CM20" i="30" s="1"/>
  <c r="CY15" i="4"/>
  <c r="CY9" i="6" s="1"/>
  <c r="DA7" i="4"/>
  <c r="DA6" i="4" s="1"/>
  <c r="CZ13" i="4"/>
  <c r="DA9" i="4"/>
  <c r="DA8" i="4" s="1"/>
  <c r="CZ11" i="4"/>
  <c r="CO5" i="24"/>
  <c r="CN7" i="24"/>
  <c r="CN9" i="24" s="1"/>
  <c r="CR16" i="13" s="1"/>
  <c r="CS25" i="15" s="1"/>
  <c r="CM21" i="30" l="1"/>
  <c r="CP43" i="29"/>
  <c r="CO18" i="9"/>
  <c r="AW17" i="27"/>
  <c r="AW22" i="27" s="1"/>
  <c r="AV44" i="29" s="1"/>
  <c r="CO6" i="7"/>
  <c r="DB8" i="9"/>
  <c r="DB6" i="9" s="1"/>
  <c r="CO19" i="26"/>
  <c r="CO32" i="26"/>
  <c r="CN16" i="30"/>
  <c r="CN20" i="30" s="1"/>
  <c r="DA4" i="30"/>
  <c r="CR26" i="29"/>
  <c r="CO5" i="7"/>
  <c r="CP17" i="9" s="1"/>
  <c r="CO7" i="7"/>
  <c r="CP18" i="9" s="1"/>
  <c r="CX6" i="30"/>
  <c r="CX9" i="30"/>
  <c r="CX15" i="30" s="1"/>
  <c r="CY5" i="30"/>
  <c r="DB25" i="29"/>
  <c r="DB9" i="4"/>
  <c r="DB8" i="4" s="1"/>
  <c r="DA11" i="4"/>
  <c r="CZ15" i="4"/>
  <c r="CZ9" i="6" s="1"/>
  <c r="DB7" i="4"/>
  <c r="DB6" i="4" s="1"/>
  <c r="DA13" i="4"/>
  <c r="CP5" i="24"/>
  <c r="CO7" i="24"/>
  <c r="CO9" i="24" s="1"/>
  <c r="CS16" i="13" s="1"/>
  <c r="CT25" i="15" s="1"/>
  <c r="CN21" i="30" l="1"/>
  <c r="CP32" i="26" s="1"/>
  <c r="CQ43" i="29"/>
  <c r="AW13" i="27"/>
  <c r="AX20" i="27"/>
  <c r="AS8" i="7"/>
  <c r="AW7" i="27"/>
  <c r="AT42" i="3"/>
  <c r="DC8" i="9"/>
  <c r="DC6" i="9" s="1"/>
  <c r="CP6" i="7"/>
  <c r="CZ5" i="30"/>
  <c r="DC25" i="29"/>
  <c r="CO16" i="30"/>
  <c r="CO20" i="30" s="1"/>
  <c r="DB4" i="30"/>
  <c r="CS26" i="29"/>
  <c r="CP5" i="7"/>
  <c r="CQ17" i="9" s="1"/>
  <c r="CP7" i="7"/>
  <c r="CQ18" i="9" s="1"/>
  <c r="CY6" i="30"/>
  <c r="CY9" i="30"/>
  <c r="CY15" i="30" s="1"/>
  <c r="DA15" i="4"/>
  <c r="DA9" i="6" s="1"/>
  <c r="DC7" i="4"/>
  <c r="DC6" i="4" s="1"/>
  <c r="DB13" i="4"/>
  <c r="DC9" i="4"/>
  <c r="DC8" i="4" s="1"/>
  <c r="DB11" i="4"/>
  <c r="CQ5" i="24"/>
  <c r="CP7" i="24"/>
  <c r="CP9" i="24" s="1"/>
  <c r="CT16" i="13" s="1"/>
  <c r="CU25" i="15" s="1"/>
  <c r="E34" i="3"/>
  <c r="E33" i="3"/>
  <c r="CP19" i="26" l="1"/>
  <c r="CO21" i="30"/>
  <c r="CQ19" i="26" s="1"/>
  <c r="CR43" i="29"/>
  <c r="AX17" i="27"/>
  <c r="AX22" i="27" s="1"/>
  <c r="AW44" i="29" s="1"/>
  <c r="DD8" i="9"/>
  <c r="DD6" i="9" s="1"/>
  <c r="CQ6" i="7"/>
  <c r="CT26" i="29"/>
  <c r="DC4" i="30"/>
  <c r="CQ7" i="7"/>
  <c r="CQ5" i="7"/>
  <c r="CR17" i="9" s="1"/>
  <c r="DA5" i="30"/>
  <c r="DD25" i="29"/>
  <c r="CZ9" i="30"/>
  <c r="CZ15" i="30" s="1"/>
  <c r="CZ6" i="30"/>
  <c r="CP16" i="30"/>
  <c r="CP20" i="30" s="1"/>
  <c r="DD9" i="4"/>
  <c r="DD8" i="4" s="1"/>
  <c r="DC11" i="4"/>
  <c r="DD7" i="4"/>
  <c r="DD6" i="4" s="1"/>
  <c r="DC13" i="4"/>
  <c r="DB15" i="4"/>
  <c r="DB9" i="6" s="1"/>
  <c r="CR5" i="24"/>
  <c r="CQ7" i="24"/>
  <c r="CQ9" i="24" s="1"/>
  <c r="CU16" i="13" s="1"/>
  <c r="CV25" i="15" s="1"/>
  <c r="E49" i="9"/>
  <c r="E48" i="9"/>
  <c r="E47" i="9"/>
  <c r="E46" i="9"/>
  <c r="AO44" i="9"/>
  <c r="AN44" i="9"/>
  <c r="AM44" i="9"/>
  <c r="AL44" i="9"/>
  <c r="AK44" i="9"/>
  <c r="AJ44" i="9"/>
  <c r="AI44" i="9"/>
  <c r="AH44" i="9"/>
  <c r="AG44" i="9"/>
  <c r="AF44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3" i="9"/>
  <c r="E42" i="9"/>
  <c r="E41" i="9"/>
  <c r="E34" i="9"/>
  <c r="E33" i="9"/>
  <c r="E32" i="9"/>
  <c r="E31" i="9"/>
  <c r="E30" i="9"/>
  <c r="AO28" i="9"/>
  <c r="AN28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7" i="9"/>
  <c r="E26" i="9"/>
  <c r="E25" i="9"/>
  <c r="E24" i="9"/>
  <c r="E23" i="9"/>
  <c r="AO21" i="9"/>
  <c r="AN21" i="9"/>
  <c r="AN35" i="9" s="1"/>
  <c r="AQ11" i="15" s="1"/>
  <c r="AM21" i="9"/>
  <c r="AL21" i="9"/>
  <c r="AK21" i="9"/>
  <c r="AK35" i="9" s="1"/>
  <c r="AN11" i="15" s="1"/>
  <c r="AJ21" i="9"/>
  <c r="AJ35" i="9" s="1"/>
  <c r="AM11" i="15" s="1"/>
  <c r="AI21" i="9"/>
  <c r="AH21" i="9"/>
  <c r="AH35" i="9" s="1"/>
  <c r="AK11" i="15" s="1"/>
  <c r="AG21" i="9"/>
  <c r="AF21" i="9"/>
  <c r="AE21" i="9"/>
  <c r="AD21" i="9"/>
  <c r="AC21" i="9"/>
  <c r="AC35" i="9" s="1"/>
  <c r="AF11" i="15" s="1"/>
  <c r="AB21" i="9"/>
  <c r="AB35" i="9" s="1"/>
  <c r="AE11" i="15" s="1"/>
  <c r="AA21" i="9"/>
  <c r="Z21" i="9"/>
  <c r="Z35" i="9" s="1"/>
  <c r="AC11" i="15" s="1"/>
  <c r="Y21" i="9"/>
  <c r="X21" i="9"/>
  <c r="X35" i="9" s="1"/>
  <c r="AA11" i="15" s="1"/>
  <c r="W21" i="9"/>
  <c r="V21" i="9"/>
  <c r="V35" i="9" s="1"/>
  <c r="Y11" i="15" s="1"/>
  <c r="U21" i="9"/>
  <c r="U35" i="9" s="1"/>
  <c r="X11" i="15" s="1"/>
  <c r="T21" i="9"/>
  <c r="T35" i="9" s="1"/>
  <c r="W11" i="15" s="1"/>
  <c r="S21" i="9"/>
  <c r="R21" i="9"/>
  <c r="R35" i="9" s="1"/>
  <c r="U11" i="15" s="1"/>
  <c r="Q21" i="9"/>
  <c r="P21" i="9"/>
  <c r="P35" i="9" s="1"/>
  <c r="S11" i="15" s="1"/>
  <c r="O21" i="9"/>
  <c r="N21" i="9"/>
  <c r="N35" i="9" s="1"/>
  <c r="Q11" i="15" s="1"/>
  <c r="M21" i="9"/>
  <c r="M35" i="9" s="1"/>
  <c r="P11" i="15" s="1"/>
  <c r="L21" i="9"/>
  <c r="L35" i="9" s="1"/>
  <c r="O11" i="15" s="1"/>
  <c r="K21" i="9"/>
  <c r="J21" i="9"/>
  <c r="J35" i="9" s="1"/>
  <c r="M11" i="15" s="1"/>
  <c r="I21" i="9"/>
  <c r="H21" i="9"/>
  <c r="H35" i="9" s="1"/>
  <c r="K11" i="15" s="1"/>
  <c r="G21" i="9"/>
  <c r="F21" i="9"/>
  <c r="F35" i="9" s="1"/>
  <c r="E11" i="9"/>
  <c r="E10" i="9"/>
  <c r="E9" i="9"/>
  <c r="E18" i="6"/>
  <c r="E20" i="6" s="1"/>
  <c r="E37" i="6" s="1"/>
  <c r="DY14" i="6"/>
  <c r="G35" i="9" l="1"/>
  <c r="J11" i="15" s="1"/>
  <c r="O35" i="9"/>
  <c r="R11" i="15" s="1"/>
  <c r="W35" i="9"/>
  <c r="Z11" i="15" s="1"/>
  <c r="AE35" i="9"/>
  <c r="AH11" i="15" s="1"/>
  <c r="AM35" i="9"/>
  <c r="AP11" i="15" s="1"/>
  <c r="E28" i="9"/>
  <c r="AD35" i="9"/>
  <c r="AG11" i="15" s="1"/>
  <c r="AL35" i="9"/>
  <c r="AO11" i="15" s="1"/>
  <c r="E44" i="9"/>
  <c r="K35" i="9"/>
  <c r="N11" i="15" s="1"/>
  <c r="S35" i="9"/>
  <c r="V11" i="15" s="1"/>
  <c r="AA35" i="9"/>
  <c r="AD11" i="15" s="1"/>
  <c r="AI35" i="9"/>
  <c r="AL11" i="15" s="1"/>
  <c r="CQ32" i="26"/>
  <c r="CP21" i="30"/>
  <c r="CR32" i="26" s="1"/>
  <c r="CS43" i="29"/>
  <c r="CR18" i="9"/>
  <c r="AX13" i="27"/>
  <c r="AY20" i="27"/>
  <c r="AT8" i="7"/>
  <c r="AX7" i="27"/>
  <c r="AU42" i="3"/>
  <c r="DE8" i="9"/>
  <c r="DE6" i="9" s="1"/>
  <c r="CR6" i="7"/>
  <c r="CQ16" i="30"/>
  <c r="CQ20" i="30" s="1"/>
  <c r="DD4" i="30"/>
  <c r="CU26" i="29"/>
  <c r="CR5" i="7"/>
  <c r="CS17" i="9" s="1"/>
  <c r="CR7" i="7"/>
  <c r="DB5" i="30"/>
  <c r="DE25" i="29"/>
  <c r="DA6" i="30"/>
  <c r="DA9" i="30"/>
  <c r="DA15" i="30" s="1"/>
  <c r="DC15" i="4"/>
  <c r="DC9" i="6" s="1"/>
  <c r="DE7" i="4"/>
  <c r="DE6" i="4" s="1"/>
  <c r="DD13" i="4"/>
  <c r="DE9" i="4"/>
  <c r="DE8" i="4" s="1"/>
  <c r="DD11" i="4"/>
  <c r="CS5" i="24"/>
  <c r="CR7" i="24"/>
  <c r="CR9" i="24" s="1"/>
  <c r="CV16" i="13" s="1"/>
  <c r="CW25" i="15" s="1"/>
  <c r="D18" i="6"/>
  <c r="D20" i="6" s="1"/>
  <c r="K5" i="14"/>
  <c r="M5" i="14"/>
  <c r="O5" i="14"/>
  <c r="I5" i="14"/>
  <c r="N5" i="14"/>
  <c r="P5" i="14"/>
  <c r="L5" i="14"/>
  <c r="G7" i="13"/>
  <c r="Q5" i="14"/>
  <c r="AF35" i="9"/>
  <c r="AI11" i="15" s="1"/>
  <c r="L13" i="13"/>
  <c r="H13" i="13"/>
  <c r="I13" i="13"/>
  <c r="I35" i="9"/>
  <c r="L11" i="15" s="1"/>
  <c r="Q35" i="9"/>
  <c r="T11" i="15" s="1"/>
  <c r="Y35" i="9"/>
  <c r="AB11" i="15" s="1"/>
  <c r="AG35" i="9"/>
  <c r="AJ11" i="15" s="1"/>
  <c r="AO35" i="9"/>
  <c r="AR11" i="15" s="1"/>
  <c r="I11" i="15"/>
  <c r="E21" i="9"/>
  <c r="H5" i="14"/>
  <c r="J5" i="14"/>
  <c r="CR19" i="26" l="1"/>
  <c r="CQ21" i="30"/>
  <c r="CT43" i="29"/>
  <c r="CS18" i="9"/>
  <c r="AY17" i="27"/>
  <c r="AY22" i="27" s="1"/>
  <c r="AX44" i="29" s="1"/>
  <c r="DF8" i="9"/>
  <c r="DF6" i="9" s="1"/>
  <c r="CS6" i="7"/>
  <c r="CR16" i="30"/>
  <c r="CR20" i="30" s="1"/>
  <c r="CU43" i="29" s="1"/>
  <c r="CV26" i="29"/>
  <c r="DE4" i="30"/>
  <c r="CS5" i="7"/>
  <c r="CT17" i="9" s="1"/>
  <c r="CS7" i="7"/>
  <c r="DC5" i="30"/>
  <c r="DF25" i="29"/>
  <c r="DB9" i="30"/>
  <c r="DB15" i="30" s="1"/>
  <c r="DB6" i="30"/>
  <c r="CS32" i="26"/>
  <c r="CS19" i="26"/>
  <c r="DV20" i="6"/>
  <c r="F14" i="9"/>
  <c r="DD15" i="4"/>
  <c r="DD9" i="6" s="1"/>
  <c r="DF7" i="4"/>
  <c r="DF6" i="4" s="1"/>
  <c r="DE13" i="4"/>
  <c r="DF9" i="4"/>
  <c r="DF8" i="4" s="1"/>
  <c r="DE11" i="4"/>
  <c r="CT5" i="24"/>
  <c r="CS7" i="24"/>
  <c r="CS9" i="24" s="1"/>
  <c r="CW16" i="13" s="1"/>
  <c r="CX25" i="15" s="1"/>
  <c r="F31" i="3"/>
  <c r="E32" i="3"/>
  <c r="E31" i="3" s="1"/>
  <c r="Q9" i="14"/>
  <c r="N9" i="14"/>
  <c r="G5" i="14"/>
  <c r="E35" i="9"/>
  <c r="K13" i="13"/>
  <c r="K9" i="14"/>
  <c r="H9" i="14"/>
  <c r="J13" i="13"/>
  <c r="CR21" i="30" l="1"/>
  <c r="CT32" i="26" s="1"/>
  <c r="CT18" i="9"/>
  <c r="AU8" i="7"/>
  <c r="AZ20" i="27"/>
  <c r="AY13" i="27"/>
  <c r="AY7" i="27"/>
  <c r="AV42" i="3"/>
  <c r="CT6" i="7"/>
  <c r="DG8" i="9"/>
  <c r="DG6" i="9" s="1"/>
  <c r="DF4" i="30"/>
  <c r="CW26" i="29"/>
  <c r="CT5" i="7"/>
  <c r="CU17" i="9" s="1"/>
  <c r="CT7" i="7"/>
  <c r="DD5" i="30"/>
  <c r="DG25" i="29"/>
  <c r="CS16" i="30"/>
  <c r="CS20" i="30" s="1"/>
  <c r="DC6" i="30"/>
  <c r="DC9" i="30"/>
  <c r="DC15" i="30" s="1"/>
  <c r="DV37" i="6"/>
  <c r="D9" i="17" s="1"/>
  <c r="DE15" i="4"/>
  <c r="DE9" i="6" s="1"/>
  <c r="DG9" i="4"/>
  <c r="DG8" i="4" s="1"/>
  <c r="DF11" i="4"/>
  <c r="DG7" i="4"/>
  <c r="DG6" i="4" s="1"/>
  <c r="DF13" i="4"/>
  <c r="CU5" i="24"/>
  <c r="CT7" i="24"/>
  <c r="CT9" i="24" s="1"/>
  <c r="CX16" i="13" s="1"/>
  <c r="CY25" i="15" s="1"/>
  <c r="H14" i="13"/>
  <c r="DV14" i="6"/>
  <c r="DW14" i="6"/>
  <c r="DX14" i="6"/>
  <c r="I14" i="13"/>
  <c r="CT19" i="26" l="1"/>
  <c r="CS21" i="30"/>
  <c r="CU32" i="26" s="1"/>
  <c r="CV43" i="29"/>
  <c r="CU18" i="9"/>
  <c r="AZ17" i="27"/>
  <c r="AZ22" i="27" s="1"/>
  <c r="AY44" i="29" s="1"/>
  <c r="CU6" i="7"/>
  <c r="DH8" i="9"/>
  <c r="DH6" i="9" s="1"/>
  <c r="DG4" i="30"/>
  <c r="CX26" i="29"/>
  <c r="CU7" i="7"/>
  <c r="CU5" i="7"/>
  <c r="CV17" i="9" s="1"/>
  <c r="DE5" i="30"/>
  <c r="DH25" i="29"/>
  <c r="CT16" i="30"/>
  <c r="CT20" i="30" s="1"/>
  <c r="CU19" i="26"/>
  <c r="DD9" i="30"/>
  <c r="DD15" i="30" s="1"/>
  <c r="DD6" i="30"/>
  <c r="DH9" i="4"/>
  <c r="DH8" i="4" s="1"/>
  <c r="DG11" i="4"/>
  <c r="DF15" i="4"/>
  <c r="DF9" i="6" s="1"/>
  <c r="DH7" i="4"/>
  <c r="DH6" i="4" s="1"/>
  <c r="DG13" i="4"/>
  <c r="CV5" i="24"/>
  <c r="CU7" i="24"/>
  <c r="CU9" i="24" s="1"/>
  <c r="CY16" i="13" s="1"/>
  <c r="CZ25" i="15" s="1"/>
  <c r="J14" i="13"/>
  <c r="CT21" i="30" l="1"/>
  <c r="CW43" i="29"/>
  <c r="CV18" i="9"/>
  <c r="AZ13" i="27"/>
  <c r="BA20" i="27"/>
  <c r="AV8" i="7"/>
  <c r="AZ7" i="27"/>
  <c r="AW42" i="3"/>
  <c r="CV6" i="7"/>
  <c r="DI8" i="9"/>
  <c r="DI6" i="9" s="1"/>
  <c r="CV32" i="26"/>
  <c r="CV19" i="26"/>
  <c r="DF5" i="30"/>
  <c r="DI25" i="29"/>
  <c r="DE6" i="30"/>
  <c r="DE9" i="30"/>
  <c r="DE15" i="30" s="1"/>
  <c r="CY26" i="29"/>
  <c r="DH4" i="30"/>
  <c r="CV5" i="7"/>
  <c r="CW17" i="9" s="1"/>
  <c r="CV7" i="7"/>
  <c r="CW18" i="9" s="1"/>
  <c r="CU16" i="30"/>
  <c r="CU20" i="30" s="1"/>
  <c r="DG15" i="4"/>
  <c r="DG9" i="6" s="1"/>
  <c r="DI7" i="4"/>
  <c r="DI6" i="4" s="1"/>
  <c r="DH13" i="4"/>
  <c r="DI9" i="4"/>
  <c r="DI8" i="4" s="1"/>
  <c r="DH11" i="4"/>
  <c r="CW5" i="24"/>
  <c r="CV7" i="24"/>
  <c r="CV9" i="24" s="1"/>
  <c r="CZ16" i="13" s="1"/>
  <c r="DA25" i="15" s="1"/>
  <c r="K14" i="13"/>
  <c r="CU21" i="30" l="1"/>
  <c r="CX43" i="29"/>
  <c r="BA17" i="27"/>
  <c r="CW6" i="7"/>
  <c r="DJ8" i="9"/>
  <c r="DJ6" i="9" s="1"/>
  <c r="CW19" i="26"/>
  <c r="CW32" i="26"/>
  <c r="CV16" i="30"/>
  <c r="CV20" i="30" s="1"/>
  <c r="DI4" i="30"/>
  <c r="CW5" i="7"/>
  <c r="CX17" i="9" s="1"/>
  <c r="CZ26" i="29"/>
  <c r="CW7" i="7"/>
  <c r="CX18" i="9" s="1"/>
  <c r="DG5" i="30"/>
  <c r="DJ25" i="29"/>
  <c r="DF6" i="30"/>
  <c r="DF9" i="30"/>
  <c r="DF15" i="30" s="1"/>
  <c r="DJ9" i="4"/>
  <c r="DJ8" i="4" s="1"/>
  <c r="DI11" i="4"/>
  <c r="DJ7" i="4"/>
  <c r="DJ6" i="4" s="1"/>
  <c r="DI13" i="4"/>
  <c r="DH15" i="4"/>
  <c r="DH9" i="6" s="1"/>
  <c r="CX5" i="24"/>
  <c r="CW7" i="24"/>
  <c r="CW9" i="24" s="1"/>
  <c r="DA16" i="13" s="1"/>
  <c r="DB25" i="15" s="1"/>
  <c r="L14" i="13"/>
  <c r="CV21" i="30" l="1"/>
  <c r="CX19" i="26" s="1"/>
  <c r="CY43" i="29"/>
  <c r="BA7" i="27"/>
  <c r="AX42" i="3"/>
  <c r="BA22" i="27"/>
  <c r="AZ44" i="29" s="1"/>
  <c r="DK8" i="9"/>
  <c r="DK6" i="9" s="1"/>
  <c r="CX6" i="7"/>
  <c r="DG6" i="30"/>
  <c r="DG9" i="30"/>
  <c r="DG15" i="30" s="1"/>
  <c r="CW16" i="30"/>
  <c r="CW20" i="30" s="1"/>
  <c r="DJ4" i="30"/>
  <c r="DA26" i="29"/>
  <c r="CX7" i="7"/>
  <c r="CX5" i="7"/>
  <c r="CY17" i="9" s="1"/>
  <c r="DH5" i="30"/>
  <c r="DK25" i="29"/>
  <c r="DI15" i="4"/>
  <c r="DI9" i="6" s="1"/>
  <c r="DK7" i="4"/>
  <c r="DK6" i="4" s="1"/>
  <c r="DJ13" i="4"/>
  <c r="DK9" i="4"/>
  <c r="DK8" i="4" s="1"/>
  <c r="DJ11" i="4"/>
  <c r="CY5" i="24"/>
  <c r="CX7" i="24"/>
  <c r="CX9" i="24" s="1"/>
  <c r="DB16" i="13" s="1"/>
  <c r="DC25" i="15" s="1"/>
  <c r="M13" i="13"/>
  <c r="M14" i="13"/>
  <c r="CX32" i="26" l="1"/>
  <c r="CY18" i="9"/>
  <c r="CW21" i="30"/>
  <c r="CY32" i="26" s="1"/>
  <c r="CZ43" i="29"/>
  <c r="BB20" i="27"/>
  <c r="AW8" i="7"/>
  <c r="BA13" i="27"/>
  <c r="DL8" i="9"/>
  <c r="DL6" i="9" s="1"/>
  <c r="CY6" i="7"/>
  <c r="DH6" i="30"/>
  <c r="DH9" i="30"/>
  <c r="DH15" i="30" s="1"/>
  <c r="CX16" i="30"/>
  <c r="CX20" i="30" s="1"/>
  <c r="DB26" i="29"/>
  <c r="DK4" i="30"/>
  <c r="CY5" i="7"/>
  <c r="CZ17" i="9" s="1"/>
  <c r="CY7" i="7"/>
  <c r="DI5" i="30"/>
  <c r="DL25" i="29"/>
  <c r="DL9" i="4"/>
  <c r="DL8" i="4" s="1"/>
  <c r="DK11" i="4"/>
  <c r="DJ15" i="4"/>
  <c r="DJ9" i="6" s="1"/>
  <c r="DL7" i="4"/>
  <c r="DL6" i="4" s="1"/>
  <c r="DK13" i="4"/>
  <c r="CZ5" i="24"/>
  <c r="CY7" i="24"/>
  <c r="CY9" i="24" s="1"/>
  <c r="DC16" i="13" s="1"/>
  <c r="DD25" i="15" s="1"/>
  <c r="N13" i="13"/>
  <c r="N14" i="13"/>
  <c r="J39" i="9"/>
  <c r="CZ18" i="9" l="1"/>
  <c r="CY19" i="26"/>
  <c r="CX21" i="30"/>
  <c r="CZ19" i="26" s="1"/>
  <c r="DA43" i="29"/>
  <c r="BB17" i="27"/>
  <c r="DM8" i="9"/>
  <c r="DM6" i="9" s="1"/>
  <c r="CZ6" i="7"/>
  <c r="CZ32" i="26"/>
  <c r="DJ5" i="30"/>
  <c r="DM25" i="29"/>
  <c r="DL4" i="30"/>
  <c r="DC26" i="29"/>
  <c r="CZ5" i="7"/>
  <c r="DA17" i="9" s="1"/>
  <c r="CZ7" i="7"/>
  <c r="DI9" i="30"/>
  <c r="DI15" i="30" s="1"/>
  <c r="DI6" i="30"/>
  <c r="CY16" i="30"/>
  <c r="CY20" i="30" s="1"/>
  <c r="DK15" i="4"/>
  <c r="DK9" i="6" s="1"/>
  <c r="DM7" i="4"/>
  <c r="DM6" i="4" s="1"/>
  <c r="DL13" i="4"/>
  <c r="DM9" i="4"/>
  <c r="DM8" i="4" s="1"/>
  <c r="DL11" i="4"/>
  <c r="DA5" i="24"/>
  <c r="CZ7" i="24"/>
  <c r="CZ9" i="24" s="1"/>
  <c r="DD16" i="13" s="1"/>
  <c r="DE25" i="15" s="1"/>
  <c r="E36" i="3"/>
  <c r="O14" i="13"/>
  <c r="O13" i="13"/>
  <c r="DA18" i="9" l="1"/>
  <c r="CY21" i="30"/>
  <c r="DA32" i="26" s="1"/>
  <c r="DB43" i="29"/>
  <c r="BB7" i="27"/>
  <c r="AY42" i="3"/>
  <c r="BB22" i="27"/>
  <c r="BA44" i="29" s="1"/>
  <c r="DN8" i="9"/>
  <c r="DN6" i="9" s="1"/>
  <c r="DA6" i="7"/>
  <c r="DM4" i="30"/>
  <c r="DD26" i="29"/>
  <c r="DA5" i="7"/>
  <c r="DB17" i="9" s="1"/>
  <c r="DA7" i="7"/>
  <c r="DK5" i="30"/>
  <c r="DN25" i="29"/>
  <c r="DJ6" i="30"/>
  <c r="DJ9" i="30"/>
  <c r="DJ15" i="30" s="1"/>
  <c r="CZ16" i="30"/>
  <c r="CZ20" i="30" s="1"/>
  <c r="DL15" i="4"/>
  <c r="DL9" i="6" s="1"/>
  <c r="DN7" i="4"/>
  <c r="DN6" i="4" s="1"/>
  <c r="DM13" i="4"/>
  <c r="DN9" i="4"/>
  <c r="DN8" i="4" s="1"/>
  <c r="DM11" i="4"/>
  <c r="DB5" i="24"/>
  <c r="DA7" i="24"/>
  <c r="DA9" i="24" s="1"/>
  <c r="DE16" i="13" s="1"/>
  <c r="DF25" i="15" s="1"/>
  <c r="P13" i="13"/>
  <c r="P14" i="13"/>
  <c r="DA19" i="26" l="1"/>
  <c r="DB18" i="9"/>
  <c r="CZ21" i="30"/>
  <c r="DB19" i="26" s="1"/>
  <c r="DC43" i="29"/>
  <c r="AX8" i="7"/>
  <c r="BB13" i="27"/>
  <c r="BC20" i="27"/>
  <c r="DB6" i="7"/>
  <c r="DO8" i="9"/>
  <c r="DO6" i="9" s="1"/>
  <c r="DN4" i="30"/>
  <c r="DE26" i="29"/>
  <c r="DB5" i="7"/>
  <c r="DC17" i="9" s="1"/>
  <c r="DB7" i="7"/>
  <c r="DO25" i="29"/>
  <c r="DL5" i="30"/>
  <c r="DA16" i="30"/>
  <c r="DA20" i="30" s="1"/>
  <c r="DK9" i="30"/>
  <c r="DK15" i="30" s="1"/>
  <c r="DK6" i="30"/>
  <c r="DO9" i="4"/>
  <c r="DO8" i="4" s="1"/>
  <c r="DN11" i="4"/>
  <c r="DO7" i="4"/>
  <c r="DO6" i="4" s="1"/>
  <c r="DN13" i="4"/>
  <c r="DM15" i="4"/>
  <c r="DM9" i="6" s="1"/>
  <c r="DC5" i="24"/>
  <c r="DB7" i="24"/>
  <c r="DB9" i="24" s="1"/>
  <c r="DF16" i="13" s="1"/>
  <c r="DG25" i="15" s="1"/>
  <c r="Q14" i="13"/>
  <c r="Q13" i="13"/>
  <c r="DB32" i="26" l="1"/>
  <c r="DC18" i="9"/>
  <c r="DA21" i="30"/>
  <c r="DC19" i="26" s="1"/>
  <c r="DD43" i="29"/>
  <c r="BC17" i="27"/>
  <c r="BC22" i="27" s="1"/>
  <c r="BB44" i="29" s="1"/>
  <c r="DC6" i="7"/>
  <c r="DP8" i="9"/>
  <c r="DP6" i="9" s="1"/>
  <c r="DO4" i="30"/>
  <c r="DF26" i="29"/>
  <c r="DC5" i="7"/>
  <c r="DD17" i="9" s="1"/>
  <c r="DC7" i="7"/>
  <c r="DB16" i="30"/>
  <c r="DB20" i="30" s="1"/>
  <c r="DM5" i="30"/>
  <c r="DP25" i="29"/>
  <c r="DL9" i="30"/>
  <c r="DL15" i="30" s="1"/>
  <c r="DL6" i="30"/>
  <c r="DN15" i="4"/>
  <c r="DN9" i="6" s="1"/>
  <c r="DP7" i="4"/>
  <c r="DP6" i="4" s="1"/>
  <c r="DO13" i="4"/>
  <c r="DP9" i="4"/>
  <c r="DP8" i="4" s="1"/>
  <c r="DO11" i="4"/>
  <c r="DD5" i="24"/>
  <c r="DC7" i="24"/>
  <c r="DC9" i="24" s="1"/>
  <c r="DG16" i="13" s="1"/>
  <c r="DH25" i="15" s="1"/>
  <c r="L39" i="9"/>
  <c r="R13" i="13"/>
  <c r="R14" i="13"/>
  <c r="K39" i="9"/>
  <c r="DC32" i="26" l="1"/>
  <c r="DD18" i="9"/>
  <c r="DB21" i="30"/>
  <c r="DD32" i="26" s="1"/>
  <c r="DE43" i="29"/>
  <c r="AY8" i="7"/>
  <c r="BD20" i="27"/>
  <c r="BC13" i="27"/>
  <c r="BC7" i="27"/>
  <c r="AZ42" i="3"/>
  <c r="DD6" i="7"/>
  <c r="DQ8" i="9"/>
  <c r="DQ6" i="9" s="1"/>
  <c r="DP4" i="30"/>
  <c r="DG26" i="29"/>
  <c r="DD5" i="7"/>
  <c r="DE17" i="9" s="1"/>
  <c r="DD7" i="7"/>
  <c r="DM6" i="30"/>
  <c r="DM9" i="30"/>
  <c r="DM15" i="30" s="1"/>
  <c r="DC16" i="30"/>
  <c r="DC20" i="30" s="1"/>
  <c r="DQ25" i="29"/>
  <c r="DN5" i="30"/>
  <c r="DQ9" i="4"/>
  <c r="DQ8" i="4" s="1"/>
  <c r="DP11" i="4"/>
  <c r="DQ7" i="4"/>
  <c r="DQ6" i="4" s="1"/>
  <c r="DP13" i="4"/>
  <c r="DO15" i="4"/>
  <c r="DO9" i="6" s="1"/>
  <c r="DE5" i="24"/>
  <c r="DD7" i="24"/>
  <c r="DD9" i="24" s="1"/>
  <c r="DH16" i="13" s="1"/>
  <c r="DI25" i="15" s="1"/>
  <c r="S14" i="13"/>
  <c r="H12" i="14" s="1"/>
  <c r="S13" i="13"/>
  <c r="H11" i="14" s="1"/>
  <c r="DD19" i="26" l="1"/>
  <c r="DE18" i="9"/>
  <c r="DC21" i="30"/>
  <c r="DE32" i="26" s="1"/>
  <c r="DF43" i="29"/>
  <c r="BD17" i="27"/>
  <c r="DE6" i="7"/>
  <c r="DR8" i="9"/>
  <c r="DR6" i="9" s="1"/>
  <c r="DE19" i="26"/>
  <c r="DD16" i="30"/>
  <c r="DD20" i="30" s="1"/>
  <c r="DQ4" i="30"/>
  <c r="DE5" i="7"/>
  <c r="DF17" i="9" s="1"/>
  <c r="DH26" i="29"/>
  <c r="DE7" i="7"/>
  <c r="DN6" i="30"/>
  <c r="DN9" i="30"/>
  <c r="DN15" i="30" s="1"/>
  <c r="DR25" i="29"/>
  <c r="DO5" i="30"/>
  <c r="DR7" i="4"/>
  <c r="DR6" i="4" s="1"/>
  <c r="DQ13" i="4"/>
  <c r="DP15" i="4"/>
  <c r="DP9" i="6" s="1"/>
  <c r="DR9" i="4"/>
  <c r="DR8" i="4" s="1"/>
  <c r="DQ11" i="4"/>
  <c r="DF5" i="24"/>
  <c r="DE7" i="24"/>
  <c r="DE9" i="24" s="1"/>
  <c r="DI16" i="13" s="1"/>
  <c r="DJ25" i="15" s="1"/>
  <c r="P39" i="9"/>
  <c r="T14" i="13"/>
  <c r="T13" i="13"/>
  <c r="DF18" i="9" l="1"/>
  <c r="DD21" i="30"/>
  <c r="DF32" i="26" s="1"/>
  <c r="DG43" i="29"/>
  <c r="BD7" i="27"/>
  <c r="BA42" i="3"/>
  <c r="BD22" i="27"/>
  <c r="BC44" i="29" s="1"/>
  <c r="DS8" i="9"/>
  <c r="DS6" i="9" s="1"/>
  <c r="DF6" i="7"/>
  <c r="DI26" i="29"/>
  <c r="DF7" i="7"/>
  <c r="DR4" i="30"/>
  <c r="DF5" i="7"/>
  <c r="DG17" i="9" s="1"/>
  <c r="DO9" i="30"/>
  <c r="DO15" i="30" s="1"/>
  <c r="DO6" i="30"/>
  <c r="DE16" i="30"/>
  <c r="DE20" i="30" s="1"/>
  <c r="DP5" i="30"/>
  <c r="DS25" i="29"/>
  <c r="DS9" i="4"/>
  <c r="DS8" i="4" s="1"/>
  <c r="DR11" i="4"/>
  <c r="DQ15" i="4"/>
  <c r="DQ9" i="6" s="1"/>
  <c r="DS7" i="4"/>
  <c r="DS6" i="4" s="1"/>
  <c r="DR13" i="4"/>
  <c r="DG5" i="24"/>
  <c r="DF7" i="24"/>
  <c r="DF9" i="24" s="1"/>
  <c r="DJ16" i="13" s="1"/>
  <c r="DK25" i="15" s="1"/>
  <c r="O39" i="9"/>
  <c r="N39" i="9"/>
  <c r="U13" i="13"/>
  <c r="U14" i="13"/>
  <c r="DF19" i="26" l="1"/>
  <c r="DE21" i="30"/>
  <c r="DG32" i="26" s="1"/>
  <c r="DH43" i="29"/>
  <c r="DG18" i="9"/>
  <c r="AZ8" i="7"/>
  <c r="BE20" i="27"/>
  <c r="BD13" i="27"/>
  <c r="DT8" i="9"/>
  <c r="DT6" i="9" s="1"/>
  <c r="DG6" i="7"/>
  <c r="DG19" i="26"/>
  <c r="DJ26" i="29"/>
  <c r="DS4" i="30"/>
  <c r="DG7" i="7"/>
  <c r="DG5" i="7"/>
  <c r="DH17" i="9" s="1"/>
  <c r="DP9" i="30"/>
  <c r="DP15" i="30" s="1"/>
  <c r="DP6" i="30"/>
  <c r="DF16" i="30"/>
  <c r="DF20" i="30" s="1"/>
  <c r="DT25" i="29"/>
  <c r="DQ5" i="30"/>
  <c r="DT7" i="4"/>
  <c r="DT6" i="4" s="1"/>
  <c r="DS13" i="4"/>
  <c r="DR15" i="4"/>
  <c r="DR9" i="6" s="1"/>
  <c r="DT9" i="4"/>
  <c r="DT8" i="4" s="1"/>
  <c r="DS11" i="4"/>
  <c r="DH5" i="24"/>
  <c r="DG7" i="24"/>
  <c r="DG9" i="24" s="1"/>
  <c r="DK16" i="13" s="1"/>
  <c r="DL25" i="15" s="1"/>
  <c r="V13" i="13"/>
  <c r="K11" i="14" s="1"/>
  <c r="R39" i="9"/>
  <c r="V14" i="13"/>
  <c r="K12" i="14" s="1"/>
  <c r="DH18" i="9" l="1"/>
  <c r="DF21" i="30"/>
  <c r="DH32" i="26" s="1"/>
  <c r="DI43" i="29"/>
  <c r="BE17" i="27"/>
  <c r="BE22" i="27" s="1"/>
  <c r="BD44" i="29" s="1"/>
  <c r="DU8" i="9"/>
  <c r="DU6" i="9" s="1"/>
  <c r="DH6" i="7"/>
  <c r="DQ6" i="30"/>
  <c r="DQ9" i="30"/>
  <c r="DQ15" i="30" s="1"/>
  <c r="DR5" i="30"/>
  <c r="DU25" i="29"/>
  <c r="DG16" i="30"/>
  <c r="DG20" i="30" s="1"/>
  <c r="DK26" i="29"/>
  <c r="DT4" i="30"/>
  <c r="DH5" i="7"/>
  <c r="DI17" i="9" s="1"/>
  <c r="DH7" i="7"/>
  <c r="DT11" i="4"/>
  <c r="D11" i="4" s="1"/>
  <c r="D9" i="4"/>
  <c r="D8" i="4" s="1"/>
  <c r="DS15" i="4"/>
  <c r="DS9" i="6" s="1"/>
  <c r="DT13" i="4"/>
  <c r="DI5" i="24"/>
  <c r="DH7" i="24"/>
  <c r="DH9" i="24" s="1"/>
  <c r="Q39" i="9"/>
  <c r="W14" i="13"/>
  <c r="W13" i="13"/>
  <c r="DI6" i="7" l="1"/>
  <c r="DL16" i="13"/>
  <c r="DM25" i="15" s="1"/>
  <c r="DH19" i="26"/>
  <c r="DG21" i="30"/>
  <c r="DI32" i="26" s="1"/>
  <c r="DJ43" i="29"/>
  <c r="DI18" i="9"/>
  <c r="BA8" i="7"/>
  <c r="BF20" i="27"/>
  <c r="BE13" i="27"/>
  <c r="BE7" i="27"/>
  <c r="BB42" i="3"/>
  <c r="DR9" i="30"/>
  <c r="DR15" i="30" s="1"/>
  <c r="DR6" i="30"/>
  <c r="DL26" i="29"/>
  <c r="DI5" i="7"/>
  <c r="DJ17" i="9" s="1"/>
  <c r="DI7" i="7"/>
  <c r="DJ18" i="9" s="1"/>
  <c r="DS5" i="30"/>
  <c r="DV25" i="29"/>
  <c r="DH16" i="30"/>
  <c r="DH20" i="30" s="1"/>
  <c r="DT15" i="4"/>
  <c r="DT9" i="6" s="1"/>
  <c r="DJ5" i="24"/>
  <c r="DI7" i="24"/>
  <c r="DI9" i="24" s="1"/>
  <c r="S39" i="9"/>
  <c r="T39" i="9"/>
  <c r="X14" i="13"/>
  <c r="X13" i="13"/>
  <c r="DJ6" i="7" l="1"/>
  <c r="DM16" i="13"/>
  <c r="DN25" i="15" s="1"/>
  <c r="DI19" i="26"/>
  <c r="DH21" i="30"/>
  <c r="DJ19" i="26" s="1"/>
  <c r="DK43" i="29"/>
  <c r="BF17" i="27"/>
  <c r="DS6" i="30"/>
  <c r="DS9" i="30"/>
  <c r="DS15" i="30" s="1"/>
  <c r="DM26" i="29"/>
  <c r="DJ5" i="7"/>
  <c r="DK17" i="9" s="1"/>
  <c r="DJ7" i="7"/>
  <c r="DK18" i="9" s="1"/>
  <c r="DI16" i="30"/>
  <c r="DI20" i="30" s="1"/>
  <c r="DT5" i="30"/>
  <c r="DW25" i="29"/>
  <c r="G25" i="29" s="1"/>
  <c r="DK5" i="24"/>
  <c r="DJ7" i="24"/>
  <c r="DJ9" i="24" s="1"/>
  <c r="Y14" i="13"/>
  <c r="N12" i="14" s="1"/>
  <c r="Y13" i="13"/>
  <c r="N11" i="14" s="1"/>
  <c r="DK6" i="7" l="1"/>
  <c r="DN16" i="13"/>
  <c r="DO25" i="15" s="1"/>
  <c r="DJ32" i="26"/>
  <c r="DI21" i="30"/>
  <c r="DK19" i="26" s="1"/>
  <c r="DL43" i="29"/>
  <c r="BF7" i="27"/>
  <c r="BC42" i="3"/>
  <c r="BF22" i="27"/>
  <c r="BE44" i="29" s="1"/>
  <c r="DJ16" i="30"/>
  <c r="DJ20" i="30" s="1"/>
  <c r="DN26" i="29"/>
  <c r="DK5" i="7"/>
  <c r="DL17" i="9" s="1"/>
  <c r="DK7" i="7"/>
  <c r="DL18" i="9" s="1"/>
  <c r="DT9" i="30"/>
  <c r="DT15" i="30" s="1"/>
  <c r="DT6" i="30"/>
  <c r="DL5" i="24"/>
  <c r="DK7" i="24"/>
  <c r="DK9" i="24" s="1"/>
  <c r="U39" i="9"/>
  <c r="Z14" i="13"/>
  <c r="Z13" i="13"/>
  <c r="V39" i="9"/>
  <c r="DL6" i="7" l="1"/>
  <c r="DO16" i="13"/>
  <c r="DP25" i="15" s="1"/>
  <c r="DK32" i="26"/>
  <c r="DJ21" i="30"/>
  <c r="DL19" i="26" s="1"/>
  <c r="DM43" i="29"/>
  <c r="BF13" i="27"/>
  <c r="BB8" i="7"/>
  <c r="BG20" i="27"/>
  <c r="DK16" i="30"/>
  <c r="DK20" i="30" s="1"/>
  <c r="DO26" i="29"/>
  <c r="DL5" i="7"/>
  <c r="DM17" i="9" s="1"/>
  <c r="DL7" i="7"/>
  <c r="DM18" i="9" s="1"/>
  <c r="DM5" i="24"/>
  <c r="DL7" i="24"/>
  <c r="DL9" i="24" s="1"/>
  <c r="AA13" i="13"/>
  <c r="AA14" i="13"/>
  <c r="DM6" i="7" l="1"/>
  <c r="DP16" i="13"/>
  <c r="DQ25" i="15" s="1"/>
  <c r="DL32" i="26"/>
  <c r="DK21" i="30"/>
  <c r="DM19" i="26" s="1"/>
  <c r="DN43" i="29"/>
  <c r="BG17" i="27"/>
  <c r="BG22" i="27" s="1"/>
  <c r="BF44" i="29" s="1"/>
  <c r="DL16" i="30"/>
  <c r="DL20" i="30" s="1"/>
  <c r="DP26" i="29"/>
  <c r="DM5" i="7"/>
  <c r="DN17" i="9" s="1"/>
  <c r="DM7" i="7"/>
  <c r="DN18" i="9" s="1"/>
  <c r="DN5" i="24"/>
  <c r="DM7" i="24"/>
  <c r="DM9" i="24" s="1"/>
  <c r="AB14" i="13"/>
  <c r="Q12" i="14" s="1"/>
  <c r="X39" i="9"/>
  <c r="AB13" i="13"/>
  <c r="DN6" i="7" l="1"/>
  <c r="DQ16" i="13"/>
  <c r="DR25" i="15" s="1"/>
  <c r="DM32" i="26"/>
  <c r="DL21" i="30"/>
  <c r="DN32" i="26" s="1"/>
  <c r="DO43" i="29"/>
  <c r="BC8" i="7"/>
  <c r="BH20" i="27"/>
  <c r="BG13" i="27"/>
  <c r="BG7" i="27"/>
  <c r="BD42" i="3"/>
  <c r="DM16" i="30"/>
  <c r="DM20" i="30" s="1"/>
  <c r="DQ26" i="29"/>
  <c r="DN7" i="7"/>
  <c r="DO18" i="9" s="1"/>
  <c r="DN5" i="7"/>
  <c r="DO17" i="9" s="1"/>
  <c r="DO5" i="24"/>
  <c r="DN7" i="24"/>
  <c r="DN9" i="24" s="1"/>
  <c r="Q11" i="14"/>
  <c r="AC13" i="13"/>
  <c r="AC14" i="13"/>
  <c r="W39" i="9"/>
  <c r="Y39" i="9"/>
  <c r="DO6" i="7" l="1"/>
  <c r="DR16" i="13"/>
  <c r="DS25" i="15" s="1"/>
  <c r="DN19" i="26"/>
  <c r="DM21" i="30"/>
  <c r="DO32" i="26" s="1"/>
  <c r="DP43" i="29"/>
  <c r="BH17" i="27"/>
  <c r="BH22" i="27" s="1"/>
  <c r="BG44" i="29" s="1"/>
  <c r="DR26" i="29"/>
  <c r="DO7" i="7"/>
  <c r="DP18" i="9" s="1"/>
  <c r="DO5" i="7"/>
  <c r="DP17" i="9" s="1"/>
  <c r="DN16" i="30"/>
  <c r="DN20" i="30" s="1"/>
  <c r="DP5" i="24"/>
  <c r="DO7" i="24"/>
  <c r="DO9" i="24" s="1"/>
  <c r="AD13" i="13"/>
  <c r="AD14" i="13"/>
  <c r="DP6" i="7" l="1"/>
  <c r="DS16" i="13"/>
  <c r="DT25" i="15" s="1"/>
  <c r="DO19" i="26"/>
  <c r="DN21" i="30"/>
  <c r="DP32" i="26" s="1"/>
  <c r="DQ43" i="29"/>
  <c r="BD8" i="7"/>
  <c r="BH13" i="27"/>
  <c r="BI20" i="27"/>
  <c r="BH7" i="27"/>
  <c r="BE42" i="3"/>
  <c r="DO16" i="30"/>
  <c r="DO20" i="30" s="1"/>
  <c r="DS26" i="29"/>
  <c r="DP7" i="7"/>
  <c r="DQ18" i="9" s="1"/>
  <c r="DP5" i="7"/>
  <c r="DQ17" i="9" s="1"/>
  <c r="DQ5" i="24"/>
  <c r="DP7" i="24"/>
  <c r="DP9" i="24" s="1"/>
  <c r="AE13" i="13"/>
  <c r="AE14" i="13"/>
  <c r="DQ6" i="7" l="1"/>
  <c r="DT16" i="13"/>
  <c r="DU25" i="15" s="1"/>
  <c r="DP19" i="26"/>
  <c r="DO21" i="30"/>
  <c r="DQ32" i="26" s="1"/>
  <c r="DR43" i="29"/>
  <c r="BI17" i="27"/>
  <c r="BI22" i="27" s="1"/>
  <c r="BH44" i="29" s="1"/>
  <c r="DP16" i="30"/>
  <c r="DP20" i="30" s="1"/>
  <c r="DT26" i="29"/>
  <c r="DQ5" i="7"/>
  <c r="DR17" i="9" s="1"/>
  <c r="DQ7" i="7"/>
  <c r="DR18" i="9" s="1"/>
  <c r="DR5" i="24"/>
  <c r="DQ7" i="24"/>
  <c r="DQ9" i="24" s="1"/>
  <c r="I11" i="14"/>
  <c r="I12" i="14"/>
  <c r="AF14" i="13"/>
  <c r="Z39" i="9"/>
  <c r="AF13" i="13"/>
  <c r="DR6" i="7" l="1"/>
  <c r="DU16" i="13"/>
  <c r="DV25" i="15" s="1"/>
  <c r="DQ19" i="26"/>
  <c r="DP21" i="30"/>
  <c r="DR32" i="26" s="1"/>
  <c r="DS43" i="29"/>
  <c r="BE8" i="7"/>
  <c r="BJ20" i="27"/>
  <c r="BI13" i="27"/>
  <c r="BI7" i="27"/>
  <c r="BF42" i="3"/>
  <c r="DQ16" i="30"/>
  <c r="DQ20" i="30" s="1"/>
  <c r="DU26" i="29"/>
  <c r="DR5" i="7"/>
  <c r="DS17" i="9" s="1"/>
  <c r="DR7" i="7"/>
  <c r="DS18" i="9" s="1"/>
  <c r="DS5" i="24"/>
  <c r="DR7" i="24"/>
  <c r="DR9" i="24" s="1"/>
  <c r="AG13" i="13"/>
  <c r="AG14" i="13"/>
  <c r="DS6" i="7" l="1"/>
  <c r="DV16" i="13"/>
  <c r="DW25" i="15" s="1"/>
  <c r="DR19" i="26"/>
  <c r="DQ21" i="30"/>
  <c r="DS19" i="26" s="1"/>
  <c r="DT43" i="29"/>
  <c r="BJ17" i="27"/>
  <c r="BJ22" i="27"/>
  <c r="BI44" i="29" s="1"/>
  <c r="DS32" i="26"/>
  <c r="DV26" i="29"/>
  <c r="DS5" i="7"/>
  <c r="DT17" i="9" s="1"/>
  <c r="DS7" i="7"/>
  <c r="DT18" i="9" s="1"/>
  <c r="DR16" i="30"/>
  <c r="DR20" i="30" s="1"/>
  <c r="DS7" i="24"/>
  <c r="C5" i="24"/>
  <c r="AD39" i="9"/>
  <c r="AB39" i="9"/>
  <c r="AH14" i="13"/>
  <c r="L12" i="14" s="1"/>
  <c r="AH13" i="13"/>
  <c r="L11" i="14" s="1"/>
  <c r="DR21" i="30" l="1"/>
  <c r="DT19" i="26" s="1"/>
  <c r="DU43" i="29"/>
  <c r="BF8" i="7"/>
  <c r="BJ13" i="27"/>
  <c r="BK20" i="27"/>
  <c r="BJ7" i="27"/>
  <c r="BG42" i="3"/>
  <c r="DT32" i="26"/>
  <c r="DS16" i="30"/>
  <c r="DS20" i="30" s="1"/>
  <c r="C7" i="24"/>
  <c r="DS9" i="24"/>
  <c r="AC39" i="9"/>
  <c r="AI14" i="13"/>
  <c r="AI13" i="13"/>
  <c r="DT6" i="7" l="1"/>
  <c r="DW16" i="13"/>
  <c r="DX25" i="15" s="1"/>
  <c r="DS21" i="30"/>
  <c r="DU19" i="26" s="1"/>
  <c r="DV43" i="29"/>
  <c r="BK17" i="27"/>
  <c r="BK22" i="27" s="1"/>
  <c r="BJ44" i="29" s="1"/>
  <c r="C9" i="24"/>
  <c r="P4" i="30" s="1"/>
  <c r="DW26" i="29"/>
  <c r="G26" i="29" s="1"/>
  <c r="DT5" i="7"/>
  <c r="DU17" i="9" s="1"/>
  <c r="DT7" i="7"/>
  <c r="AJ14" i="13"/>
  <c r="AJ13" i="13"/>
  <c r="DU32" i="26" l="1"/>
  <c r="BG8" i="7"/>
  <c r="BL20" i="27"/>
  <c r="BK13" i="27"/>
  <c r="BK7" i="27"/>
  <c r="BH42" i="3"/>
  <c r="D7" i="7"/>
  <c r="DU18" i="9"/>
  <c r="D13" i="30"/>
  <c r="Q15" i="30"/>
  <c r="DT16" i="30"/>
  <c r="DT20" i="30" s="1"/>
  <c r="D5" i="7"/>
  <c r="P6" i="30"/>
  <c r="D6" i="30" s="1"/>
  <c r="P9" i="30"/>
  <c r="D4" i="30"/>
  <c r="P20" i="30"/>
  <c r="S43" i="29" s="1"/>
  <c r="AF39" i="9"/>
  <c r="AG39" i="9"/>
  <c r="AK13" i="13"/>
  <c r="O11" i="14" s="1"/>
  <c r="AK14" i="13"/>
  <c r="AE39" i="9"/>
  <c r="DT21" i="30" l="1"/>
  <c r="DW43" i="29"/>
  <c r="BL17" i="27"/>
  <c r="BL22" i="27" s="1"/>
  <c r="BK44" i="29" s="1"/>
  <c r="P15" i="30"/>
  <c r="D15" i="30" s="1"/>
  <c r="D9" i="30"/>
  <c r="DV32" i="26"/>
  <c r="DV19" i="26"/>
  <c r="D20" i="30"/>
  <c r="P21" i="30"/>
  <c r="O12" i="14"/>
  <c r="AH39" i="9"/>
  <c r="AL14" i="13"/>
  <c r="AL13" i="13"/>
  <c r="BL13" i="27" l="1"/>
  <c r="BM20" i="27"/>
  <c r="BH8" i="7"/>
  <c r="BL7" i="27"/>
  <c r="BI42" i="3"/>
  <c r="Q21" i="30"/>
  <c r="R19" i="26"/>
  <c r="R32" i="26"/>
  <c r="AM13" i="13"/>
  <c r="AM14" i="13"/>
  <c r="BM17" i="27" l="1"/>
  <c r="D19" i="26"/>
  <c r="R23" i="26"/>
  <c r="R21" i="30"/>
  <c r="S32" i="26"/>
  <c r="S19" i="26"/>
  <c r="AN13" i="13"/>
  <c r="AJ39" i="9"/>
  <c r="AN14" i="13"/>
  <c r="BM7" i="27" l="1"/>
  <c r="BJ42" i="3"/>
  <c r="BM22" i="27"/>
  <c r="BL44" i="29" s="1"/>
  <c r="S21" i="30"/>
  <c r="T32" i="26"/>
  <c r="T19" i="26"/>
  <c r="D23" i="26"/>
  <c r="D24" i="26" s="1"/>
  <c r="R24" i="26"/>
  <c r="AO14" i="13"/>
  <c r="AO13" i="13"/>
  <c r="AI39" i="9"/>
  <c r="BM13" i="27" l="1"/>
  <c r="BI8" i="7"/>
  <c r="BN20" i="27"/>
  <c r="T21" i="30"/>
  <c r="U19" i="26"/>
  <c r="U32" i="26"/>
  <c r="AP13" i="13"/>
  <c r="AP14" i="13"/>
  <c r="AL39" i="9"/>
  <c r="BN17" i="27" l="1"/>
  <c r="BN22" i="27" s="1"/>
  <c r="BM44" i="29" s="1"/>
  <c r="U21" i="30"/>
  <c r="V32" i="26"/>
  <c r="V19" i="26"/>
  <c r="AK39" i="9"/>
  <c r="AM39" i="9"/>
  <c r="AQ14" i="13"/>
  <c r="AQ13" i="13"/>
  <c r="BO20" i="27" l="1"/>
  <c r="BJ8" i="7"/>
  <c r="BN13" i="27"/>
  <c r="BN7" i="27"/>
  <c r="BK42" i="3"/>
  <c r="V21" i="30"/>
  <c r="W32" i="26"/>
  <c r="W19" i="26"/>
  <c r="G13" i="13"/>
  <c r="M11" i="14"/>
  <c r="P11" i="14"/>
  <c r="P12" i="14"/>
  <c r="G14" i="13"/>
  <c r="M12" i="14"/>
  <c r="J12" i="14"/>
  <c r="G12" i="14" s="1"/>
  <c r="J11" i="14"/>
  <c r="G11" i="14" s="1"/>
  <c r="BO17" i="27" l="1"/>
  <c r="BO22" i="27" s="1"/>
  <c r="BN44" i="29" s="1"/>
  <c r="W21" i="30"/>
  <c r="X32" i="26"/>
  <c r="X19" i="26"/>
  <c r="AN39" i="9"/>
  <c r="BO13" i="27" l="1"/>
  <c r="BP20" i="27"/>
  <c r="BK8" i="7"/>
  <c r="BO7" i="27"/>
  <c r="BL42" i="3"/>
  <c r="X21" i="30"/>
  <c r="Y32" i="26"/>
  <c r="Y19" i="26"/>
  <c r="BP17" i="27" l="1"/>
  <c r="BP22" i="27" s="1"/>
  <c r="BO44" i="29" s="1"/>
  <c r="Y21" i="30"/>
  <c r="Z19" i="26"/>
  <c r="Z32" i="26"/>
  <c r="AO39" i="9"/>
  <c r="BQ20" i="27" l="1"/>
  <c r="BL8" i="7"/>
  <c r="BP13" i="27"/>
  <c r="BP7" i="27"/>
  <c r="BM42" i="3"/>
  <c r="Z21" i="30"/>
  <c r="AA32" i="26"/>
  <c r="AA19" i="26"/>
  <c r="BQ17" i="27" l="1"/>
  <c r="BQ22" i="27" s="1"/>
  <c r="BP44" i="29" s="1"/>
  <c r="AA21" i="30"/>
  <c r="AB19" i="26"/>
  <c r="AB32" i="26"/>
  <c r="AA39" i="9"/>
  <c r="BR20" i="27" l="1"/>
  <c r="BQ13" i="27"/>
  <c r="BM8" i="7"/>
  <c r="BQ7" i="27"/>
  <c r="BN42" i="3"/>
  <c r="AB21" i="30"/>
  <c r="AC19" i="26"/>
  <c r="AC32" i="26"/>
  <c r="M39" i="9"/>
  <c r="BR17" i="27" l="1"/>
  <c r="BR22" i="27" s="1"/>
  <c r="BQ44" i="29" s="1"/>
  <c r="AC21" i="30"/>
  <c r="AD32" i="26"/>
  <c r="AD19" i="26"/>
  <c r="E39" i="9"/>
  <c r="BN8" i="7" l="1"/>
  <c r="BR13" i="27"/>
  <c r="BS20" i="27"/>
  <c r="BR7" i="27"/>
  <c r="BO42" i="3"/>
  <c r="AD21" i="30"/>
  <c r="AE19" i="26"/>
  <c r="AE32" i="26"/>
  <c r="BS17" i="27" l="1"/>
  <c r="BS22" i="27" s="1"/>
  <c r="BR44" i="29" s="1"/>
  <c r="AE21" i="30"/>
  <c r="AF32" i="26"/>
  <c r="AF19" i="26"/>
  <c r="BO8" i="7" l="1"/>
  <c r="BT20" i="27"/>
  <c r="BS13" i="27"/>
  <c r="BS7" i="27"/>
  <c r="BP42" i="3"/>
  <c r="AF21" i="30"/>
  <c r="AG32" i="26"/>
  <c r="AG19" i="26"/>
  <c r="BT17" i="27" l="1"/>
  <c r="BT22" i="27" s="1"/>
  <c r="BS44" i="29" s="1"/>
  <c r="AG21" i="30"/>
  <c r="AH19" i="26"/>
  <c r="AH32" i="26"/>
  <c r="BT13" i="27" l="1"/>
  <c r="BU20" i="27"/>
  <c r="BP8" i="7"/>
  <c r="BT7" i="27"/>
  <c r="BQ42" i="3"/>
  <c r="AH21" i="30"/>
  <c r="AI32" i="26"/>
  <c r="AI19" i="26"/>
  <c r="BU17" i="27" l="1"/>
  <c r="BU22" i="27" s="1"/>
  <c r="BT44" i="29" s="1"/>
  <c r="AI21" i="30"/>
  <c r="AJ32" i="26"/>
  <c r="AJ19" i="26"/>
  <c r="BQ8" i="7" l="1"/>
  <c r="BU13" i="27"/>
  <c r="BV20" i="27"/>
  <c r="BU7" i="27"/>
  <c r="BR42" i="3"/>
  <c r="AJ21" i="30"/>
  <c r="AK19" i="26"/>
  <c r="AK32" i="26"/>
  <c r="BV17" i="27" l="1"/>
  <c r="BV22" i="27" s="1"/>
  <c r="BU44" i="29" s="1"/>
  <c r="AK21" i="30"/>
  <c r="AL32" i="26"/>
  <c r="AL19" i="26"/>
  <c r="BV13" i="27" l="1"/>
  <c r="BR8" i="7"/>
  <c r="BW20" i="27"/>
  <c r="BV7" i="27"/>
  <c r="BS42" i="3"/>
  <c r="AL21" i="30"/>
  <c r="AM19" i="26"/>
  <c r="AM32" i="26"/>
  <c r="BW17" i="27" l="1"/>
  <c r="BW22" i="27" s="1"/>
  <c r="BV44" i="29" s="1"/>
  <c r="AM21" i="30"/>
  <c r="AN32" i="26"/>
  <c r="AN19" i="26"/>
  <c r="BW13" i="27" l="1"/>
  <c r="BX20" i="27"/>
  <c r="BS8" i="7"/>
  <c r="BW7" i="27"/>
  <c r="BT42" i="3"/>
  <c r="AN21" i="30"/>
  <c r="AO32" i="26"/>
  <c r="AO19" i="26"/>
  <c r="BX17" i="27" l="1"/>
  <c r="BX22" i="27" s="1"/>
  <c r="BW44" i="29" s="1"/>
  <c r="AP19" i="26"/>
  <c r="AP32" i="26"/>
  <c r="D21" i="30"/>
  <c r="BY20" i="27" l="1"/>
  <c r="BX13" i="27"/>
  <c r="BT8" i="7"/>
  <c r="BU42" i="3"/>
  <c r="BX7" i="27"/>
  <c r="CG15" i="9"/>
  <c r="CN15" i="9"/>
  <c r="CF15" i="9"/>
  <c r="BX15" i="9"/>
  <c r="BP15" i="9"/>
  <c r="BH15" i="9"/>
  <c r="AZ15" i="9"/>
  <c r="AR15" i="9"/>
  <c r="AJ15" i="9"/>
  <c r="AB15" i="9"/>
  <c r="T15" i="9"/>
  <c r="AK15" i="9"/>
  <c r="BI15" i="9"/>
  <c r="BA15" i="9"/>
  <c r="CU15" i="9"/>
  <c r="CM15" i="9"/>
  <c r="CE15" i="9"/>
  <c r="AY15" i="9"/>
  <c r="AI15" i="9"/>
  <c r="AA15" i="9"/>
  <c r="CO15" i="9"/>
  <c r="CL15" i="9"/>
  <c r="BV15" i="9"/>
  <c r="AX15" i="9"/>
  <c r="AP15" i="9"/>
  <c r="Z15" i="9"/>
  <c r="U15" i="9"/>
  <c r="BN15" i="9"/>
  <c r="BY15" i="9"/>
  <c r="CK15" i="9"/>
  <c r="CC15" i="9"/>
  <c r="BU15" i="9"/>
  <c r="BM15" i="9"/>
  <c r="BE15" i="9"/>
  <c r="AW15" i="9"/>
  <c r="AG15" i="9"/>
  <c r="Y15" i="9"/>
  <c r="BG15" i="9"/>
  <c r="AL15" i="9"/>
  <c r="AS15" i="9"/>
  <c r="D23" i="6"/>
  <c r="D37" i="6" s="1"/>
  <c r="S15" i="9"/>
  <c r="AT15" i="9"/>
  <c r="BO15" i="9"/>
  <c r="CD15" i="9"/>
  <c r="CR15" i="9"/>
  <c r="CB15" i="9"/>
  <c r="BT15" i="9"/>
  <c r="BD15" i="9"/>
  <c r="AN15" i="9"/>
  <c r="AF15" i="9"/>
  <c r="X15" i="9"/>
  <c r="AV15" i="9"/>
  <c r="CT15" i="9"/>
  <c r="BZ15" i="9"/>
  <c r="BR15" i="9"/>
  <c r="BJ15" i="9"/>
  <c r="AD15" i="9"/>
  <c r="CJ15" i="9"/>
  <c r="AH15" i="9"/>
  <c r="V15" i="9"/>
  <c r="AQ15" i="9"/>
  <c r="BB15" i="9"/>
  <c r="BL15" i="9"/>
  <c r="BW15" i="9"/>
  <c r="CP15" i="9"/>
  <c r="AO15" i="9"/>
  <c r="AC15" i="9"/>
  <c r="R15" i="9"/>
  <c r="BF15" i="9"/>
  <c r="BQ15" i="9"/>
  <c r="CH15" i="9"/>
  <c r="CS15" i="9"/>
  <c r="CQ15" i="9"/>
  <c r="CI15" i="9"/>
  <c r="CA15" i="9"/>
  <c r="BS15" i="9"/>
  <c r="BK15" i="9"/>
  <c r="BC15" i="9"/>
  <c r="AU15" i="9"/>
  <c r="AM15" i="9"/>
  <c r="AE15" i="9"/>
  <c r="W15" i="9"/>
  <c r="BY17" i="27" l="1"/>
  <c r="BY22" i="27" s="1"/>
  <c r="BX44" i="29" s="1"/>
  <c r="E15" i="9"/>
  <c r="BZ20" i="27" l="1"/>
  <c r="BU8" i="7"/>
  <c r="BY13" i="27"/>
  <c r="BV42" i="3"/>
  <c r="BY7" i="27"/>
  <c r="I13" i="4"/>
  <c r="J13" i="4"/>
  <c r="L13" i="4"/>
  <c r="M13" i="4"/>
  <c r="H13" i="4"/>
  <c r="O13" i="4"/>
  <c r="G13" i="4"/>
  <c r="K13" i="4"/>
  <c r="N13" i="4"/>
  <c r="F13" i="4"/>
  <c r="P13" i="4"/>
  <c r="E13" i="4"/>
  <c r="BZ17" i="27" l="1"/>
  <c r="M15" i="4"/>
  <c r="H15" i="4"/>
  <c r="I8" i="9" s="1"/>
  <c r="I6" i="9" s="1"/>
  <c r="F15" i="4"/>
  <c r="J15" i="4"/>
  <c r="N15" i="4"/>
  <c r="O8" i="9" s="1"/>
  <c r="O6" i="9" s="1"/>
  <c r="I15" i="4"/>
  <c r="L15" i="4"/>
  <c r="K15" i="4"/>
  <c r="E15" i="4"/>
  <c r="G15" i="4"/>
  <c r="P15" i="4"/>
  <c r="O15" i="4"/>
  <c r="BW42" i="3" l="1"/>
  <c r="BZ7" i="27"/>
  <c r="BZ22" i="27"/>
  <c r="BY44" i="29" s="1"/>
  <c r="N8" i="9"/>
  <c r="N6" i="9" s="1"/>
  <c r="L33" i="26"/>
  <c r="L47" i="26" s="1"/>
  <c r="L49" i="26" s="1"/>
  <c r="J8" i="9"/>
  <c r="J6" i="9" s="1"/>
  <c r="H8" i="9"/>
  <c r="H6" i="9" s="1"/>
  <c r="F6" i="9"/>
  <c r="G8" i="9"/>
  <c r="G6" i="9" s="1"/>
  <c r="Q8" i="9"/>
  <c r="Q6" i="9" s="1"/>
  <c r="K8" i="9"/>
  <c r="K6" i="9" s="1"/>
  <c r="O33" i="26"/>
  <c r="O47" i="26" s="1"/>
  <c r="O49" i="26" s="1"/>
  <c r="M8" i="9"/>
  <c r="M6" i="9" s="1"/>
  <c r="L8" i="9"/>
  <c r="L6" i="9" s="1"/>
  <c r="P8" i="9"/>
  <c r="P6" i="9" s="1"/>
  <c r="N33" i="26"/>
  <c r="N47" i="26" s="1"/>
  <c r="N49" i="26" s="1"/>
  <c r="N12" i="9"/>
  <c r="J33" i="26"/>
  <c r="J47" i="26" s="1"/>
  <c r="J49" i="26" s="1"/>
  <c r="Q33" i="26"/>
  <c r="Q47" i="26" s="1"/>
  <c r="Q49" i="26" s="1"/>
  <c r="N19" i="9" l="1"/>
  <c r="BV8" i="7"/>
  <c r="BZ13" i="27"/>
  <c r="CA20" i="27"/>
  <c r="P10" i="7"/>
  <c r="S23" i="26"/>
  <c r="S24" i="26" s="1"/>
  <c r="S33" i="26"/>
  <c r="S47" i="26" s="1"/>
  <c r="K33" i="26"/>
  <c r="K47" i="26" s="1"/>
  <c r="K49" i="26" s="1"/>
  <c r="F12" i="9"/>
  <c r="P33" i="26"/>
  <c r="P47" i="26" s="1"/>
  <c r="P49" i="26" s="1"/>
  <c r="J12" i="9"/>
  <c r="J19" i="9" s="1"/>
  <c r="M9" i="15" s="1"/>
  <c r="M13" i="15" s="1"/>
  <c r="H12" i="9"/>
  <c r="H19" i="9" s="1"/>
  <c r="K9" i="15" s="1"/>
  <c r="K13" i="15" s="1"/>
  <c r="O12" i="9"/>
  <c r="O19" i="9" s="1"/>
  <c r="R9" i="15" s="1"/>
  <c r="R13" i="15" s="1"/>
  <c r="G12" i="9"/>
  <c r="G19" i="9" s="1"/>
  <c r="J9" i="15" s="1"/>
  <c r="J13" i="15" s="1"/>
  <c r="M33" i="26"/>
  <c r="M47" i="26" s="1"/>
  <c r="M49" i="26" s="1"/>
  <c r="R33" i="26"/>
  <c r="R47" i="26" s="1"/>
  <c r="R49" i="26" s="1"/>
  <c r="Q9" i="15"/>
  <c r="Q13" i="15" s="1"/>
  <c r="S27" i="29" l="1"/>
  <c r="S18" i="13"/>
  <c r="CA17" i="27"/>
  <c r="CA22" i="27" s="1"/>
  <c r="BZ44" i="29" s="1"/>
  <c r="S49" i="26"/>
  <c r="M12" i="9"/>
  <c r="M19" i="9" s="1"/>
  <c r="P9" i="15" s="1"/>
  <c r="P13" i="15" s="1"/>
  <c r="I12" i="9"/>
  <c r="I19" i="9" s="1"/>
  <c r="L9" i="15" s="1"/>
  <c r="L13" i="15" s="1"/>
  <c r="P12" i="9"/>
  <c r="P19" i="9" s="1"/>
  <c r="S9" i="15" s="1"/>
  <c r="S13" i="15" s="1"/>
  <c r="K12" i="9"/>
  <c r="K19" i="9" s="1"/>
  <c r="N9" i="15" s="1"/>
  <c r="N13" i="15" s="1"/>
  <c r="H14" i="14"/>
  <c r="L12" i="9"/>
  <c r="L19" i="9" s="1"/>
  <c r="O9" i="15" s="1"/>
  <c r="O13" i="15" s="1"/>
  <c r="Q12" i="9"/>
  <c r="Q19" i="9" s="1"/>
  <c r="T9" i="15" s="1"/>
  <c r="T13" i="15" s="1"/>
  <c r="F19" i="9"/>
  <c r="S20" i="29" l="1"/>
  <c r="S21" i="29"/>
  <c r="S5" i="13" s="1"/>
  <c r="T24" i="15" s="1"/>
  <c r="BX42" i="3"/>
  <c r="CA7" i="27"/>
  <c r="CB20" i="27"/>
  <c r="BW8" i="7"/>
  <c r="CA13" i="27"/>
  <c r="S8" i="29"/>
  <c r="L37" i="9"/>
  <c r="L50" i="9" s="1"/>
  <c r="G37" i="9"/>
  <c r="G50" i="9" s="1"/>
  <c r="H16" i="14"/>
  <c r="I37" i="9"/>
  <c r="I50" i="9" s="1"/>
  <c r="Q37" i="9"/>
  <c r="Q50" i="9" s="1"/>
  <c r="K37" i="9"/>
  <c r="K50" i="9" s="1"/>
  <c r="I9" i="15"/>
  <c r="I13" i="15" s="1"/>
  <c r="I14" i="15" s="1"/>
  <c r="H37" i="9"/>
  <c r="H50" i="9" s="1"/>
  <c r="O37" i="9"/>
  <c r="O50" i="9" s="1"/>
  <c r="S19" i="29" l="1"/>
  <c r="S33" i="29" s="1"/>
  <c r="S10" i="13" s="1"/>
  <c r="S18" i="29"/>
  <c r="H3" i="14"/>
  <c r="S31" i="29"/>
  <c r="CB17" i="27"/>
  <c r="CB22" i="27" s="1"/>
  <c r="CA44" i="29" s="1"/>
  <c r="P37" i="9"/>
  <c r="P50" i="9" s="1"/>
  <c r="S23" i="15" s="1"/>
  <c r="S27" i="15" s="1"/>
  <c r="T23" i="15"/>
  <c r="T27" i="15" s="1"/>
  <c r="Q51" i="9"/>
  <c r="Q53" i="9" s="1"/>
  <c r="N23" i="15"/>
  <c r="N27" i="15" s="1"/>
  <c r="K51" i="9"/>
  <c r="K53" i="9" s="1"/>
  <c r="O23" i="15"/>
  <c r="L51" i="9"/>
  <c r="L53" i="9" s="1"/>
  <c r="L23" i="15"/>
  <c r="I51" i="9"/>
  <c r="I53" i="9" s="1"/>
  <c r="J23" i="15"/>
  <c r="G51" i="9"/>
  <c r="G53" i="9" s="1"/>
  <c r="K23" i="15"/>
  <c r="K27" i="15" s="1"/>
  <c r="H51" i="9"/>
  <c r="H53" i="9" s="1"/>
  <c r="R23" i="15"/>
  <c r="R27" i="15" s="1"/>
  <c r="O51" i="9"/>
  <c r="O53" i="9" s="1"/>
  <c r="I15" i="15"/>
  <c r="I16" i="15" s="1"/>
  <c r="J14" i="15"/>
  <c r="I17" i="15"/>
  <c r="I18" i="15" s="1"/>
  <c r="S29" i="29" l="1"/>
  <c r="S9" i="29" s="1"/>
  <c r="S35" i="29"/>
  <c r="T34" i="29" s="1"/>
  <c r="H4" i="14"/>
  <c r="BY42" i="3"/>
  <c r="CB7" i="27"/>
  <c r="CB13" i="27"/>
  <c r="BX8" i="7"/>
  <c r="CC20" i="27"/>
  <c r="J27" i="15"/>
  <c r="L27" i="15"/>
  <c r="M37" i="9"/>
  <c r="M50" i="9" s="1"/>
  <c r="O27" i="15"/>
  <c r="P51" i="9"/>
  <c r="P53" i="9" s="1"/>
  <c r="N37" i="9"/>
  <c r="N50" i="9" s="1"/>
  <c r="J37" i="9"/>
  <c r="J50" i="9" s="1"/>
  <c r="J17" i="15"/>
  <c r="J18" i="15" s="1"/>
  <c r="J15" i="15"/>
  <c r="J16" i="15" s="1"/>
  <c r="K14" i="15"/>
  <c r="CC17" i="27" l="1"/>
  <c r="P23" i="15"/>
  <c r="P27" i="15" s="1"/>
  <c r="M51" i="9"/>
  <c r="M53" i="9" s="1"/>
  <c r="J51" i="9"/>
  <c r="J53" i="9" s="1"/>
  <c r="M23" i="15"/>
  <c r="M27" i="15" s="1"/>
  <c r="Q23" i="15"/>
  <c r="Q27" i="15" s="1"/>
  <c r="N51" i="9"/>
  <c r="N53" i="9" s="1"/>
  <c r="H20" i="13"/>
  <c r="F37" i="9"/>
  <c r="F50" i="9" s="1"/>
  <c r="K15" i="15"/>
  <c r="K16" i="15" s="1"/>
  <c r="K17" i="15"/>
  <c r="K18" i="15" s="1"/>
  <c r="L14" i="15"/>
  <c r="H7" i="14"/>
  <c r="CC7" i="27" l="1"/>
  <c r="BZ42" i="3"/>
  <c r="CC22" i="27"/>
  <c r="CB44" i="29" s="1"/>
  <c r="I20" i="13"/>
  <c r="L15" i="15"/>
  <c r="L16" i="15" s="1"/>
  <c r="L17" i="15"/>
  <c r="L18" i="15" s="1"/>
  <c r="M14" i="15"/>
  <c r="I23" i="15"/>
  <c r="I27" i="15" s="1"/>
  <c r="I28" i="15" s="1"/>
  <c r="F51" i="9"/>
  <c r="CD20" i="27" l="1"/>
  <c r="CC13" i="27"/>
  <c r="BY8" i="7"/>
  <c r="F53" i="9"/>
  <c r="I29" i="15"/>
  <c r="I30" i="15" s="1"/>
  <c r="J28" i="15"/>
  <c r="I31" i="15"/>
  <c r="I32" i="15" s="1"/>
  <c r="M15" i="15"/>
  <c r="M16" i="15" s="1"/>
  <c r="M17" i="15"/>
  <c r="M18" i="15" s="1"/>
  <c r="N14" i="15"/>
  <c r="CD17" i="27" l="1"/>
  <c r="CD22" i="27" s="1"/>
  <c r="CC44" i="29" s="1"/>
  <c r="J20" i="13"/>
  <c r="K20" i="13"/>
  <c r="J31" i="15"/>
  <c r="J32" i="15" s="1"/>
  <c r="J29" i="15"/>
  <c r="J30" i="15" s="1"/>
  <c r="K28" i="15"/>
  <c r="N17" i="15"/>
  <c r="N18" i="15" s="1"/>
  <c r="N15" i="15"/>
  <c r="N16" i="15" s="1"/>
  <c r="O14" i="15"/>
  <c r="CD13" i="27" l="1"/>
  <c r="BZ8" i="7"/>
  <c r="CE20" i="27"/>
  <c r="CD7" i="27"/>
  <c r="CA42" i="3"/>
  <c r="O15" i="15"/>
  <c r="O16" i="15" s="1"/>
  <c r="O17" i="15"/>
  <c r="O18" i="15" s="1"/>
  <c r="P14" i="15"/>
  <c r="K29" i="15"/>
  <c r="K30" i="15" s="1"/>
  <c r="K31" i="15"/>
  <c r="K32" i="15" s="1"/>
  <c r="L28" i="15"/>
  <c r="CE17" i="27" l="1"/>
  <c r="P15" i="15"/>
  <c r="P16" i="15" s="1"/>
  <c r="P17" i="15"/>
  <c r="P18" i="15" s="1"/>
  <c r="Q14" i="15"/>
  <c r="L20" i="13"/>
  <c r="L29" i="15"/>
  <c r="L30" i="15" s="1"/>
  <c r="L31" i="15"/>
  <c r="L32" i="15" s="1"/>
  <c r="M28" i="15"/>
  <c r="CE7" i="27" l="1"/>
  <c r="CB42" i="3"/>
  <c r="CE22" i="27"/>
  <c r="CD44" i="29" s="1"/>
  <c r="Q17" i="15"/>
  <c r="Q18" i="15" s="1"/>
  <c r="Q15" i="15"/>
  <c r="Q16" i="15" s="1"/>
  <c r="R14" i="15"/>
  <c r="M31" i="15"/>
  <c r="M32" i="15" s="1"/>
  <c r="M29" i="15"/>
  <c r="M30" i="15" s="1"/>
  <c r="N28" i="15"/>
  <c r="CE13" i="27" l="1"/>
  <c r="CF20" i="27"/>
  <c r="CA8" i="7"/>
  <c r="R15" i="15"/>
  <c r="R16" i="15" s="1"/>
  <c r="R17" i="15"/>
  <c r="R18" i="15" s="1"/>
  <c r="S14" i="15"/>
  <c r="M20" i="13"/>
  <c r="N29" i="15"/>
  <c r="N30" i="15" s="1"/>
  <c r="N31" i="15"/>
  <c r="N32" i="15" s="1"/>
  <c r="O28" i="15"/>
  <c r="CF17" i="27" l="1"/>
  <c r="CF22" i="27" s="1"/>
  <c r="CE44" i="29" s="1"/>
  <c r="S17" i="15"/>
  <c r="S18" i="15" s="1"/>
  <c r="S15" i="15"/>
  <c r="S16" i="15" s="1"/>
  <c r="T14" i="15"/>
  <c r="O31" i="15"/>
  <c r="O32" i="15" s="1"/>
  <c r="O29" i="15"/>
  <c r="O30" i="15" s="1"/>
  <c r="P28" i="15"/>
  <c r="CF13" i="27" l="1"/>
  <c r="CB8" i="7"/>
  <c r="CG20" i="27"/>
  <c r="CF7" i="27"/>
  <c r="CC42" i="3"/>
  <c r="P29" i="15"/>
  <c r="P30" i="15" s="1"/>
  <c r="P31" i="15"/>
  <c r="P32" i="15" s="1"/>
  <c r="Q28" i="15"/>
  <c r="T17" i="15"/>
  <c r="T18" i="15" s="1"/>
  <c r="T15" i="15"/>
  <c r="T16" i="15" s="1"/>
  <c r="N20" i="13"/>
  <c r="CG17" i="27" l="1"/>
  <c r="CG22" i="27"/>
  <c r="CF44" i="29" s="1"/>
  <c r="Q29" i="15"/>
  <c r="Q30" i="15" s="1"/>
  <c r="Q31" i="15"/>
  <c r="Q32" i="15" s="1"/>
  <c r="R28" i="15"/>
  <c r="CG13" i="27" l="1"/>
  <c r="CC8" i="7"/>
  <c r="CH20" i="27"/>
  <c r="CG7" i="27"/>
  <c r="CD42" i="3"/>
  <c r="O20" i="13"/>
  <c r="R29" i="15"/>
  <c r="R30" i="15" s="1"/>
  <c r="R31" i="15"/>
  <c r="R32" i="15" s="1"/>
  <c r="S28" i="15"/>
  <c r="CH17" i="27" l="1"/>
  <c r="CH22" i="27"/>
  <c r="CG44" i="29" s="1"/>
  <c r="S29" i="15"/>
  <c r="S30" i="15" s="1"/>
  <c r="S31" i="15"/>
  <c r="S32" i="15" s="1"/>
  <c r="T28" i="15"/>
  <c r="CI20" i="27" l="1"/>
  <c r="CH13" i="27"/>
  <c r="CD8" i="7"/>
  <c r="CH7" i="27"/>
  <c r="CE42" i="3"/>
  <c r="P20" i="13"/>
  <c r="T31" i="15"/>
  <c r="T32" i="15" s="1"/>
  <c r="T29" i="15"/>
  <c r="T30" i="15" s="1"/>
  <c r="CI17" i="27" l="1"/>
  <c r="CI22" i="27" s="1"/>
  <c r="CH44" i="29" s="1"/>
  <c r="Q20" i="13"/>
  <c r="CE8" i="7" l="1"/>
  <c r="CJ20" i="27"/>
  <c r="CI13" i="27"/>
  <c r="CI7" i="27"/>
  <c r="CF42" i="3"/>
  <c r="R20" i="13"/>
  <c r="CJ17" i="27" l="1"/>
  <c r="CJ22" i="27" s="1"/>
  <c r="CI44" i="29" s="1"/>
  <c r="S20" i="13"/>
  <c r="CJ13" i="27" l="1"/>
  <c r="CF8" i="7"/>
  <c r="CK20" i="27"/>
  <c r="CJ7" i="27"/>
  <c r="CG42" i="3"/>
  <c r="H8" i="14"/>
  <c r="CK17" i="27" l="1"/>
  <c r="CK22" i="27" s="1"/>
  <c r="CJ44" i="29" s="1"/>
  <c r="H18" i="14"/>
  <c r="CL20" i="27" l="1"/>
  <c r="CK13" i="27"/>
  <c r="CG8" i="7"/>
  <c r="CK7" i="27"/>
  <c r="CH42" i="3"/>
  <c r="H19" i="14"/>
  <c r="CL17" i="27" l="1"/>
  <c r="CL22" i="27" s="1"/>
  <c r="CK44" i="29" s="1"/>
  <c r="R6" i="9"/>
  <c r="CL13" i="27" l="1"/>
  <c r="CH8" i="7"/>
  <c r="CM20" i="27"/>
  <c r="CL7" i="27"/>
  <c r="CI42" i="3"/>
  <c r="Q10" i="7"/>
  <c r="T18" i="13" s="1"/>
  <c r="CM17" i="27" l="1"/>
  <c r="CM22" i="27" s="1"/>
  <c r="CL44" i="29" s="1"/>
  <c r="T27" i="29"/>
  <c r="T21" i="29" s="1"/>
  <c r="T5" i="13" s="1"/>
  <c r="U24" i="15" s="1"/>
  <c r="T33" i="26"/>
  <c r="T47" i="26" s="1"/>
  <c r="T23" i="26"/>
  <c r="CM13" i="27" l="1"/>
  <c r="CN20" i="27"/>
  <c r="CI8" i="7"/>
  <c r="CM7" i="27"/>
  <c r="CJ42" i="3"/>
  <c r="T20" i="29"/>
  <c r="T24" i="26"/>
  <c r="T49" i="26" s="1"/>
  <c r="CN17" i="27" l="1"/>
  <c r="CN22" i="27" s="1"/>
  <c r="CM44" i="29" s="1"/>
  <c r="T19" i="29"/>
  <c r="T18" i="29"/>
  <c r="R37" i="9"/>
  <c r="CO20" i="27" l="1"/>
  <c r="CJ8" i="7"/>
  <c r="CN13" i="27"/>
  <c r="CN7" i="27"/>
  <c r="CK42" i="3"/>
  <c r="T33" i="29"/>
  <c r="T10" i="13" s="1"/>
  <c r="R50" i="9"/>
  <c r="CO17" i="27" l="1"/>
  <c r="T31" i="29"/>
  <c r="T8" i="29"/>
  <c r="U23" i="15"/>
  <c r="U27" i="15" s="1"/>
  <c r="U28" i="15" s="1"/>
  <c r="T20" i="13"/>
  <c r="CO7" i="27" l="1"/>
  <c r="CL42" i="3"/>
  <c r="CO22" i="27"/>
  <c r="CN44" i="29" s="1"/>
  <c r="T29" i="29"/>
  <c r="T35" i="29"/>
  <c r="U34" i="29" s="1"/>
  <c r="U31" i="15"/>
  <c r="U32" i="15" s="1"/>
  <c r="U29" i="15"/>
  <c r="U30" i="15" s="1"/>
  <c r="CO13" i="27" l="1"/>
  <c r="CP20" i="27"/>
  <c r="CK8" i="7"/>
  <c r="T9" i="29"/>
  <c r="CP17" i="27" l="1"/>
  <c r="CP7" i="27" l="1"/>
  <c r="CM42" i="3"/>
  <c r="CP22" i="27"/>
  <c r="CO44" i="29" s="1"/>
  <c r="R10" i="7"/>
  <c r="U18" i="13" s="1"/>
  <c r="S12" i="9"/>
  <c r="S19" i="9" s="1"/>
  <c r="CL8" i="7" l="1"/>
  <c r="CQ20" i="27"/>
  <c r="CP13" i="27"/>
  <c r="U27" i="29"/>
  <c r="U21" i="29" s="1"/>
  <c r="U5" i="13" s="1"/>
  <c r="V24" i="15" s="1"/>
  <c r="U23" i="26"/>
  <c r="U33" i="26"/>
  <c r="U47" i="26" s="1"/>
  <c r="V9" i="15"/>
  <c r="V13" i="15" s="1"/>
  <c r="CQ17" i="27" l="1"/>
  <c r="CQ22" i="27" s="1"/>
  <c r="CP44" i="29" s="1"/>
  <c r="U20" i="29"/>
  <c r="U24" i="26"/>
  <c r="U49" i="26" s="1"/>
  <c r="CR20" i="27" l="1"/>
  <c r="CQ13" i="27"/>
  <c r="CM8" i="7"/>
  <c r="CQ7" i="27"/>
  <c r="CN42" i="3"/>
  <c r="U19" i="29"/>
  <c r="U18" i="29"/>
  <c r="S37" i="9"/>
  <c r="CR17" i="27" l="1"/>
  <c r="CR22" i="27" s="1"/>
  <c r="CQ44" i="29" s="1"/>
  <c r="U33" i="29"/>
  <c r="U10" i="13" s="1"/>
  <c r="S50" i="9"/>
  <c r="U20" i="13" l="1"/>
  <c r="CS20" i="27"/>
  <c r="CR13" i="27"/>
  <c r="CN8" i="7"/>
  <c r="CR7" i="27"/>
  <c r="CO42" i="3"/>
  <c r="U31" i="29"/>
  <c r="U8" i="29"/>
  <c r="V23" i="15"/>
  <c r="V27" i="15" s="1"/>
  <c r="V28" i="15" s="1"/>
  <c r="S51" i="9"/>
  <c r="CS17" i="27" l="1"/>
  <c r="CS22" i="27" s="1"/>
  <c r="CR44" i="29" s="1"/>
  <c r="U29" i="29"/>
  <c r="U35" i="29"/>
  <c r="V34" i="29" s="1"/>
  <c r="V29" i="15"/>
  <c r="V30" i="15" s="1"/>
  <c r="V31" i="15"/>
  <c r="V32" i="15" s="1"/>
  <c r="S53" i="9"/>
  <c r="D7" i="4"/>
  <c r="D6" i="4" s="1"/>
  <c r="CO8" i="7" l="1"/>
  <c r="CT20" i="27"/>
  <c r="CS13" i="27"/>
  <c r="CS7" i="27"/>
  <c r="CP42" i="3"/>
  <c r="CL10" i="7"/>
  <c r="BT10" i="7"/>
  <c r="CD10" i="7"/>
  <c r="AC10" i="7"/>
  <c r="AY10" i="7"/>
  <c r="CO10" i="7"/>
  <c r="AG10" i="7"/>
  <c r="BR10" i="7"/>
  <c r="AE10" i="7"/>
  <c r="CH10" i="7"/>
  <c r="BN10" i="7"/>
  <c r="X10" i="7"/>
  <c r="CC10" i="7"/>
  <c r="AT10" i="7"/>
  <c r="AS10" i="7"/>
  <c r="AP10" i="7"/>
  <c r="CI10" i="7"/>
  <c r="BB10" i="7"/>
  <c r="AB10" i="7"/>
  <c r="Y10" i="7"/>
  <c r="AR10" i="7"/>
  <c r="AM10" i="7"/>
  <c r="AA10" i="7"/>
  <c r="BX10" i="7"/>
  <c r="CA10" i="7"/>
  <c r="BU10" i="7"/>
  <c r="AX10" i="7"/>
  <c r="BK10" i="7"/>
  <c r="BH10" i="7"/>
  <c r="CM10" i="7"/>
  <c r="BS10" i="7"/>
  <c r="AH10" i="7"/>
  <c r="BQ10" i="7"/>
  <c r="T10" i="7"/>
  <c r="CB10" i="7"/>
  <c r="BA10" i="7"/>
  <c r="BI10" i="7"/>
  <c r="AD10" i="7"/>
  <c r="U10" i="7"/>
  <c r="AW10" i="7"/>
  <c r="AJ10" i="7"/>
  <c r="AV10" i="7"/>
  <c r="CF10" i="7"/>
  <c r="AQ10" i="7"/>
  <c r="BD10" i="7"/>
  <c r="BJ10" i="7"/>
  <c r="AN10" i="7"/>
  <c r="CN10" i="7"/>
  <c r="BZ10" i="7"/>
  <c r="BY10" i="7"/>
  <c r="CE10" i="7"/>
  <c r="W10" i="7"/>
  <c r="V10" i="7"/>
  <c r="AZ10" i="7"/>
  <c r="CJ10" i="7"/>
  <c r="BW10" i="7"/>
  <c r="BC10" i="7"/>
  <c r="AO10" i="7"/>
  <c r="AU10" i="7"/>
  <c r="BF10" i="7"/>
  <c r="BV10" i="7"/>
  <c r="BL10" i="7"/>
  <c r="AF10" i="7"/>
  <c r="BP10" i="7"/>
  <c r="CG10" i="7"/>
  <c r="BG10" i="7"/>
  <c r="AL10" i="7"/>
  <c r="AI10" i="7"/>
  <c r="CK10" i="7"/>
  <c r="U9" i="29"/>
  <c r="D15" i="4"/>
  <c r="D13" i="4"/>
  <c r="BW27" i="29" l="1"/>
  <c r="BW18" i="13"/>
  <c r="CI27" i="29"/>
  <c r="CI18" i="13"/>
  <c r="CH27" i="29"/>
  <c r="CH18" i="13"/>
  <c r="CG27" i="29"/>
  <c r="CG18" i="13"/>
  <c r="CB27" i="29"/>
  <c r="CB18" i="13"/>
  <c r="CK27" i="29"/>
  <c r="CK18" i="13"/>
  <c r="CC27" i="29"/>
  <c r="CC18" i="13"/>
  <c r="CD27" i="29"/>
  <c r="CD18" i="13"/>
  <c r="CL27" i="29"/>
  <c r="CL18" i="13"/>
  <c r="AH27" i="29"/>
  <c r="AH18" i="13"/>
  <c r="CO27" i="29"/>
  <c r="CO18" i="13"/>
  <c r="BS27" i="29"/>
  <c r="BS18" i="13"/>
  <c r="BZ27" i="29"/>
  <c r="BZ18" i="13"/>
  <c r="CQ27" i="29"/>
  <c r="CQ18" i="13"/>
  <c r="AZ27" i="29"/>
  <c r="AZ18" i="13"/>
  <c r="AK27" i="29"/>
  <c r="AK18" i="13"/>
  <c r="CA27" i="29"/>
  <c r="CA18" i="13"/>
  <c r="AS27" i="29"/>
  <c r="AS18" i="13"/>
  <c r="BU27" i="29"/>
  <c r="BU18" i="13"/>
  <c r="AO27" i="29"/>
  <c r="AO18" i="13"/>
  <c r="BQ27" i="29"/>
  <c r="BQ18" i="13"/>
  <c r="AR27" i="29"/>
  <c r="AR18" i="13"/>
  <c r="CJ27" i="29"/>
  <c r="CJ18" i="13"/>
  <c r="X27" i="29"/>
  <c r="X18" i="13"/>
  <c r="AD27" i="29"/>
  <c r="AD18" i="13"/>
  <c r="AV27" i="29"/>
  <c r="AV18" i="13"/>
  <c r="AJ27" i="29"/>
  <c r="AJ18" i="13"/>
  <c r="CE27" i="29"/>
  <c r="CE18" i="13"/>
  <c r="BX27" i="29"/>
  <c r="BX18" i="13"/>
  <c r="BF27" i="29"/>
  <c r="BF18" i="13"/>
  <c r="CM27" i="29"/>
  <c r="CM18" i="13"/>
  <c r="AG27" i="29"/>
  <c r="AG18" i="13"/>
  <c r="AW27" i="29"/>
  <c r="AW18" i="13"/>
  <c r="CR27" i="29"/>
  <c r="CR18" i="13"/>
  <c r="BA27" i="29"/>
  <c r="BA18" i="13"/>
  <c r="AY27" i="29"/>
  <c r="AY18" i="13"/>
  <c r="BT27" i="29"/>
  <c r="BT18" i="13"/>
  <c r="BM27" i="29"/>
  <c r="BM18" i="13"/>
  <c r="AP27" i="29"/>
  <c r="AP18" i="13"/>
  <c r="BY27" i="29"/>
  <c r="BY18" i="13"/>
  <c r="BG27" i="29"/>
  <c r="BG18" i="13"/>
  <c r="BL27" i="29"/>
  <c r="BL18" i="13"/>
  <c r="BK27" i="29"/>
  <c r="BK18" i="13"/>
  <c r="AU27" i="29"/>
  <c r="AU18" i="13"/>
  <c r="CF27" i="29"/>
  <c r="CF18" i="13"/>
  <c r="BB27" i="29"/>
  <c r="BB18" i="13"/>
  <c r="AX27" i="29"/>
  <c r="AX18" i="13"/>
  <c r="AE27" i="29"/>
  <c r="AE18" i="13"/>
  <c r="BJ27" i="29"/>
  <c r="BJ18" i="13"/>
  <c r="W27" i="29"/>
  <c r="W18" i="13"/>
  <c r="BE27" i="29"/>
  <c r="BE18" i="13"/>
  <c r="AM27" i="29"/>
  <c r="AM18" i="13"/>
  <c r="AI27" i="29"/>
  <c r="AI18" i="13"/>
  <c r="AQ27" i="29"/>
  <c r="AQ18" i="13"/>
  <c r="BV27" i="29"/>
  <c r="BV18" i="13"/>
  <c r="BO27" i="29"/>
  <c r="BO18" i="13"/>
  <c r="BC27" i="29"/>
  <c r="BC18" i="13"/>
  <c r="CP27" i="29"/>
  <c r="CP18" i="13"/>
  <c r="CN27" i="29"/>
  <c r="CN18" i="13"/>
  <c r="Y27" i="29"/>
  <c r="Y18" i="13"/>
  <c r="AL27" i="29"/>
  <c r="AL18" i="13"/>
  <c r="BI27" i="29"/>
  <c r="BI18" i="13"/>
  <c r="Z27" i="29"/>
  <c r="Z18" i="13"/>
  <c r="AT27" i="29"/>
  <c r="AT18" i="13"/>
  <c r="BD27" i="29"/>
  <c r="BD18" i="13"/>
  <c r="BN27" i="29"/>
  <c r="BN18" i="13"/>
  <c r="AB27" i="29"/>
  <c r="AB18" i="13"/>
  <c r="AA27" i="29"/>
  <c r="AA18" i="13"/>
  <c r="AF27" i="29"/>
  <c r="AF18" i="13"/>
  <c r="CT17" i="27"/>
  <c r="BO10" i="7"/>
  <c r="Z10" i="7"/>
  <c r="BM10" i="7"/>
  <c r="AK10" i="7"/>
  <c r="BE10" i="7"/>
  <c r="J14" i="14"/>
  <c r="AS12" i="9"/>
  <c r="AS19" i="9" s="1"/>
  <c r="AV9" i="15" s="1"/>
  <c r="AV13" i="15" s="1"/>
  <c r="X12" i="9"/>
  <c r="X19" i="9" s="1"/>
  <c r="E8" i="9"/>
  <c r="L14" i="14"/>
  <c r="DG12" i="9"/>
  <c r="DG19" i="9" s="1"/>
  <c r="AN12" i="9"/>
  <c r="AN19" i="9" s="1"/>
  <c r="AO12" i="9"/>
  <c r="AO19" i="9" s="1"/>
  <c r="AV12" i="9"/>
  <c r="AV19" i="9" s="1"/>
  <c r="O14" i="14"/>
  <c r="BO12" i="9"/>
  <c r="BO19" i="9" s="1"/>
  <c r="K14" i="14"/>
  <c r="N14" i="14"/>
  <c r="Q14" i="14"/>
  <c r="DJ12" i="9"/>
  <c r="DJ19" i="9" s="1"/>
  <c r="AK12" i="9"/>
  <c r="AK19" i="9" s="1"/>
  <c r="AA20" i="29" l="1"/>
  <c r="AA21" i="29"/>
  <c r="AA5" i="13" s="1"/>
  <c r="AB24" i="15" s="1"/>
  <c r="AT20" i="29"/>
  <c r="AT21" i="29"/>
  <c r="AT5" i="13" s="1"/>
  <c r="AU24" i="15" s="1"/>
  <c r="Y20" i="29"/>
  <c r="Y21" i="29"/>
  <c r="Y5" i="13" s="1"/>
  <c r="Z24" i="15" s="1"/>
  <c r="BO20" i="29"/>
  <c r="BO21" i="29"/>
  <c r="BO5" i="13" s="1"/>
  <c r="BP24" i="15" s="1"/>
  <c r="AM20" i="29"/>
  <c r="AM21" i="29"/>
  <c r="AM5" i="13" s="1"/>
  <c r="AN24" i="15" s="1"/>
  <c r="AE20" i="29"/>
  <c r="AE21" i="29"/>
  <c r="AE5" i="13" s="1"/>
  <c r="AF24" i="15" s="1"/>
  <c r="AU20" i="29"/>
  <c r="AU21" i="29"/>
  <c r="AU5" i="13" s="1"/>
  <c r="AV24" i="15" s="1"/>
  <c r="BY20" i="29"/>
  <c r="BY21" i="29"/>
  <c r="BY5" i="13" s="1"/>
  <c r="BZ24" i="15" s="1"/>
  <c r="AY20" i="29"/>
  <c r="AY21" i="29"/>
  <c r="AY5" i="13" s="1"/>
  <c r="AZ24" i="15" s="1"/>
  <c r="AG20" i="29"/>
  <c r="AG21" i="29"/>
  <c r="AG5" i="13" s="1"/>
  <c r="AH24" i="15" s="1"/>
  <c r="CE20" i="29"/>
  <c r="CE21" i="29"/>
  <c r="CE5" i="13" s="1"/>
  <c r="CF24" i="15" s="1"/>
  <c r="X20" i="29"/>
  <c r="X21" i="29"/>
  <c r="X5" i="13" s="1"/>
  <c r="Y24" i="15" s="1"/>
  <c r="AO20" i="29"/>
  <c r="AO21" i="29"/>
  <c r="AO5" i="13" s="1"/>
  <c r="AP24" i="15" s="1"/>
  <c r="AK20" i="29"/>
  <c r="AK21" i="29"/>
  <c r="AK5" i="13" s="1"/>
  <c r="AL24" i="15" s="1"/>
  <c r="BS20" i="29"/>
  <c r="BS21" i="29"/>
  <c r="BS5" i="13" s="1"/>
  <c r="BT24" i="15" s="1"/>
  <c r="CD20" i="29"/>
  <c r="CD21" i="29"/>
  <c r="CD5" i="13" s="1"/>
  <c r="CE24" i="15" s="1"/>
  <c r="CG20" i="29"/>
  <c r="CG21" i="29"/>
  <c r="CG5" i="13" s="1"/>
  <c r="CH24" i="15" s="1"/>
  <c r="BH27" i="29"/>
  <c r="BH18" i="13"/>
  <c r="AB20" i="29"/>
  <c r="AB21" i="29"/>
  <c r="AB5" i="13" s="1"/>
  <c r="AC24" i="15" s="1"/>
  <c r="Z20" i="29"/>
  <c r="Z21" i="29"/>
  <c r="Z5" i="13" s="1"/>
  <c r="AA24" i="15" s="1"/>
  <c r="CN20" i="29"/>
  <c r="CN21" i="29"/>
  <c r="CN5" i="13" s="1"/>
  <c r="CO24" i="15" s="1"/>
  <c r="BV20" i="29"/>
  <c r="BV21" i="29"/>
  <c r="BV5" i="13" s="1"/>
  <c r="BW24" i="15" s="1"/>
  <c r="BE20" i="29"/>
  <c r="BE21" i="29"/>
  <c r="BE5" i="13" s="1"/>
  <c r="BF24" i="15" s="1"/>
  <c r="AX20" i="29"/>
  <c r="AX21" i="29"/>
  <c r="AX5" i="13" s="1"/>
  <c r="AY24" i="15" s="1"/>
  <c r="BK20" i="29"/>
  <c r="BK21" i="29"/>
  <c r="BK5" i="13" s="1"/>
  <c r="BL24" i="15" s="1"/>
  <c r="AP20" i="29"/>
  <c r="AP21" i="29"/>
  <c r="AP5" i="13" s="1"/>
  <c r="AQ24" i="15" s="1"/>
  <c r="BA20" i="29"/>
  <c r="BA21" i="29"/>
  <c r="BA5" i="13" s="1"/>
  <c r="BB24" i="15" s="1"/>
  <c r="CM20" i="29"/>
  <c r="CM21" i="29"/>
  <c r="CM5" i="13" s="1"/>
  <c r="CN24" i="15" s="1"/>
  <c r="AJ20" i="29"/>
  <c r="AJ21" i="29"/>
  <c r="AJ5" i="13" s="1"/>
  <c r="AK24" i="15" s="1"/>
  <c r="CJ20" i="29"/>
  <c r="CJ21" i="29"/>
  <c r="CJ5" i="13" s="1"/>
  <c r="CK24" i="15" s="1"/>
  <c r="BU20" i="29"/>
  <c r="BU21" i="29"/>
  <c r="BU5" i="13" s="1"/>
  <c r="BV24" i="15" s="1"/>
  <c r="AZ20" i="29"/>
  <c r="AZ21" i="29"/>
  <c r="AZ5" i="13" s="1"/>
  <c r="BA24" i="15" s="1"/>
  <c r="CO20" i="29"/>
  <c r="CO21" i="29"/>
  <c r="CO5" i="13" s="1"/>
  <c r="CP24" i="15" s="1"/>
  <c r="CC20" i="29"/>
  <c r="CC21" i="29"/>
  <c r="CC5" i="13" s="1"/>
  <c r="CD24" i="15" s="1"/>
  <c r="CH20" i="29"/>
  <c r="CH21" i="29"/>
  <c r="CH5" i="13" s="1"/>
  <c r="CI24" i="15" s="1"/>
  <c r="BR27" i="29"/>
  <c r="BR18" i="13"/>
  <c r="AN27" i="29"/>
  <c r="AN18" i="13"/>
  <c r="BN20" i="29"/>
  <c r="BN21" i="29"/>
  <c r="BN5" i="13" s="1"/>
  <c r="BO24" i="15" s="1"/>
  <c r="BI20" i="29"/>
  <c r="BI21" i="29"/>
  <c r="BI5" i="13" s="1"/>
  <c r="BJ24" i="15" s="1"/>
  <c r="CP20" i="29"/>
  <c r="CP21" i="29"/>
  <c r="CP5" i="13" s="1"/>
  <c r="CQ24" i="15" s="1"/>
  <c r="AQ20" i="29"/>
  <c r="AQ21" i="29"/>
  <c r="AQ5" i="13" s="1"/>
  <c r="AR24" i="15" s="1"/>
  <c r="W20" i="29"/>
  <c r="W21" i="29"/>
  <c r="W5" i="13" s="1"/>
  <c r="X24" i="15" s="1"/>
  <c r="BB20" i="29"/>
  <c r="BB21" i="29"/>
  <c r="BB5" i="13" s="1"/>
  <c r="BC24" i="15" s="1"/>
  <c r="BL20" i="29"/>
  <c r="BL21" i="29"/>
  <c r="BL5" i="13" s="1"/>
  <c r="BM24" i="15" s="1"/>
  <c r="BM20" i="29"/>
  <c r="BM21" i="29"/>
  <c r="BM5" i="13" s="1"/>
  <c r="BN24" i="15" s="1"/>
  <c r="CR20" i="29"/>
  <c r="CR21" i="29"/>
  <c r="CR5" i="13" s="1"/>
  <c r="CS24" i="15" s="1"/>
  <c r="BF20" i="29"/>
  <c r="BF21" i="29"/>
  <c r="BF5" i="13" s="1"/>
  <c r="BG24" i="15" s="1"/>
  <c r="AV20" i="29"/>
  <c r="AV21" i="29"/>
  <c r="AV5" i="13" s="1"/>
  <c r="AW24" i="15" s="1"/>
  <c r="AR20" i="29"/>
  <c r="AR21" i="29"/>
  <c r="AR5" i="13" s="1"/>
  <c r="AS24" i="15" s="1"/>
  <c r="AS20" i="29"/>
  <c r="AS21" i="29"/>
  <c r="AS5" i="13" s="1"/>
  <c r="AT24" i="15" s="1"/>
  <c r="CQ20" i="29"/>
  <c r="CQ21" i="29"/>
  <c r="CQ5" i="13" s="1"/>
  <c r="CR24" i="15" s="1"/>
  <c r="AH20" i="29"/>
  <c r="AH21" i="29"/>
  <c r="AH5" i="13" s="1"/>
  <c r="AI24" i="15" s="1"/>
  <c r="CK20" i="29"/>
  <c r="CK21" i="29"/>
  <c r="CK5" i="13" s="1"/>
  <c r="CL24" i="15" s="1"/>
  <c r="CI20" i="29"/>
  <c r="CI21" i="29"/>
  <c r="CI5" i="13" s="1"/>
  <c r="CJ24" i="15" s="1"/>
  <c r="BP27" i="29"/>
  <c r="BP18" i="13"/>
  <c r="AC27" i="29"/>
  <c r="AC18" i="13"/>
  <c r="AF20" i="29"/>
  <c r="AF21" i="29"/>
  <c r="AF5" i="13" s="1"/>
  <c r="AG24" i="15" s="1"/>
  <c r="BD20" i="29"/>
  <c r="BD21" i="29"/>
  <c r="BD5" i="13" s="1"/>
  <c r="BE24" i="15" s="1"/>
  <c r="AL20" i="29"/>
  <c r="AL21" i="29"/>
  <c r="AL5" i="13" s="1"/>
  <c r="AM24" i="15" s="1"/>
  <c r="BC20" i="29"/>
  <c r="BC21" i="29"/>
  <c r="BC5" i="13" s="1"/>
  <c r="BD24" i="15" s="1"/>
  <c r="AI20" i="29"/>
  <c r="AI21" i="29"/>
  <c r="AI5" i="13" s="1"/>
  <c r="AJ24" i="15" s="1"/>
  <c r="BJ20" i="29"/>
  <c r="BJ21" i="29"/>
  <c r="BJ5" i="13" s="1"/>
  <c r="BK24" i="15" s="1"/>
  <c r="CF20" i="29"/>
  <c r="CF21" i="29"/>
  <c r="CF5" i="13" s="1"/>
  <c r="CG24" i="15" s="1"/>
  <c r="BG20" i="29"/>
  <c r="BG21" i="29"/>
  <c r="BG5" i="13" s="1"/>
  <c r="BH24" i="15" s="1"/>
  <c r="BT20" i="29"/>
  <c r="BT21" i="29"/>
  <c r="BT5" i="13" s="1"/>
  <c r="BU24" i="15" s="1"/>
  <c r="AW20" i="29"/>
  <c r="AW21" i="29"/>
  <c r="AW5" i="13" s="1"/>
  <c r="AX24" i="15" s="1"/>
  <c r="BX20" i="29"/>
  <c r="BX21" i="29"/>
  <c r="BX5" i="13" s="1"/>
  <c r="BY24" i="15" s="1"/>
  <c r="AD20" i="29"/>
  <c r="AD21" i="29"/>
  <c r="AD5" i="13" s="1"/>
  <c r="AE24" i="15" s="1"/>
  <c r="BQ20" i="29"/>
  <c r="BQ21" i="29"/>
  <c r="BQ5" i="13" s="1"/>
  <c r="BR24" i="15" s="1"/>
  <c r="CA20" i="29"/>
  <c r="CA21" i="29"/>
  <c r="CA5" i="13" s="1"/>
  <c r="CB24" i="15" s="1"/>
  <c r="BZ20" i="29"/>
  <c r="BZ21" i="29"/>
  <c r="BZ5" i="13" s="1"/>
  <c r="CA24" i="15" s="1"/>
  <c r="CL20" i="29"/>
  <c r="CL21" i="29"/>
  <c r="CL5" i="13" s="1"/>
  <c r="CM24" i="15" s="1"/>
  <c r="CB20" i="29"/>
  <c r="CB21" i="29"/>
  <c r="CB5" i="13" s="1"/>
  <c r="CC24" i="15" s="1"/>
  <c r="BW20" i="29"/>
  <c r="BW21" i="29"/>
  <c r="BW5" i="13" s="1"/>
  <c r="BX24" i="15" s="1"/>
  <c r="CT7" i="27"/>
  <c r="CQ42" i="3"/>
  <c r="CT22" i="27"/>
  <c r="CS44" i="29" s="1"/>
  <c r="BD12" i="9"/>
  <c r="BD19" i="9" s="1"/>
  <c r="BG9" i="15" s="1"/>
  <c r="BG13" i="15" s="1"/>
  <c r="CC12" i="9"/>
  <c r="CC19" i="9" s="1"/>
  <c r="BL12" i="9"/>
  <c r="BL19" i="9" s="1"/>
  <c r="BO9" i="15" s="1"/>
  <c r="BO13" i="15" s="1"/>
  <c r="DO12" i="9"/>
  <c r="DO19" i="9" s="1"/>
  <c r="DR9" i="15" s="1"/>
  <c r="DR13" i="15" s="1"/>
  <c r="BP12" i="9"/>
  <c r="BP19" i="9" s="1"/>
  <c r="BS9" i="15" s="1"/>
  <c r="BS13" i="15" s="1"/>
  <c r="AQ12" i="9"/>
  <c r="AQ19" i="9" s="1"/>
  <c r="AT9" i="15" s="1"/>
  <c r="AT13" i="15" s="1"/>
  <c r="DL12" i="9"/>
  <c r="DL19" i="9" s="1"/>
  <c r="DO9" i="15" s="1"/>
  <c r="DO13" i="15" s="1"/>
  <c r="DU12" i="9"/>
  <c r="DU19" i="9" s="1"/>
  <c r="DX9" i="15" s="1"/>
  <c r="DX13" i="15" s="1"/>
  <c r="DT12" i="9"/>
  <c r="DT19" i="9" s="1"/>
  <c r="DW9" i="15" s="1"/>
  <c r="DW13" i="15" s="1"/>
  <c r="M14" i="14"/>
  <c r="AL12" i="9"/>
  <c r="AL19" i="9" s="1"/>
  <c r="AO9" i="15" s="1"/>
  <c r="AO13" i="15" s="1"/>
  <c r="BZ12" i="9"/>
  <c r="BZ19" i="9" s="1"/>
  <c r="CC9" i="15" s="1"/>
  <c r="CC13" i="15" s="1"/>
  <c r="CC14" i="15" s="1"/>
  <c r="S10" i="7"/>
  <c r="V18" i="13" s="1"/>
  <c r="D6" i="7"/>
  <c r="DF12" i="9"/>
  <c r="DF19" i="9" s="1"/>
  <c r="DI9" i="15" s="1"/>
  <c r="DI13" i="15" s="1"/>
  <c r="DQ12" i="9"/>
  <c r="DQ19" i="9" s="1"/>
  <c r="DT9" i="15" s="1"/>
  <c r="DT13" i="15" s="1"/>
  <c r="AP12" i="9"/>
  <c r="AP19" i="9" s="1"/>
  <c r="AS9" i="15" s="1"/>
  <c r="AS13" i="15" s="1"/>
  <c r="AS14" i="15" s="1"/>
  <c r="CL12" i="9"/>
  <c r="CL19" i="9" s="1"/>
  <c r="CO9" i="15" s="1"/>
  <c r="CO13" i="15" s="1"/>
  <c r="DB12" i="9"/>
  <c r="DB19" i="9" s="1"/>
  <c r="DE9" i="15" s="1"/>
  <c r="DE13" i="15" s="1"/>
  <c r="P14" i="14"/>
  <c r="CR12" i="9"/>
  <c r="CR19" i="9" s="1"/>
  <c r="CU9" i="15" s="1"/>
  <c r="CU13" i="15" s="1"/>
  <c r="CB8" i="29"/>
  <c r="AJ12" i="9"/>
  <c r="AJ19" i="9" s="1"/>
  <c r="AM9" i="15" s="1"/>
  <c r="AM13" i="15" s="1"/>
  <c r="DP12" i="9"/>
  <c r="DP19" i="9" s="1"/>
  <c r="DS9" i="15" s="1"/>
  <c r="DS13" i="15" s="1"/>
  <c r="DS12" i="9"/>
  <c r="DS19" i="9" s="1"/>
  <c r="DV9" i="15" s="1"/>
  <c r="DV13" i="15" s="1"/>
  <c r="AR8" i="29"/>
  <c r="AV23" i="26"/>
  <c r="AV24" i="26" s="1"/>
  <c r="AV33" i="26"/>
  <c r="BH33" i="26"/>
  <c r="BH23" i="26"/>
  <c r="BH24" i="26" s="1"/>
  <c r="DQ23" i="26"/>
  <c r="DQ24" i="26" s="1"/>
  <c r="DQ33" i="26"/>
  <c r="AW23" i="26"/>
  <c r="AW24" i="26" s="1"/>
  <c r="AW33" i="26"/>
  <c r="Y23" i="26"/>
  <c r="Y24" i="26" s="1"/>
  <c r="Y33" i="26"/>
  <c r="Y47" i="26" s="1"/>
  <c r="AH23" i="26"/>
  <c r="AH24" i="26" s="1"/>
  <c r="AH33" i="26"/>
  <c r="AH47" i="26" s="1"/>
  <c r="CN33" i="26"/>
  <c r="CN23" i="26"/>
  <c r="CN24" i="26" s="1"/>
  <c r="AB33" i="26"/>
  <c r="AB47" i="26" s="1"/>
  <c r="AB23" i="26"/>
  <c r="AB24" i="26" s="1"/>
  <c r="CB23" i="26"/>
  <c r="CB24" i="26" s="1"/>
  <c r="CB33" i="26"/>
  <c r="CB47" i="26" s="1"/>
  <c r="DE33" i="26"/>
  <c r="DE23" i="26"/>
  <c r="DE24" i="26" s="1"/>
  <c r="AY33" i="26"/>
  <c r="AY23" i="26"/>
  <c r="AY24" i="26" s="1"/>
  <c r="AD33" i="26"/>
  <c r="AD47" i="26" s="1"/>
  <c r="AD23" i="26"/>
  <c r="AD24" i="26" s="1"/>
  <c r="DS33" i="26"/>
  <c r="DS23" i="26"/>
  <c r="DS24" i="26" s="1"/>
  <c r="CX33" i="26"/>
  <c r="CX23" i="26"/>
  <c r="CX24" i="26" s="1"/>
  <c r="BA33" i="26"/>
  <c r="BA23" i="26"/>
  <c r="BA24" i="26" s="1"/>
  <c r="BR33" i="26"/>
  <c r="BR23" i="26"/>
  <c r="BR24" i="26" s="1"/>
  <c r="DP23" i="26"/>
  <c r="DP24" i="26" s="1"/>
  <c r="DP33" i="26"/>
  <c r="AR33" i="26"/>
  <c r="AR47" i="26" s="1"/>
  <c r="AR23" i="26"/>
  <c r="AR24" i="26" s="1"/>
  <c r="CV33" i="26"/>
  <c r="CV23" i="26"/>
  <c r="CV24" i="26" s="1"/>
  <c r="CJ23" i="26"/>
  <c r="CJ24" i="26" s="1"/>
  <c r="CJ33" i="26"/>
  <c r="AZ33" i="26"/>
  <c r="AZ23" i="26"/>
  <c r="AZ24" i="26" s="1"/>
  <c r="CT23" i="26"/>
  <c r="CT24" i="26" s="1"/>
  <c r="CT33" i="26"/>
  <c r="CK23" i="26"/>
  <c r="CK24" i="26" s="1"/>
  <c r="CK33" i="26"/>
  <c r="CF33" i="26"/>
  <c r="CF23" i="26"/>
  <c r="CF24" i="26" s="1"/>
  <c r="BW33" i="26"/>
  <c r="BW23" i="26"/>
  <c r="BW24" i="26" s="1"/>
  <c r="AU23" i="26"/>
  <c r="AU24" i="26" s="1"/>
  <c r="AU33" i="26"/>
  <c r="DR23" i="26"/>
  <c r="DR24" i="26" s="1"/>
  <c r="DR33" i="26"/>
  <c r="CS23" i="26"/>
  <c r="CS24" i="26" s="1"/>
  <c r="CS33" i="26"/>
  <c r="AP23" i="26"/>
  <c r="AP24" i="26" s="1"/>
  <c r="AP33" i="26"/>
  <c r="AP47" i="26" s="1"/>
  <c r="CH33" i="26"/>
  <c r="CH23" i="26"/>
  <c r="CH24" i="26" s="1"/>
  <c r="AM23" i="26"/>
  <c r="AM24" i="26" s="1"/>
  <c r="AM33" i="26"/>
  <c r="AM47" i="26" s="1"/>
  <c r="DN33" i="26"/>
  <c r="DN23" i="26"/>
  <c r="DN24" i="26" s="1"/>
  <c r="DI23" i="26"/>
  <c r="DI24" i="26" s="1"/>
  <c r="DI33" i="26"/>
  <c r="DA23" i="26"/>
  <c r="DA24" i="26" s="1"/>
  <c r="DA33" i="26"/>
  <c r="AS33" i="26"/>
  <c r="AS23" i="26"/>
  <c r="AS24" i="26" s="1"/>
  <c r="CZ23" i="26"/>
  <c r="CZ24" i="26" s="1"/>
  <c r="CZ33" i="26"/>
  <c r="DT33" i="26"/>
  <c r="DT23" i="26"/>
  <c r="DT24" i="26" s="1"/>
  <c r="CP33" i="26"/>
  <c r="CP23" i="26"/>
  <c r="CP24" i="26" s="1"/>
  <c r="AN23" i="26"/>
  <c r="AN24" i="26" s="1"/>
  <c r="AN33" i="26"/>
  <c r="AN47" i="26" s="1"/>
  <c r="BB33" i="26"/>
  <c r="BB23" i="26"/>
  <c r="BB24" i="26" s="1"/>
  <c r="Z23" i="26"/>
  <c r="Z24" i="26" s="1"/>
  <c r="Z33" i="26"/>
  <c r="Z47" i="26" s="1"/>
  <c r="BL23" i="26"/>
  <c r="BL24" i="26" s="1"/>
  <c r="BL33" i="26"/>
  <c r="DC33" i="26"/>
  <c r="DC23" i="26"/>
  <c r="DC24" i="26" s="1"/>
  <c r="CO33" i="26"/>
  <c r="CO23" i="26"/>
  <c r="CO24" i="26" s="1"/>
  <c r="DK33" i="26"/>
  <c r="DK23" i="26"/>
  <c r="DK24" i="26" s="1"/>
  <c r="BN23" i="26"/>
  <c r="BN24" i="26" s="1"/>
  <c r="BN33" i="26"/>
  <c r="CI23" i="26"/>
  <c r="CI24" i="26" s="1"/>
  <c r="CI33" i="26"/>
  <c r="DL33" i="26"/>
  <c r="DL47" i="26" s="1"/>
  <c r="DL23" i="26"/>
  <c r="DL24" i="26" s="1"/>
  <c r="AK33" i="26"/>
  <c r="AK47" i="26" s="1"/>
  <c r="AK23" i="26"/>
  <c r="AK24" i="26" s="1"/>
  <c r="CL23" i="26"/>
  <c r="CL24" i="26" s="1"/>
  <c r="CL33" i="26"/>
  <c r="BS23" i="26"/>
  <c r="BS24" i="26" s="1"/>
  <c r="BS33" i="26"/>
  <c r="BX33" i="26"/>
  <c r="BX23" i="26"/>
  <c r="BX24" i="26" s="1"/>
  <c r="BO33" i="26"/>
  <c r="BO23" i="26"/>
  <c r="BO24" i="26" s="1"/>
  <c r="BJ33" i="26"/>
  <c r="BJ23" i="26"/>
  <c r="BJ24" i="26" s="1"/>
  <c r="CY23" i="26"/>
  <c r="CY24" i="26" s="1"/>
  <c r="CY33" i="26"/>
  <c r="CM33" i="26"/>
  <c r="CM23" i="26"/>
  <c r="CM24" i="26" s="1"/>
  <c r="CU33" i="26"/>
  <c r="CU23" i="26"/>
  <c r="CU24" i="26" s="1"/>
  <c r="DM33" i="26"/>
  <c r="DM23" i="26"/>
  <c r="DM24" i="26" s="1"/>
  <c r="X23" i="26"/>
  <c r="X24" i="26" s="1"/>
  <c r="X33" i="26"/>
  <c r="X47" i="26" s="1"/>
  <c r="BQ33" i="26"/>
  <c r="BQ23" i="26"/>
  <c r="BQ24" i="26" s="1"/>
  <c r="AQ33" i="26"/>
  <c r="AQ23" i="26"/>
  <c r="AQ24" i="26" s="1"/>
  <c r="AL33" i="26"/>
  <c r="AL47" i="26" s="1"/>
  <c r="AL23" i="26"/>
  <c r="AL24" i="26" s="1"/>
  <c r="BV23" i="26"/>
  <c r="BV24" i="26" s="1"/>
  <c r="BV33" i="26"/>
  <c r="BK23" i="26"/>
  <c r="BK24" i="26" s="1"/>
  <c r="BK33" i="26"/>
  <c r="BD23" i="26"/>
  <c r="BD24" i="26" s="1"/>
  <c r="BD33" i="26"/>
  <c r="BE23" i="26"/>
  <c r="BE24" i="26" s="1"/>
  <c r="BE33" i="26"/>
  <c r="BU23" i="26"/>
  <c r="BU24" i="26" s="1"/>
  <c r="BU33" i="26"/>
  <c r="CR23" i="26"/>
  <c r="CR24" i="26" s="1"/>
  <c r="CR33" i="26"/>
  <c r="DB23" i="26"/>
  <c r="DB24" i="26" s="1"/>
  <c r="DB33" i="26"/>
  <c r="DH23" i="26"/>
  <c r="DH24" i="26" s="1"/>
  <c r="DH33" i="26"/>
  <c r="AT33" i="26"/>
  <c r="AT23" i="26"/>
  <c r="AT24" i="26" s="1"/>
  <c r="DF33" i="26"/>
  <c r="DF23" i="26"/>
  <c r="DF24" i="26" s="1"/>
  <c r="AG23" i="26"/>
  <c r="AG24" i="26" s="1"/>
  <c r="AG33" i="26"/>
  <c r="AG47" i="26" s="1"/>
  <c r="BT23" i="26"/>
  <c r="BT24" i="26" s="1"/>
  <c r="BT33" i="26"/>
  <c r="DO23" i="26"/>
  <c r="DO24" i="26" s="1"/>
  <c r="DO33" i="26"/>
  <c r="CE33" i="26"/>
  <c r="CE23" i="26"/>
  <c r="CE24" i="26" s="1"/>
  <c r="CA23" i="26"/>
  <c r="CA24" i="26" s="1"/>
  <c r="CA33" i="26"/>
  <c r="AX23" i="26"/>
  <c r="AX24" i="26" s="1"/>
  <c r="AX33" i="26"/>
  <c r="CQ23" i="26"/>
  <c r="CQ24" i="26" s="1"/>
  <c r="CQ33" i="26"/>
  <c r="BI33" i="26"/>
  <c r="BI23" i="26"/>
  <c r="BI24" i="26" s="1"/>
  <c r="AO23" i="26"/>
  <c r="AO24" i="26" s="1"/>
  <c r="AO33" i="26"/>
  <c r="AO47" i="26" s="1"/>
  <c r="BZ33" i="26"/>
  <c r="BZ23" i="26"/>
  <c r="BZ24" i="26" s="1"/>
  <c r="BY33" i="26"/>
  <c r="BY23" i="26"/>
  <c r="BY24" i="26" s="1"/>
  <c r="CC23" i="26"/>
  <c r="CC24" i="26" s="1"/>
  <c r="CC33" i="26"/>
  <c r="AA33" i="26"/>
  <c r="AA47" i="26" s="1"/>
  <c r="AA23" i="26"/>
  <c r="AA24" i="26" s="1"/>
  <c r="DD33" i="26"/>
  <c r="DD23" i="26"/>
  <c r="DD24" i="26" s="1"/>
  <c r="CD23" i="26"/>
  <c r="CD24" i="26" s="1"/>
  <c r="CD33" i="26"/>
  <c r="DU33" i="26"/>
  <c r="DU23" i="26"/>
  <c r="DU24" i="26" s="1"/>
  <c r="BF23" i="26"/>
  <c r="BF24" i="26" s="1"/>
  <c r="BF33" i="26"/>
  <c r="BC23" i="26"/>
  <c r="BC24" i="26" s="1"/>
  <c r="BC33" i="26"/>
  <c r="BM23" i="26"/>
  <c r="BM24" i="26" s="1"/>
  <c r="BM33" i="26"/>
  <c r="AC33" i="26"/>
  <c r="AC47" i="26" s="1"/>
  <c r="AC23" i="26"/>
  <c r="AC24" i="26" s="1"/>
  <c r="DJ23" i="26"/>
  <c r="DJ24" i="26" s="1"/>
  <c r="DJ33" i="26"/>
  <c r="DG23" i="26"/>
  <c r="DG24" i="26" s="1"/>
  <c r="DG33" i="26"/>
  <c r="BG33" i="26"/>
  <c r="BG23" i="26"/>
  <c r="BG24" i="26" s="1"/>
  <c r="CW33" i="26"/>
  <c r="CW23" i="26"/>
  <c r="CW24" i="26" s="1"/>
  <c r="CG33" i="26"/>
  <c r="CG23" i="26"/>
  <c r="CG24" i="26" s="1"/>
  <c r="BP33" i="26"/>
  <c r="BP23" i="26"/>
  <c r="BP24" i="26" s="1"/>
  <c r="DV33" i="26"/>
  <c r="DV23" i="26"/>
  <c r="DV24" i="26" s="1"/>
  <c r="AJ33" i="26"/>
  <c r="AJ47" i="26" s="1"/>
  <c r="AJ23" i="26"/>
  <c r="AJ24" i="26" s="1"/>
  <c r="AI33" i="26"/>
  <c r="AI47" i="26" s="1"/>
  <c r="AI23" i="26"/>
  <c r="AI24" i="26" s="1"/>
  <c r="BV12" i="9"/>
  <c r="BV19" i="9" s="1"/>
  <c r="BY9" i="15" s="1"/>
  <c r="BY13" i="15" s="1"/>
  <c r="AA12" i="9"/>
  <c r="AA19" i="9" s="1"/>
  <c r="AD9" i="15" s="1"/>
  <c r="AD13" i="15" s="1"/>
  <c r="DD12" i="9"/>
  <c r="DD19" i="9" s="1"/>
  <c r="DG9" i="15" s="1"/>
  <c r="DG13" i="15" s="1"/>
  <c r="G16" i="13"/>
  <c r="I14" i="14"/>
  <c r="G14" i="14" s="1"/>
  <c r="AD12" i="9"/>
  <c r="AD19" i="9" s="1"/>
  <c r="AG9" i="15" s="1"/>
  <c r="AG13" i="15" s="1"/>
  <c r="AW12" i="9"/>
  <c r="AW19" i="9" s="1"/>
  <c r="AZ9" i="15" s="1"/>
  <c r="AZ13" i="15" s="1"/>
  <c r="CN12" i="9"/>
  <c r="CN19" i="9" s="1"/>
  <c r="CQ9" i="15" s="1"/>
  <c r="CQ13" i="15" s="1"/>
  <c r="BI12" i="9"/>
  <c r="BI19" i="9" s="1"/>
  <c r="BL9" i="15" s="1"/>
  <c r="BL13" i="15" s="1"/>
  <c r="CW12" i="9"/>
  <c r="CW19" i="9" s="1"/>
  <c r="CZ9" i="15" s="1"/>
  <c r="CZ13" i="15" s="1"/>
  <c r="U12" i="9"/>
  <c r="U19" i="9" s="1"/>
  <c r="X9" i="15" s="1"/>
  <c r="X13" i="15" s="1"/>
  <c r="BT12" i="9"/>
  <c r="BT19" i="9" s="1"/>
  <c r="BW9" i="15" s="1"/>
  <c r="BW13" i="15" s="1"/>
  <c r="CH12" i="9"/>
  <c r="CH19" i="9" s="1"/>
  <c r="CK9" i="15" s="1"/>
  <c r="CK13" i="15" s="1"/>
  <c r="CI12" i="9"/>
  <c r="CI19" i="9" s="1"/>
  <c r="CL9" i="15" s="1"/>
  <c r="CL13" i="15" s="1"/>
  <c r="CJ12" i="9"/>
  <c r="CJ19" i="9" s="1"/>
  <c r="CM9" i="15" s="1"/>
  <c r="CM13" i="15" s="1"/>
  <c r="AX12" i="9"/>
  <c r="AX19" i="9" s="1"/>
  <c r="BA9" i="15" s="1"/>
  <c r="BA13" i="15" s="1"/>
  <c r="BU12" i="9"/>
  <c r="BU19" i="9" s="1"/>
  <c r="BX9" i="15" s="1"/>
  <c r="BX13" i="15" s="1"/>
  <c r="DE12" i="9"/>
  <c r="DE19" i="9" s="1"/>
  <c r="DH9" i="15" s="1"/>
  <c r="DH13" i="15" s="1"/>
  <c r="BX12" i="9"/>
  <c r="BX19" i="9" s="1"/>
  <c r="CA9" i="15" s="1"/>
  <c r="CA13" i="15" s="1"/>
  <c r="BQ12" i="9"/>
  <c r="BQ19" i="9" s="1"/>
  <c r="BT9" i="15" s="1"/>
  <c r="BT13" i="15" s="1"/>
  <c r="DH12" i="9"/>
  <c r="DH19" i="9" s="1"/>
  <c r="DK9" i="15" s="1"/>
  <c r="DK13" i="15" s="1"/>
  <c r="AE12" i="9"/>
  <c r="AE19" i="9" s="1"/>
  <c r="AH9" i="15" s="1"/>
  <c r="AH13" i="15" s="1"/>
  <c r="AG12" i="9"/>
  <c r="AG19" i="9" s="1"/>
  <c r="AJ9" i="15" s="1"/>
  <c r="AJ13" i="15" s="1"/>
  <c r="BE12" i="9"/>
  <c r="BE19" i="9" s="1"/>
  <c r="BH9" i="15" s="1"/>
  <c r="BH13" i="15" s="1"/>
  <c r="CP12" i="9"/>
  <c r="CP19" i="9" s="1"/>
  <c r="CS9" i="15" s="1"/>
  <c r="CS13" i="15" s="1"/>
  <c r="DR12" i="9"/>
  <c r="DR19" i="9" s="1"/>
  <c r="DU9" i="15" s="1"/>
  <c r="DU13" i="15" s="1"/>
  <c r="BH12" i="9"/>
  <c r="BH19" i="9" s="1"/>
  <c r="BK9" i="15" s="1"/>
  <c r="BK13" i="15" s="1"/>
  <c r="BK12" i="9"/>
  <c r="BK19" i="9" s="1"/>
  <c r="BN9" i="15" s="1"/>
  <c r="BN13" i="15" s="1"/>
  <c r="AB12" i="9"/>
  <c r="AB19" i="9" s="1"/>
  <c r="AE9" i="15" s="1"/>
  <c r="AE13" i="15" s="1"/>
  <c r="CA12" i="9"/>
  <c r="CA19" i="9" s="1"/>
  <c r="CD9" i="15" s="1"/>
  <c r="CD13" i="15" s="1"/>
  <c r="AY12" i="9"/>
  <c r="AY19" i="9" s="1"/>
  <c r="BB9" i="15" s="1"/>
  <c r="BB13" i="15" s="1"/>
  <c r="BW12" i="9"/>
  <c r="BW19" i="9" s="1"/>
  <c r="BZ9" i="15" s="1"/>
  <c r="BZ13" i="15" s="1"/>
  <c r="CB12" i="9"/>
  <c r="CB19" i="9" s="1"/>
  <c r="CE9" i="15" s="1"/>
  <c r="CE13" i="15" s="1"/>
  <c r="DI12" i="9"/>
  <c r="DI19" i="9" s="1"/>
  <c r="DL9" i="15" s="1"/>
  <c r="DL13" i="15" s="1"/>
  <c r="DC12" i="9"/>
  <c r="DC19" i="9" s="1"/>
  <c r="DF9" i="15" s="1"/>
  <c r="DF13" i="15" s="1"/>
  <c r="CV12" i="9"/>
  <c r="CV19" i="9" s="1"/>
  <c r="CY9" i="15" s="1"/>
  <c r="CY13" i="15" s="1"/>
  <c r="CG12" i="9"/>
  <c r="CG19" i="9" s="1"/>
  <c r="CJ9" i="15" s="1"/>
  <c r="CJ13" i="15" s="1"/>
  <c r="AU12" i="9"/>
  <c r="AU19" i="9" s="1"/>
  <c r="AX9" i="15" s="1"/>
  <c r="AX13" i="15" s="1"/>
  <c r="W12" i="9"/>
  <c r="W19" i="9" s="1"/>
  <c r="Z9" i="15" s="1"/>
  <c r="Z13" i="15" s="1"/>
  <c r="BM12" i="9"/>
  <c r="BM19" i="9" s="1"/>
  <c r="BP9" i="15" s="1"/>
  <c r="BP13" i="15" s="1"/>
  <c r="AI12" i="9"/>
  <c r="AI19" i="9" s="1"/>
  <c r="AL9" i="15" s="1"/>
  <c r="AL13" i="15" s="1"/>
  <c r="CM12" i="9"/>
  <c r="CM19" i="9" s="1"/>
  <c r="CP9" i="15" s="1"/>
  <c r="CP13" i="15" s="1"/>
  <c r="CE12" i="9"/>
  <c r="CE19" i="9" s="1"/>
  <c r="CH9" i="15" s="1"/>
  <c r="CH13" i="15" s="1"/>
  <c r="DN12" i="9"/>
  <c r="DN19" i="9" s="1"/>
  <c r="DQ9" i="15" s="1"/>
  <c r="DQ13" i="15" s="1"/>
  <c r="BR12" i="9"/>
  <c r="BR19" i="9" s="1"/>
  <c r="BU9" i="15" s="1"/>
  <c r="BU13" i="15" s="1"/>
  <c r="DA12" i="9"/>
  <c r="DA19" i="9" s="1"/>
  <c r="DD9" i="15" s="1"/>
  <c r="DD13" i="15" s="1"/>
  <c r="AZ12" i="9"/>
  <c r="AZ19" i="9" s="1"/>
  <c r="BC9" i="15" s="1"/>
  <c r="BC13" i="15" s="1"/>
  <c r="CD12" i="9"/>
  <c r="CD19" i="9" s="1"/>
  <c r="CG9" i="15" s="1"/>
  <c r="CG13" i="15" s="1"/>
  <c r="AR12" i="9"/>
  <c r="AR19" i="9" s="1"/>
  <c r="AU9" i="15" s="1"/>
  <c r="AU13" i="15" s="1"/>
  <c r="AT12" i="9"/>
  <c r="AT19" i="9" s="1"/>
  <c r="AW9" i="15" s="1"/>
  <c r="AW13" i="15" s="1"/>
  <c r="AF12" i="9"/>
  <c r="AF19" i="9" s="1"/>
  <c r="AI9" i="15" s="1"/>
  <c r="AI13" i="15" s="1"/>
  <c r="BC12" i="9"/>
  <c r="BC19" i="9" s="1"/>
  <c r="BF9" i="15" s="1"/>
  <c r="BF13" i="15" s="1"/>
  <c r="CF12" i="9"/>
  <c r="CF19" i="9" s="1"/>
  <c r="CI9" i="15" s="1"/>
  <c r="CI13" i="15" s="1"/>
  <c r="BG12" i="9"/>
  <c r="BG19" i="9" s="1"/>
  <c r="BJ9" i="15" s="1"/>
  <c r="BJ13" i="15" s="1"/>
  <c r="CQ12" i="9"/>
  <c r="CQ19" i="9" s="1"/>
  <c r="CT9" i="15" s="1"/>
  <c r="CT13" i="15" s="1"/>
  <c r="CX12" i="9"/>
  <c r="CX19" i="9" s="1"/>
  <c r="DA9" i="15" s="1"/>
  <c r="DA13" i="15" s="1"/>
  <c r="CU12" i="9"/>
  <c r="CU19" i="9" s="1"/>
  <c r="CX9" i="15" s="1"/>
  <c r="CX13" i="15" s="1"/>
  <c r="CK12" i="9"/>
  <c r="CK19" i="9" s="1"/>
  <c r="CN9" i="15" s="1"/>
  <c r="CN13" i="15" s="1"/>
  <c r="AC12" i="9"/>
  <c r="AC19" i="9" s="1"/>
  <c r="AF9" i="15" s="1"/>
  <c r="AF13" i="15" s="1"/>
  <c r="V12" i="9"/>
  <c r="V19" i="9" s="1"/>
  <c r="Y9" i="15" s="1"/>
  <c r="Y13" i="15" s="1"/>
  <c r="BB12" i="9"/>
  <c r="BB19" i="9" s="1"/>
  <c r="BE9" i="15" s="1"/>
  <c r="BE13" i="15" s="1"/>
  <c r="BY12" i="9"/>
  <c r="BY19" i="9" s="1"/>
  <c r="CB9" i="15" s="1"/>
  <c r="CB13" i="15" s="1"/>
  <c r="DK12" i="9"/>
  <c r="DK19" i="9" s="1"/>
  <c r="DN9" i="15" s="1"/>
  <c r="DN13" i="15" s="1"/>
  <c r="Z12" i="9"/>
  <c r="Z19" i="9" s="1"/>
  <c r="AC9" i="15" s="1"/>
  <c r="AC13" i="15" s="1"/>
  <c r="BN12" i="9"/>
  <c r="BN19" i="9" s="1"/>
  <c r="BQ9" i="15" s="1"/>
  <c r="BQ13" i="15" s="1"/>
  <c r="Y12" i="9"/>
  <c r="Y19" i="9" s="1"/>
  <c r="AB9" i="15" s="1"/>
  <c r="AB13" i="15" s="1"/>
  <c r="BJ12" i="9"/>
  <c r="BJ19" i="9" s="1"/>
  <c r="BM9" i="15" s="1"/>
  <c r="BM13" i="15" s="1"/>
  <c r="DM12" i="9"/>
  <c r="DM19" i="9" s="1"/>
  <c r="DP9" i="15" s="1"/>
  <c r="DP13" i="15" s="1"/>
  <c r="CO12" i="9"/>
  <c r="CO19" i="9" s="1"/>
  <c r="CR9" i="15" s="1"/>
  <c r="CR13" i="15" s="1"/>
  <c r="BA12" i="9"/>
  <c r="BA19" i="9" s="1"/>
  <c r="BD9" i="15" s="1"/>
  <c r="BD13" i="15" s="1"/>
  <c r="CT12" i="9"/>
  <c r="CT19" i="9" s="1"/>
  <c r="CW9" i="15" s="1"/>
  <c r="CW13" i="15" s="1"/>
  <c r="BF12" i="9"/>
  <c r="BF19" i="9" s="1"/>
  <c r="BI9" i="15" s="1"/>
  <c r="BI13" i="15" s="1"/>
  <c r="CY12" i="9"/>
  <c r="CY19" i="9" s="1"/>
  <c r="DB9" i="15" s="1"/>
  <c r="DB13" i="15" s="1"/>
  <c r="AH12" i="9"/>
  <c r="AH19" i="9" s="1"/>
  <c r="AK9" i="15" s="1"/>
  <c r="AK13" i="15" s="1"/>
  <c r="BS12" i="9"/>
  <c r="BS19" i="9" s="1"/>
  <c r="BV9" i="15" s="1"/>
  <c r="BV13" i="15" s="1"/>
  <c r="CS12" i="9"/>
  <c r="CS19" i="9" s="1"/>
  <c r="CV9" i="15" s="1"/>
  <c r="CV13" i="15" s="1"/>
  <c r="AM12" i="9"/>
  <c r="AM19" i="9" s="1"/>
  <c r="AP9" i="15" s="1"/>
  <c r="AP13" i="15" s="1"/>
  <c r="CZ12" i="9"/>
  <c r="CZ19" i="9" s="1"/>
  <c r="DC9" i="15" s="1"/>
  <c r="DC13" i="15" s="1"/>
  <c r="CF9" i="15"/>
  <c r="CF13" i="15" s="1"/>
  <c r="AN9" i="15"/>
  <c r="AN13" i="15" s="1"/>
  <c r="DM9" i="15"/>
  <c r="DM13" i="15" s="1"/>
  <c r="DM14" i="15" s="1"/>
  <c r="AQ9" i="15"/>
  <c r="AQ13" i="15" s="1"/>
  <c r="DJ9" i="15"/>
  <c r="DJ13" i="15" s="1"/>
  <c r="BR9" i="15"/>
  <c r="BR13" i="15" s="1"/>
  <c r="AY9" i="15"/>
  <c r="AY13" i="15" s="1"/>
  <c r="AA9" i="15"/>
  <c r="AA13" i="15" s="1"/>
  <c r="AR9" i="15"/>
  <c r="AR13" i="15" s="1"/>
  <c r="E6" i="9"/>
  <c r="CL19" i="29" l="1"/>
  <c r="CL33" i="29" s="1"/>
  <c r="CL10" i="13" s="1"/>
  <c r="CL18" i="29"/>
  <c r="CL8" i="29" s="1"/>
  <c r="AD19" i="29"/>
  <c r="AD33" i="29" s="1"/>
  <c r="AD10" i="13" s="1"/>
  <c r="AD18" i="29"/>
  <c r="AD8" i="29" s="1"/>
  <c r="BG19" i="29"/>
  <c r="BG33" i="29" s="1"/>
  <c r="BG10" i="13" s="1"/>
  <c r="BG18" i="29"/>
  <c r="BG8" i="29" s="1"/>
  <c r="BC19" i="29"/>
  <c r="BC33" i="29" s="1"/>
  <c r="BC10" i="13" s="1"/>
  <c r="BC18" i="29"/>
  <c r="BC8" i="29" s="1"/>
  <c r="AC20" i="29"/>
  <c r="AC21" i="29"/>
  <c r="AC5" i="13" s="1"/>
  <c r="AD24" i="15" s="1"/>
  <c r="AH18" i="29"/>
  <c r="AH8" i="29" s="1"/>
  <c r="AH19" i="29"/>
  <c r="AH33" i="29" s="1"/>
  <c r="AH10" i="13" s="1"/>
  <c r="AV18" i="29"/>
  <c r="AV8" i="29" s="1"/>
  <c r="AV19" i="29"/>
  <c r="AV33" i="29" s="1"/>
  <c r="AV10" i="13" s="1"/>
  <c r="BL19" i="29"/>
  <c r="BL33" i="29" s="1"/>
  <c r="BL10" i="13" s="1"/>
  <c r="BL18" i="29"/>
  <c r="BL8" i="29" s="1"/>
  <c r="CP19" i="29"/>
  <c r="CP33" i="29" s="1"/>
  <c r="CP10" i="13" s="1"/>
  <c r="CP18" i="29"/>
  <c r="CP8" i="29" s="1"/>
  <c r="BR20" i="29"/>
  <c r="BR21" i="29"/>
  <c r="BR5" i="13" s="1"/>
  <c r="BS24" i="15" s="1"/>
  <c r="AZ18" i="29"/>
  <c r="AZ8" i="29" s="1"/>
  <c r="AZ19" i="29"/>
  <c r="AZ33" i="29" s="1"/>
  <c r="AZ10" i="13" s="1"/>
  <c r="CM18" i="29"/>
  <c r="CM8" i="29" s="1"/>
  <c r="CM19" i="29"/>
  <c r="CM33" i="29" s="1"/>
  <c r="CM10" i="13" s="1"/>
  <c r="AX19" i="29"/>
  <c r="AX33" i="29" s="1"/>
  <c r="AX10" i="13" s="1"/>
  <c r="AX18" i="29"/>
  <c r="AX8" i="29" s="1"/>
  <c r="Z19" i="29"/>
  <c r="Z33" i="29" s="1"/>
  <c r="Z10" i="13" s="1"/>
  <c r="Z18" i="29"/>
  <c r="Z8" i="29" s="1"/>
  <c r="CD18" i="29"/>
  <c r="CD8" i="29" s="1"/>
  <c r="CD19" i="29"/>
  <c r="CD33" i="29" s="1"/>
  <c r="CD10" i="13" s="1"/>
  <c r="X19" i="29"/>
  <c r="X33" i="29" s="1"/>
  <c r="X10" i="13" s="1"/>
  <c r="X18" i="29"/>
  <c r="X8" i="29" s="1"/>
  <c r="BY18" i="29"/>
  <c r="BY8" i="29" s="1"/>
  <c r="BY19" i="29"/>
  <c r="BY33" i="29" s="1"/>
  <c r="BY10" i="13" s="1"/>
  <c r="BO18" i="29"/>
  <c r="BO8" i="29" s="1"/>
  <c r="BO19" i="29"/>
  <c r="BO33" i="29" s="1"/>
  <c r="BO10" i="13" s="1"/>
  <c r="BZ19" i="29"/>
  <c r="BZ33" i="29" s="1"/>
  <c r="BZ10" i="13" s="1"/>
  <c r="BZ18" i="29"/>
  <c r="BZ8" i="29" s="1"/>
  <c r="BX18" i="29"/>
  <c r="BX8" i="29" s="1"/>
  <c r="BX19" i="29"/>
  <c r="BX33" i="29" s="1"/>
  <c r="BX10" i="13" s="1"/>
  <c r="CF18" i="29"/>
  <c r="CF8" i="29" s="1"/>
  <c r="CF19" i="29"/>
  <c r="CF33" i="29" s="1"/>
  <c r="CF10" i="13" s="1"/>
  <c r="AL18" i="29"/>
  <c r="AL8" i="29" s="1"/>
  <c r="AL19" i="29"/>
  <c r="AL33" i="29" s="1"/>
  <c r="AL10" i="13" s="1"/>
  <c r="BP20" i="29"/>
  <c r="BP21" i="29"/>
  <c r="BP5" i="13" s="1"/>
  <c r="BQ24" i="15" s="1"/>
  <c r="CQ18" i="29"/>
  <c r="CQ8" i="29" s="1"/>
  <c r="CQ19" i="29"/>
  <c r="CQ33" i="29" s="1"/>
  <c r="CQ10" i="13" s="1"/>
  <c r="BF18" i="29"/>
  <c r="BF8" i="29" s="1"/>
  <c r="BF19" i="29"/>
  <c r="BF33" i="29" s="1"/>
  <c r="BF10" i="13" s="1"/>
  <c r="BB19" i="29"/>
  <c r="BB33" i="29" s="1"/>
  <c r="BB10" i="13" s="1"/>
  <c r="BB18" i="29"/>
  <c r="BB8" i="29" s="1"/>
  <c r="BI19" i="29"/>
  <c r="BI33" i="29" s="1"/>
  <c r="BI10" i="13" s="1"/>
  <c r="BI18" i="29"/>
  <c r="BI8" i="29" s="1"/>
  <c r="CH18" i="29"/>
  <c r="CH8" i="29" s="1"/>
  <c r="CH19" i="29"/>
  <c r="CH33" i="29" s="1"/>
  <c r="CH10" i="13" s="1"/>
  <c r="BU18" i="29"/>
  <c r="BU8" i="29" s="1"/>
  <c r="BU19" i="29"/>
  <c r="BU33" i="29" s="1"/>
  <c r="BU10" i="13" s="1"/>
  <c r="BA19" i="29"/>
  <c r="BA33" i="29" s="1"/>
  <c r="BA10" i="13" s="1"/>
  <c r="BA18" i="29"/>
  <c r="BA8" i="29" s="1"/>
  <c r="BE18" i="29"/>
  <c r="BE8" i="29" s="1"/>
  <c r="BE19" i="29"/>
  <c r="BE33" i="29" s="1"/>
  <c r="BE10" i="13" s="1"/>
  <c r="AB18" i="29"/>
  <c r="AB8" i="29" s="1"/>
  <c r="AB19" i="29"/>
  <c r="AB33" i="29" s="1"/>
  <c r="AB10" i="13" s="1"/>
  <c r="BS19" i="29"/>
  <c r="BS33" i="29" s="1"/>
  <c r="BS10" i="13" s="1"/>
  <c r="BS18" i="29"/>
  <c r="BS8" i="29" s="1"/>
  <c r="CE18" i="29"/>
  <c r="CE8" i="29" s="1"/>
  <c r="CE19" i="29"/>
  <c r="CE33" i="29" s="1"/>
  <c r="CE10" i="13" s="1"/>
  <c r="AU19" i="29"/>
  <c r="AU33" i="29" s="1"/>
  <c r="AU10" i="13" s="1"/>
  <c r="AU18" i="29"/>
  <c r="AU8" i="29" s="1"/>
  <c r="Y19" i="29"/>
  <c r="Y33" i="29" s="1"/>
  <c r="Y10" i="13" s="1"/>
  <c r="Y18" i="29"/>
  <c r="Y8" i="29" s="1"/>
  <c r="BW19" i="29"/>
  <c r="BW33" i="29" s="1"/>
  <c r="BW10" i="13" s="1"/>
  <c r="BW18" i="29"/>
  <c r="BW8" i="29" s="1"/>
  <c r="CA19" i="29"/>
  <c r="CA33" i="29" s="1"/>
  <c r="CA10" i="13" s="1"/>
  <c r="CA18" i="29"/>
  <c r="CA8" i="29" s="1"/>
  <c r="AW19" i="29"/>
  <c r="AW33" i="29" s="1"/>
  <c r="AW10" i="13" s="1"/>
  <c r="AW18" i="29"/>
  <c r="AW8" i="29" s="1"/>
  <c r="BJ18" i="29"/>
  <c r="BJ8" i="29" s="1"/>
  <c r="BJ19" i="29"/>
  <c r="BJ33" i="29" s="1"/>
  <c r="BJ10" i="13" s="1"/>
  <c r="BD18" i="29"/>
  <c r="BD8" i="29" s="1"/>
  <c r="BD19" i="29"/>
  <c r="BD33" i="29" s="1"/>
  <c r="BD10" i="13" s="1"/>
  <c r="CI19" i="29"/>
  <c r="CI33" i="29" s="1"/>
  <c r="CI10" i="13" s="1"/>
  <c r="CI18" i="29"/>
  <c r="CI8" i="29" s="1"/>
  <c r="AS19" i="29"/>
  <c r="AS33" i="29" s="1"/>
  <c r="AS10" i="13" s="1"/>
  <c r="AS18" i="29"/>
  <c r="AS8" i="29" s="1"/>
  <c r="CR19" i="29"/>
  <c r="CR33" i="29" s="1"/>
  <c r="CR10" i="13" s="1"/>
  <c r="CR18" i="29"/>
  <c r="CR8" i="29" s="1"/>
  <c r="W19" i="29"/>
  <c r="W33" i="29" s="1"/>
  <c r="W10" i="13" s="1"/>
  <c r="W18" i="29"/>
  <c r="W8" i="29" s="1"/>
  <c r="BN19" i="29"/>
  <c r="BN33" i="29" s="1"/>
  <c r="BN10" i="13" s="1"/>
  <c r="BN18" i="29"/>
  <c r="BN8" i="29" s="1"/>
  <c r="CC19" i="29"/>
  <c r="CC33" i="29" s="1"/>
  <c r="CC10" i="13" s="1"/>
  <c r="CC18" i="29"/>
  <c r="CC8" i="29" s="1"/>
  <c r="CJ19" i="29"/>
  <c r="CJ33" i="29" s="1"/>
  <c r="CJ10" i="13" s="1"/>
  <c r="CJ18" i="29"/>
  <c r="CJ8" i="29" s="1"/>
  <c r="AP18" i="29"/>
  <c r="AP8" i="29" s="1"/>
  <c r="AP19" i="29"/>
  <c r="AP33" i="29" s="1"/>
  <c r="AP10" i="13" s="1"/>
  <c r="BV18" i="29"/>
  <c r="BV8" i="29" s="1"/>
  <c r="BV19" i="29"/>
  <c r="BV33" i="29" s="1"/>
  <c r="BV10" i="13" s="1"/>
  <c r="BH20" i="29"/>
  <c r="BH21" i="29"/>
  <c r="BH5" i="13" s="1"/>
  <c r="BI24" i="15" s="1"/>
  <c r="AK19" i="29"/>
  <c r="AK33" i="29" s="1"/>
  <c r="AK10" i="13" s="1"/>
  <c r="AK18" i="29"/>
  <c r="AK8" i="29" s="1"/>
  <c r="AG18" i="29"/>
  <c r="AG8" i="29" s="1"/>
  <c r="AG19" i="29"/>
  <c r="AG33" i="29" s="1"/>
  <c r="AG10" i="13" s="1"/>
  <c r="AE19" i="29"/>
  <c r="AE33" i="29" s="1"/>
  <c r="AE10" i="13" s="1"/>
  <c r="AE18" i="29"/>
  <c r="AE8" i="29" s="1"/>
  <c r="AT19" i="29"/>
  <c r="AT33" i="29" s="1"/>
  <c r="AT10" i="13" s="1"/>
  <c r="AT18" i="29"/>
  <c r="AT8" i="29" s="1"/>
  <c r="CB19" i="29"/>
  <c r="CB33" i="29" s="1"/>
  <c r="CB10" i="13" s="1"/>
  <c r="CB18" i="29"/>
  <c r="CB35" i="29" s="1"/>
  <c r="CC34" i="29" s="1"/>
  <c r="BQ18" i="29"/>
  <c r="BQ8" i="29" s="1"/>
  <c r="BQ19" i="29"/>
  <c r="BQ33" i="29" s="1"/>
  <c r="BQ10" i="13" s="1"/>
  <c r="BT18" i="29"/>
  <c r="BT8" i="29" s="1"/>
  <c r="BT19" i="29"/>
  <c r="BT33" i="29" s="1"/>
  <c r="BT10" i="13" s="1"/>
  <c r="AI19" i="29"/>
  <c r="AI33" i="29" s="1"/>
  <c r="AI10" i="13" s="1"/>
  <c r="AI18" i="29"/>
  <c r="AI8" i="29" s="1"/>
  <c r="AF19" i="29"/>
  <c r="AF33" i="29" s="1"/>
  <c r="AF10" i="13" s="1"/>
  <c r="AF18" i="29"/>
  <c r="AF8" i="29" s="1"/>
  <c r="CK19" i="29"/>
  <c r="CK33" i="29" s="1"/>
  <c r="CK10" i="13" s="1"/>
  <c r="CK18" i="29"/>
  <c r="CK8" i="29" s="1"/>
  <c r="AR18" i="29"/>
  <c r="AR35" i="29" s="1"/>
  <c r="AS34" i="29" s="1"/>
  <c r="AR19" i="29"/>
  <c r="AR33" i="29" s="1"/>
  <c r="AR10" i="13" s="1"/>
  <c r="BM18" i="29"/>
  <c r="BM8" i="29" s="1"/>
  <c r="BM19" i="29"/>
  <c r="BM33" i="29" s="1"/>
  <c r="BM10" i="13" s="1"/>
  <c r="AQ18" i="29"/>
  <c r="AQ8" i="29" s="1"/>
  <c r="AQ19" i="29"/>
  <c r="AQ33" i="29" s="1"/>
  <c r="AQ10" i="13" s="1"/>
  <c r="AN20" i="29"/>
  <c r="AN21" i="29"/>
  <c r="AN5" i="13" s="1"/>
  <c r="AO24" i="15" s="1"/>
  <c r="CO19" i="29"/>
  <c r="CO33" i="29" s="1"/>
  <c r="CO10" i="13" s="1"/>
  <c r="CO18" i="29"/>
  <c r="CO8" i="29" s="1"/>
  <c r="AJ18" i="29"/>
  <c r="AJ8" i="29" s="1"/>
  <c r="AJ19" i="29"/>
  <c r="AJ33" i="29" s="1"/>
  <c r="AJ10" i="13" s="1"/>
  <c r="BK18" i="29"/>
  <c r="BK8" i="29" s="1"/>
  <c r="BK19" i="29"/>
  <c r="BK33" i="29" s="1"/>
  <c r="BK10" i="13" s="1"/>
  <c r="CN19" i="29"/>
  <c r="CN33" i="29" s="1"/>
  <c r="CN10" i="13" s="1"/>
  <c r="CN18" i="29"/>
  <c r="CN8" i="29" s="1"/>
  <c r="CG19" i="29"/>
  <c r="CG33" i="29" s="1"/>
  <c r="CG10" i="13" s="1"/>
  <c r="CG18" i="29"/>
  <c r="CG8" i="29" s="1"/>
  <c r="AO19" i="29"/>
  <c r="AO33" i="29" s="1"/>
  <c r="AO10" i="13" s="1"/>
  <c r="AO18" i="29"/>
  <c r="AO8" i="29" s="1"/>
  <c r="AY19" i="29"/>
  <c r="AY33" i="29" s="1"/>
  <c r="AY10" i="13" s="1"/>
  <c r="AY18" i="29"/>
  <c r="AY8" i="29" s="1"/>
  <c r="AM18" i="29"/>
  <c r="AM8" i="29" s="1"/>
  <c r="AM19" i="29"/>
  <c r="AM33" i="29" s="1"/>
  <c r="AM10" i="13" s="1"/>
  <c r="AA18" i="29"/>
  <c r="AA8" i="29" s="1"/>
  <c r="AA19" i="29"/>
  <c r="AA33" i="29" s="1"/>
  <c r="AA10" i="13" s="1"/>
  <c r="O3" i="14"/>
  <c r="L3" i="14"/>
  <c r="L4" i="14"/>
  <c r="J4" i="14"/>
  <c r="O4" i="14"/>
  <c r="CP8" i="7"/>
  <c r="CP10" i="7" s="1"/>
  <c r="CT13" i="27"/>
  <c r="CU20" i="27"/>
  <c r="K16" i="14"/>
  <c r="CB49" i="26"/>
  <c r="CB37" i="9"/>
  <c r="CB50" i="9" s="1"/>
  <c r="E18" i="9"/>
  <c r="DL49" i="26"/>
  <c r="AR49" i="26"/>
  <c r="I16" i="14"/>
  <c r="BA37" i="9"/>
  <c r="BA50" i="9" s="1"/>
  <c r="DC37" i="9"/>
  <c r="DC50" i="9" s="1"/>
  <c r="E17" i="9"/>
  <c r="DK37" i="9"/>
  <c r="DK50" i="9" s="1"/>
  <c r="BC37" i="9"/>
  <c r="BC50" i="9" s="1"/>
  <c r="T12" i="9"/>
  <c r="T19" i="9" s="1"/>
  <c r="W9" i="15" s="1"/>
  <c r="W13" i="15" s="1"/>
  <c r="AA49" i="26"/>
  <c r="AK49" i="26"/>
  <c r="AL49" i="26"/>
  <c r="AD49" i="26"/>
  <c r="AB49" i="26"/>
  <c r="AI49" i="26"/>
  <c r="Y49" i="26"/>
  <c r="AH49" i="26"/>
  <c r="AM49" i="26"/>
  <c r="AN49" i="26"/>
  <c r="X49" i="26"/>
  <c r="AJ49" i="26"/>
  <c r="AC49" i="26"/>
  <c r="X37" i="9"/>
  <c r="X50" i="9" s="1"/>
  <c r="AO49" i="26"/>
  <c r="AG49" i="26"/>
  <c r="Z49" i="26"/>
  <c r="AP49" i="26"/>
  <c r="V27" i="29"/>
  <c r="V21" i="29" s="1"/>
  <c r="V5" i="13" s="1"/>
  <c r="W24" i="15" s="1"/>
  <c r="AR42" i="29"/>
  <c r="AE23" i="26"/>
  <c r="V23" i="26"/>
  <c r="V33" i="26"/>
  <c r="V47" i="26" s="1"/>
  <c r="W23" i="26"/>
  <c r="W24" i="26" s="1"/>
  <c r="W33" i="26"/>
  <c r="W47" i="26" s="1"/>
  <c r="AE33" i="26"/>
  <c r="AE47" i="26" s="1"/>
  <c r="AO37" i="9"/>
  <c r="AO50" i="9" s="1"/>
  <c r="Y37" i="9"/>
  <c r="Y50" i="9" s="1"/>
  <c r="N16" i="14"/>
  <c r="P16" i="14"/>
  <c r="AU42" i="29"/>
  <c r="M16" i="14"/>
  <c r="CO37" i="9"/>
  <c r="CO50" i="9" s="1"/>
  <c r="AS15" i="15"/>
  <c r="AS16" i="15" s="1"/>
  <c r="AS17" i="15"/>
  <c r="AS18" i="15" s="1"/>
  <c r="AT14" i="15"/>
  <c r="DU37" i="9"/>
  <c r="DU50" i="9" s="1"/>
  <c r="DF37" i="9"/>
  <c r="DF50" i="9" s="1"/>
  <c r="DM15" i="15"/>
  <c r="DM16" i="15" s="1"/>
  <c r="DM17" i="15"/>
  <c r="DM18" i="15" s="1"/>
  <c r="DN14" i="15"/>
  <c r="J16" i="14"/>
  <c r="AS42" i="29"/>
  <c r="BD37" i="9"/>
  <c r="BD50" i="9" s="1"/>
  <c r="DE37" i="9"/>
  <c r="DE50" i="9" s="1"/>
  <c r="BW37" i="9"/>
  <c r="BW50" i="9" s="1"/>
  <c r="CS37" i="9"/>
  <c r="CS50" i="9" s="1"/>
  <c r="AC37" i="9"/>
  <c r="AC50" i="9" s="1"/>
  <c r="CV37" i="9"/>
  <c r="CV50" i="9" s="1"/>
  <c r="AT42" i="29"/>
  <c r="CP37" i="9"/>
  <c r="CP50" i="9" s="1"/>
  <c r="BG37" i="9"/>
  <c r="BG50" i="9" s="1"/>
  <c r="CC17" i="15"/>
  <c r="CC18" i="15" s="1"/>
  <c r="CC15" i="15"/>
  <c r="CC16" i="15" s="1"/>
  <c r="CD14" i="15"/>
  <c r="Q16" i="14"/>
  <c r="AS31" i="29" l="1"/>
  <c r="AS29" i="29" s="1"/>
  <c r="AS9" i="29" s="1"/>
  <c r="M3" i="14"/>
  <c r="P3" i="14"/>
  <c r="J3" i="14"/>
  <c r="CC31" i="29"/>
  <c r="CC29" i="29" s="1"/>
  <c r="CC9" i="29" s="1"/>
  <c r="BH18" i="29"/>
  <c r="BH8" i="29" s="1"/>
  <c r="BH19" i="29"/>
  <c r="BH33" i="29" s="1"/>
  <c r="BH10" i="13" s="1"/>
  <c r="BP18" i="29"/>
  <c r="BP8" i="29" s="1"/>
  <c r="BP19" i="29"/>
  <c r="BP33" i="29" s="1"/>
  <c r="BP10" i="13" s="1"/>
  <c r="BR18" i="29"/>
  <c r="BR8" i="29" s="1"/>
  <c r="BR19" i="29"/>
  <c r="BR33" i="29" s="1"/>
  <c r="BR10" i="13" s="1"/>
  <c r="CS27" i="29"/>
  <c r="CS18" i="13"/>
  <c r="AN18" i="29"/>
  <c r="AN8" i="29" s="1"/>
  <c r="AN19" i="29"/>
  <c r="AN33" i="29" s="1"/>
  <c r="AC19" i="29"/>
  <c r="AC33" i="29" s="1"/>
  <c r="AC10" i="13" s="1"/>
  <c r="AC18" i="29"/>
  <c r="AC8" i="29" s="1"/>
  <c r="P4" i="14"/>
  <c r="CU17" i="27"/>
  <c r="CU22" i="27" s="1"/>
  <c r="CT44" i="29" s="1"/>
  <c r="DM37" i="9"/>
  <c r="DM50" i="9" s="1"/>
  <c r="DP23" i="15" s="1"/>
  <c r="BN37" i="9"/>
  <c r="BN50" i="9" s="1"/>
  <c r="BQ23" i="15" s="1"/>
  <c r="BQ27" i="15" s="1"/>
  <c r="DS37" i="9"/>
  <c r="DS50" i="9" s="1"/>
  <c r="DV23" i="15" s="1"/>
  <c r="CA37" i="9"/>
  <c r="CA50" i="9" s="1"/>
  <c r="CA51" i="9" s="1"/>
  <c r="CA53" i="9" s="1"/>
  <c r="BV37" i="9"/>
  <c r="BV50" i="9" s="1"/>
  <c r="BV51" i="9" s="1"/>
  <c r="BV53" i="9" s="1"/>
  <c r="DB37" i="9"/>
  <c r="DB50" i="9" s="1"/>
  <c r="AR37" i="9"/>
  <c r="AR50" i="9" s="1"/>
  <c r="CR37" i="9"/>
  <c r="CR50" i="9" s="1"/>
  <c r="AF37" i="9"/>
  <c r="AF50" i="9" s="1"/>
  <c r="BS37" i="9"/>
  <c r="BS50" i="9" s="1"/>
  <c r="BV23" i="15" s="1"/>
  <c r="BV27" i="15" s="1"/>
  <c r="L16" i="14"/>
  <c r="AS35" i="29"/>
  <c r="AT34" i="29" s="1"/>
  <c r="W49" i="26"/>
  <c r="BI37" i="9"/>
  <c r="BI50" i="9" s="1"/>
  <c r="BL23" i="15" s="1"/>
  <c r="O16" i="14"/>
  <c r="V20" i="29"/>
  <c r="E32" i="26"/>
  <c r="E33" i="26" s="1"/>
  <c r="E47" i="26" s="1"/>
  <c r="E19" i="26"/>
  <c r="V24" i="26"/>
  <c r="V49" i="26" s="1"/>
  <c r="E23" i="26"/>
  <c r="E24" i="26" s="1"/>
  <c r="AE24" i="26"/>
  <c r="AE49" i="26" s="1"/>
  <c r="AQ37" i="9"/>
  <c r="AQ50" i="9" s="1"/>
  <c r="AQ51" i="9" s="1"/>
  <c r="AQ53" i="9" s="1"/>
  <c r="CH37" i="9"/>
  <c r="CH50" i="9" s="1"/>
  <c r="CK23" i="15" s="1"/>
  <c r="AY37" i="9"/>
  <c r="AY50" i="9" s="1"/>
  <c r="BB23" i="15" s="1"/>
  <c r="CC20" i="13"/>
  <c r="DP37" i="9"/>
  <c r="DP50" i="9" s="1"/>
  <c r="DP51" i="9" s="1"/>
  <c r="DP53" i="9" s="1"/>
  <c r="DD37" i="9"/>
  <c r="DD50" i="9" s="1"/>
  <c r="DD51" i="9" s="1"/>
  <c r="DD53" i="9" s="1"/>
  <c r="BB37" i="9"/>
  <c r="BB50" i="9" s="1"/>
  <c r="BB51" i="9" s="1"/>
  <c r="BB53" i="9" s="1"/>
  <c r="AV37" i="9"/>
  <c r="AV50" i="9" s="1"/>
  <c r="AY23" i="15" s="1"/>
  <c r="AS37" i="9"/>
  <c r="AS50" i="9" s="1"/>
  <c r="AX37" i="9"/>
  <c r="AX50" i="9" s="1"/>
  <c r="BA23" i="15" s="1"/>
  <c r="DR37" i="9"/>
  <c r="DR50" i="9" s="1"/>
  <c r="DU23" i="15" s="1"/>
  <c r="CI37" i="9"/>
  <c r="CI50" i="9" s="1"/>
  <c r="CL23" i="15" s="1"/>
  <c r="CL27" i="15" s="1"/>
  <c r="DI37" i="9"/>
  <c r="DI50" i="9" s="1"/>
  <c r="DL23" i="15" s="1"/>
  <c r="G16" i="14"/>
  <c r="DO37" i="9"/>
  <c r="DO50" i="9" s="1"/>
  <c r="CC37" i="9"/>
  <c r="CC50" i="9" s="1"/>
  <c r="CE23" i="15"/>
  <c r="CE27" i="15" s="1"/>
  <c r="CB51" i="9"/>
  <c r="CB53" i="9" s="1"/>
  <c r="BH37" i="9"/>
  <c r="BH50" i="9" s="1"/>
  <c r="DN23" i="15"/>
  <c r="DK51" i="9"/>
  <c r="DK53" i="9" s="1"/>
  <c r="W37" i="9"/>
  <c r="W50" i="9" s="1"/>
  <c r="CY37" i="9"/>
  <c r="CY50" i="9" s="1"/>
  <c r="BL37" i="9"/>
  <c r="BL50" i="9" s="1"/>
  <c r="DH23" i="15"/>
  <c r="DE51" i="9"/>
  <c r="DE53" i="9" s="1"/>
  <c r="V37" i="9"/>
  <c r="V50" i="9" s="1"/>
  <c r="CJ37" i="9"/>
  <c r="CJ50" i="9" s="1"/>
  <c r="AD37" i="9"/>
  <c r="AD50" i="9" s="1"/>
  <c r="CE37" i="9"/>
  <c r="CE50" i="9" s="1"/>
  <c r="BU37" i="9"/>
  <c r="BU50" i="9" s="1"/>
  <c r="AW37" i="9"/>
  <c r="AW50" i="9" s="1"/>
  <c r="BJ23" i="15"/>
  <c r="BJ27" i="15" s="1"/>
  <c r="BG51" i="9"/>
  <c r="BG53" i="9" s="1"/>
  <c r="CM37" i="9"/>
  <c r="CM50" i="9" s="1"/>
  <c r="AR23" i="15"/>
  <c r="AO51" i="9"/>
  <c r="AO53" i="9" s="1"/>
  <c r="CY23" i="15"/>
  <c r="CV51" i="9"/>
  <c r="CV53" i="9" s="1"/>
  <c r="AH37" i="9"/>
  <c r="AH50" i="9" s="1"/>
  <c r="CZ37" i="9"/>
  <c r="CZ50" i="9" s="1"/>
  <c r="CF37" i="9"/>
  <c r="CF50" i="9" s="1"/>
  <c r="DH37" i="9"/>
  <c r="DH50" i="9" s="1"/>
  <c r="DG37" i="9"/>
  <c r="DG50" i="9" s="1"/>
  <c r="CU23" i="15"/>
  <c r="CR51" i="9"/>
  <c r="CR53" i="9" s="1"/>
  <c r="CR23" i="15"/>
  <c r="CR27" i="15" s="1"/>
  <c r="CO51" i="9"/>
  <c r="CO53" i="9" s="1"/>
  <c r="CU37" i="9"/>
  <c r="CU50" i="9" s="1"/>
  <c r="BO37" i="9"/>
  <c r="BO50" i="9" s="1"/>
  <c r="BD23" i="15"/>
  <c r="BA51" i="9"/>
  <c r="BA53" i="9" s="1"/>
  <c r="CD17" i="15"/>
  <c r="CD18" i="15" s="1"/>
  <c r="CD15" i="15"/>
  <c r="CD16" i="15" s="1"/>
  <c r="CE14" i="15"/>
  <c r="AB37" i="9"/>
  <c r="AB50" i="9" s="1"/>
  <c r="AK37" i="9"/>
  <c r="AK50" i="9" s="1"/>
  <c r="CV23" i="15"/>
  <c r="CS51" i="9"/>
  <c r="CS53" i="9" s="1"/>
  <c r="AT23" i="15"/>
  <c r="AT27" i="15" s="1"/>
  <c r="BZ23" i="15"/>
  <c r="BZ27" i="15" s="1"/>
  <c r="BW51" i="9"/>
  <c r="BW53" i="9" s="1"/>
  <c r="CQ37" i="9"/>
  <c r="CQ50" i="9" s="1"/>
  <c r="AB23" i="15"/>
  <c r="Y51" i="9"/>
  <c r="Y53" i="9" s="1"/>
  <c r="AA23" i="15"/>
  <c r="AA27" i="15" s="1"/>
  <c r="X51" i="9"/>
  <c r="X53" i="9" s="1"/>
  <c r="DA37" i="9"/>
  <c r="DA50" i="9" s="1"/>
  <c r="Z37" i="9"/>
  <c r="Z50" i="9" s="1"/>
  <c r="DF23" i="15"/>
  <c r="DC51" i="9"/>
  <c r="DC53" i="9" s="1"/>
  <c r="CN37" i="9"/>
  <c r="CN50" i="9" s="1"/>
  <c r="AJ37" i="9"/>
  <c r="AJ50" i="9" s="1"/>
  <c r="AU37" i="9"/>
  <c r="AU50" i="9" s="1"/>
  <c r="BT37" i="9"/>
  <c r="BT50" i="9" s="1"/>
  <c r="CS23" i="15"/>
  <c r="CS27" i="15" s="1"/>
  <c r="CP51" i="9"/>
  <c r="CP53" i="9" s="1"/>
  <c r="CG37" i="9"/>
  <c r="CG50" i="9" s="1"/>
  <c r="DT37" i="9"/>
  <c r="DT50" i="9" s="1"/>
  <c r="DN37" i="9"/>
  <c r="DN50" i="9" s="1"/>
  <c r="BK37" i="9"/>
  <c r="BK50" i="9" s="1"/>
  <c r="BR37" i="9"/>
  <c r="BR50" i="9" s="1"/>
  <c r="AG37" i="9"/>
  <c r="AG50" i="9" s="1"/>
  <c r="DI23" i="15"/>
  <c r="DF51" i="9"/>
  <c r="DF53" i="9" s="1"/>
  <c r="DX23" i="15"/>
  <c r="DU51" i="9"/>
  <c r="DU53" i="9" s="1"/>
  <c r="AV42" i="29"/>
  <c r="BF23" i="15"/>
  <c r="BC51" i="9"/>
  <c r="BC53" i="9" s="1"/>
  <c r="AN37" i="9"/>
  <c r="AN50" i="9" s="1"/>
  <c r="CX37" i="9"/>
  <c r="CX50" i="9" s="1"/>
  <c r="BY37" i="9"/>
  <c r="BY50" i="9" s="1"/>
  <c r="BX37" i="9"/>
  <c r="BX50" i="9" s="1"/>
  <c r="AM37" i="9"/>
  <c r="AM50" i="9" s="1"/>
  <c r="BY23" i="15"/>
  <c r="BY27" i="15" s="1"/>
  <c r="CD37" i="9"/>
  <c r="CD50" i="9" s="1"/>
  <c r="BF37" i="9"/>
  <c r="BF50" i="9" s="1"/>
  <c r="AZ37" i="9"/>
  <c r="AZ50" i="9" s="1"/>
  <c r="CL37" i="9"/>
  <c r="CL50" i="9" s="1"/>
  <c r="BE37" i="9"/>
  <c r="BE50" i="9" s="1"/>
  <c r="DL37" i="9"/>
  <c r="DL50" i="9" s="1"/>
  <c r="DJ37" i="9"/>
  <c r="DJ50" i="9" s="1"/>
  <c r="CB20" i="13"/>
  <c r="CB21" i="13" s="1"/>
  <c r="BZ37" i="9"/>
  <c r="BZ50" i="9" s="1"/>
  <c r="AF23" i="15"/>
  <c r="AF27" i="15" s="1"/>
  <c r="AC51" i="9"/>
  <c r="AC53" i="9" s="1"/>
  <c r="AI37" i="9"/>
  <c r="AI50" i="9" s="1"/>
  <c r="DQ37" i="9"/>
  <c r="DQ50" i="9" s="1"/>
  <c r="BG23" i="15"/>
  <c r="BG27" i="15" s="1"/>
  <c r="BD51" i="9"/>
  <c r="BD53" i="9" s="1"/>
  <c r="BQ37" i="9"/>
  <c r="BQ50" i="9" s="1"/>
  <c r="T37" i="9"/>
  <c r="AL37" i="9"/>
  <c r="AL50" i="9" s="1"/>
  <c r="CT37" i="9"/>
  <c r="CT50" i="9" s="1"/>
  <c r="DN15" i="15"/>
  <c r="DN16" i="15" s="1"/>
  <c r="DN17" i="15"/>
  <c r="DN18" i="15" s="1"/>
  <c r="DO14" i="15"/>
  <c r="AT15" i="15"/>
  <c r="AT16" i="15" s="1"/>
  <c r="AT17" i="15"/>
  <c r="AT18" i="15" s="1"/>
  <c r="AU14" i="15"/>
  <c r="BP37" i="9"/>
  <c r="BP50" i="9" s="1"/>
  <c r="DS51" i="9" l="1"/>
  <c r="DS53" i="9" s="1"/>
  <c r="BS51" i="9"/>
  <c r="BS53" i="9" s="1"/>
  <c r="BN51" i="9"/>
  <c r="BN53" i="9" s="1"/>
  <c r="DG23" i="15"/>
  <c r="CD23" i="15"/>
  <c r="CD27" i="15" s="1"/>
  <c r="CC35" i="29"/>
  <c r="CD34" i="29" s="1"/>
  <c r="M4" i="14"/>
  <c r="AN10" i="13"/>
  <c r="CS20" i="29"/>
  <c r="CS21" i="29"/>
  <c r="CS5" i="13" s="1"/>
  <c r="CT24" i="15" s="1"/>
  <c r="AT31" i="29"/>
  <c r="AT29" i="29" s="1"/>
  <c r="AT9" i="29" s="1"/>
  <c r="CQ8" i="7"/>
  <c r="CQ10" i="7" s="1"/>
  <c r="CV20" i="27"/>
  <c r="CU13" i="27"/>
  <c r="CU7" i="27"/>
  <c r="CR42" i="3"/>
  <c r="BD27" i="15"/>
  <c r="DM51" i="9"/>
  <c r="DM53" i="9" s="1"/>
  <c r="BF27" i="15"/>
  <c r="BM37" i="9"/>
  <c r="BM50" i="9" s="1"/>
  <c r="CW37" i="9"/>
  <c r="CW50" i="9" s="1"/>
  <c r="CZ23" i="15" s="1"/>
  <c r="BI51" i="9"/>
  <c r="BI53" i="9" s="1"/>
  <c r="CK37" i="9"/>
  <c r="CK50" i="9" s="1"/>
  <c r="CN23" i="15" s="1"/>
  <c r="BL27" i="15"/>
  <c r="AY51" i="9"/>
  <c r="AY53" i="9" s="1"/>
  <c r="AT37" i="9"/>
  <c r="AT50" i="9" s="1"/>
  <c r="AW23" i="15" s="1"/>
  <c r="BJ37" i="9"/>
  <c r="BJ50" i="9" s="1"/>
  <c r="CD31" i="29"/>
  <c r="CD29" i="29" s="1"/>
  <c r="CD9" i="29" s="1"/>
  <c r="V19" i="29"/>
  <c r="V18" i="29"/>
  <c r="AE37" i="9"/>
  <c r="AE50" i="9" s="1"/>
  <c r="BE23" i="15"/>
  <c r="BE27" i="15" s="1"/>
  <c r="AV51" i="9"/>
  <c r="AV53" i="9" s="1"/>
  <c r="DM39" i="26"/>
  <c r="DM47" i="26" s="1"/>
  <c r="DM49" i="26" s="1"/>
  <c r="CK27" i="15"/>
  <c r="BB27" i="15"/>
  <c r="DS23" i="15"/>
  <c r="CH51" i="9"/>
  <c r="CH53" i="9" s="1"/>
  <c r="BA27" i="15"/>
  <c r="AY27" i="15"/>
  <c r="AB27" i="15"/>
  <c r="DR51" i="9"/>
  <c r="DR53" i="9" s="1"/>
  <c r="AR27" i="15"/>
  <c r="AS51" i="9"/>
  <c r="AS53" i="9" s="1"/>
  <c r="AV23" i="15"/>
  <c r="AV27" i="15" s="1"/>
  <c r="AX51" i="9"/>
  <c r="AX53" i="9" s="1"/>
  <c r="CI51" i="9"/>
  <c r="CI53" i="9" s="1"/>
  <c r="DI51" i="9"/>
  <c r="DI53" i="9" s="1"/>
  <c r="CC21" i="13"/>
  <c r="AO23" i="15"/>
  <c r="AO27" i="15" s="1"/>
  <c r="AL51" i="9"/>
  <c r="AL53" i="9" s="1"/>
  <c r="CO23" i="15"/>
  <c r="CO27" i="15" s="1"/>
  <c r="CL51" i="9"/>
  <c r="CL53" i="9" s="1"/>
  <c r="CB23" i="15"/>
  <c r="CB27" i="15" s="1"/>
  <c r="BY51" i="9"/>
  <c r="BY53" i="9" s="1"/>
  <c r="DW23" i="15"/>
  <c r="DT51" i="9"/>
  <c r="DT53" i="9" s="1"/>
  <c r="AM23" i="15"/>
  <c r="AM27" i="15" s="1"/>
  <c r="AJ51" i="9"/>
  <c r="AJ53" i="9" s="1"/>
  <c r="AU23" i="15"/>
  <c r="AR51" i="9"/>
  <c r="AR53" i="9" s="1"/>
  <c r="AS39" i="26"/>
  <c r="AS47" i="26" s="1"/>
  <c r="AS49" i="26" s="1"/>
  <c r="DJ23" i="15"/>
  <c r="DG51" i="9"/>
  <c r="DG53" i="9" s="1"/>
  <c r="Y23" i="15"/>
  <c r="Y27" i="15" s="1"/>
  <c r="V51" i="9"/>
  <c r="V53" i="9" s="1"/>
  <c r="AJ23" i="15"/>
  <c r="AJ27" i="15" s="1"/>
  <c r="AG51" i="9"/>
  <c r="AG53" i="9" s="1"/>
  <c r="T50" i="9"/>
  <c r="BW23" i="15"/>
  <c r="BW27" i="15" s="1"/>
  <c r="BT51" i="9"/>
  <c r="BT53" i="9" s="1"/>
  <c r="M7" i="14"/>
  <c r="AP37" i="9"/>
  <c r="AP50" i="9" s="1"/>
  <c r="DC23" i="15"/>
  <c r="CZ51" i="9"/>
  <c r="CZ53" i="9" s="1"/>
  <c r="CH23" i="15"/>
  <c r="CH27" i="15" s="1"/>
  <c r="CE51" i="9"/>
  <c r="CE53" i="9" s="1"/>
  <c r="J7" i="14"/>
  <c r="BI23" i="15"/>
  <c r="BI27" i="15" s="1"/>
  <c r="BF51" i="9"/>
  <c r="BF53" i="9" s="1"/>
  <c r="AL23" i="15"/>
  <c r="AL27" i="15" s="1"/>
  <c r="AI51" i="9"/>
  <c r="AI53" i="9" s="1"/>
  <c r="AU15" i="15"/>
  <c r="AU16" i="15" s="1"/>
  <c r="AU17" i="15"/>
  <c r="AU18" i="15" s="1"/>
  <c r="AV14" i="15"/>
  <c r="DT23" i="15"/>
  <c r="DQ51" i="9"/>
  <c r="DQ53" i="9" s="1"/>
  <c r="DQ23" i="15"/>
  <c r="DN51" i="9"/>
  <c r="DN53" i="9" s="1"/>
  <c r="CE15" i="15"/>
  <c r="CE16" i="15" s="1"/>
  <c r="CE17" i="15"/>
  <c r="CE18" i="15" s="1"/>
  <c r="CF14" i="15"/>
  <c r="BR23" i="15"/>
  <c r="BR27" i="15" s="1"/>
  <c r="BO51" i="9"/>
  <c r="BO53" i="9" s="1"/>
  <c r="AK23" i="15"/>
  <c r="AK27" i="15" s="1"/>
  <c r="AH51" i="9"/>
  <c r="AH53" i="9" s="1"/>
  <c r="AZ23" i="15"/>
  <c r="AZ27" i="15" s="1"/>
  <c r="AW51" i="9"/>
  <c r="AW53" i="9" s="1"/>
  <c r="BX23" i="15"/>
  <c r="BX27" i="15" s="1"/>
  <c r="BU51" i="9"/>
  <c r="BU53" i="9" s="1"/>
  <c r="BO23" i="15"/>
  <c r="BO27" i="15" s="1"/>
  <c r="BL51" i="9"/>
  <c r="BL53" i="9" s="1"/>
  <c r="DM23" i="15"/>
  <c r="DJ51" i="9"/>
  <c r="DJ53" i="9" s="1"/>
  <c r="BH23" i="15"/>
  <c r="BH27" i="15" s="1"/>
  <c r="BE51" i="9"/>
  <c r="BE53" i="9" s="1"/>
  <c r="CA23" i="15"/>
  <c r="CA27" i="15" s="1"/>
  <c r="BX51" i="9"/>
  <c r="BX53" i="9" s="1"/>
  <c r="BU23" i="15"/>
  <c r="BU27" i="15" s="1"/>
  <c r="BR51" i="9"/>
  <c r="BR53" i="9" s="1"/>
  <c r="CQ23" i="15"/>
  <c r="CQ27" i="15" s="1"/>
  <c r="CN51" i="9"/>
  <c r="CN53" i="9" s="1"/>
  <c r="AE23" i="15"/>
  <c r="AE27" i="15" s="1"/>
  <c r="AB51" i="9"/>
  <c r="AB53" i="9" s="1"/>
  <c r="DK23" i="15"/>
  <c r="DH51" i="9"/>
  <c r="DH53" i="9" s="1"/>
  <c r="CP23" i="15"/>
  <c r="CP27" i="15" s="1"/>
  <c r="CM51" i="9"/>
  <c r="CM53" i="9" s="1"/>
  <c r="AG23" i="15"/>
  <c r="AG27" i="15" s="1"/>
  <c r="AD51" i="9"/>
  <c r="AD53" i="9" s="1"/>
  <c r="CF23" i="15"/>
  <c r="CF27" i="15" s="1"/>
  <c r="CC51" i="9"/>
  <c r="CC53" i="9" s="1"/>
  <c r="DR23" i="15"/>
  <c r="DO51" i="9"/>
  <c r="DO53" i="9" s="1"/>
  <c r="K7" i="14"/>
  <c r="BK23" i="15"/>
  <c r="BK27" i="15" s="1"/>
  <c r="BH51" i="9"/>
  <c r="BH53" i="9" s="1"/>
  <c r="CW23" i="15"/>
  <c r="CT51" i="9"/>
  <c r="CT53" i="9" s="1"/>
  <c r="CC23" i="15"/>
  <c r="CC27" i="15" s="1"/>
  <c r="CC28" i="15" s="1"/>
  <c r="BZ51" i="9"/>
  <c r="BZ53" i="9" s="1"/>
  <c r="BC23" i="15"/>
  <c r="BC27" i="15" s="1"/>
  <c r="AZ51" i="9"/>
  <c r="AZ53" i="9" s="1"/>
  <c r="AQ23" i="15"/>
  <c r="AQ27" i="15" s="1"/>
  <c r="AN51" i="9"/>
  <c r="AN53" i="9" s="1"/>
  <c r="AC23" i="15"/>
  <c r="AC27" i="15" s="1"/>
  <c r="Z51" i="9"/>
  <c r="Z53" i="9" s="1"/>
  <c r="Z23" i="15"/>
  <c r="Z27" i="15" s="1"/>
  <c r="W51" i="9"/>
  <c r="W53" i="9" s="1"/>
  <c r="DA23" i="15"/>
  <c r="CX51" i="9"/>
  <c r="CX53" i="9" s="1"/>
  <c r="DO15" i="15"/>
  <c r="DO16" i="15" s="1"/>
  <c r="DO17" i="15"/>
  <c r="DO18" i="15" s="1"/>
  <c r="DP14" i="15"/>
  <c r="BS23" i="15"/>
  <c r="BS27" i="15" s="1"/>
  <c r="BP51" i="9"/>
  <c r="BP53" i="9" s="1"/>
  <c r="BT23" i="15"/>
  <c r="BT27" i="15" s="1"/>
  <c r="BQ51" i="9"/>
  <c r="BQ53" i="9" s="1"/>
  <c r="CG23" i="15"/>
  <c r="CG27" i="15" s="1"/>
  <c r="CD51" i="9"/>
  <c r="CD53" i="9" s="1"/>
  <c r="AP23" i="15"/>
  <c r="AP27" i="15" s="1"/>
  <c r="AM51" i="9"/>
  <c r="AM53" i="9" s="1"/>
  <c r="CJ23" i="15"/>
  <c r="CJ27" i="15" s="1"/>
  <c r="CG51" i="9"/>
  <c r="CG53" i="9" s="1"/>
  <c r="CT23" i="15"/>
  <c r="CQ51" i="9"/>
  <c r="CQ53" i="9" s="1"/>
  <c r="CM23" i="15"/>
  <c r="CM27" i="15" s="1"/>
  <c r="CJ51" i="9"/>
  <c r="CJ53" i="9" s="1"/>
  <c r="DO23" i="15"/>
  <c r="DL51" i="9"/>
  <c r="DL53" i="9" s="1"/>
  <c r="AW42" i="29"/>
  <c r="BN23" i="15"/>
  <c r="BN27" i="15" s="1"/>
  <c r="BK51" i="9"/>
  <c r="BK53" i="9" s="1"/>
  <c r="AX23" i="15"/>
  <c r="AX27" i="15" s="1"/>
  <c r="AU51" i="9"/>
  <c r="AU53" i="9" s="1"/>
  <c r="DD23" i="15"/>
  <c r="DA51" i="9"/>
  <c r="DA53" i="9" s="1"/>
  <c r="AN23" i="15"/>
  <c r="AN27" i="15" s="1"/>
  <c r="AK51" i="9"/>
  <c r="AK53" i="9" s="1"/>
  <c r="CX23" i="15"/>
  <c r="CU51" i="9"/>
  <c r="CU53" i="9" s="1"/>
  <c r="DE23" i="15"/>
  <c r="DB51" i="9"/>
  <c r="DB53" i="9" s="1"/>
  <c r="AI23" i="15"/>
  <c r="AF51" i="9"/>
  <c r="AF53" i="9" s="1"/>
  <c r="CI23" i="15"/>
  <c r="CI27" i="15" s="1"/>
  <c r="CF51" i="9"/>
  <c r="CF53" i="9" s="1"/>
  <c r="O7" i="14"/>
  <c r="DB23" i="15"/>
  <c r="CY51" i="9"/>
  <c r="CY53" i="9" s="1"/>
  <c r="AT51" i="9" l="1"/>
  <c r="AT53" i="9" s="1"/>
  <c r="CT27" i="15"/>
  <c r="CS18" i="29"/>
  <c r="CS8" i="29" s="1"/>
  <c r="CS19" i="29"/>
  <c r="CS33" i="29" s="1"/>
  <c r="CS10" i="13" s="1"/>
  <c r="CT27" i="29"/>
  <c r="CT18" i="13"/>
  <c r="I3" i="14"/>
  <c r="G3" i="14" s="1"/>
  <c r="Q3" i="14"/>
  <c r="K3" i="14"/>
  <c r="N3" i="14"/>
  <c r="AT35" i="29"/>
  <c r="AU34" i="29" s="1"/>
  <c r="CV17" i="27"/>
  <c r="CV22" i="27" s="1"/>
  <c r="CU44" i="29" s="1"/>
  <c r="AA37" i="9"/>
  <c r="AA50" i="9" s="1"/>
  <c r="CN27" i="15"/>
  <c r="AI27" i="15"/>
  <c r="CK51" i="9"/>
  <c r="CK53" i="9" s="1"/>
  <c r="CW51" i="9"/>
  <c r="CW53" i="9" s="1"/>
  <c r="AU27" i="15"/>
  <c r="AW27" i="15"/>
  <c r="BP23" i="15"/>
  <c r="BP27" i="15" s="1"/>
  <c r="BM51" i="9"/>
  <c r="BM53" i="9" s="1"/>
  <c r="BM23" i="15"/>
  <c r="BM27" i="15" s="1"/>
  <c r="BJ51" i="9"/>
  <c r="BJ53" i="9" s="1"/>
  <c r="G18" i="29"/>
  <c r="V33" i="29"/>
  <c r="V10" i="13" s="1"/>
  <c r="V20" i="13" s="1"/>
  <c r="G19" i="29"/>
  <c r="CD35" i="29"/>
  <c r="AE51" i="9"/>
  <c r="AE53" i="9" s="1"/>
  <c r="AH23" i="15"/>
  <c r="AH27" i="15" s="1"/>
  <c r="CC39" i="26"/>
  <c r="CC47" i="26" s="1"/>
  <c r="CC49" i="26" s="1"/>
  <c r="P7" i="14"/>
  <c r="AV15" i="15"/>
  <c r="AV16" i="15" s="1"/>
  <c r="AV17" i="15"/>
  <c r="AV18" i="15" s="1"/>
  <c r="AW14" i="15"/>
  <c r="DP15" i="15"/>
  <c r="DP16" i="15" s="1"/>
  <c r="DP17" i="15"/>
  <c r="DP18" i="15" s="1"/>
  <c r="DQ14" i="15"/>
  <c r="AS23" i="15"/>
  <c r="AS27" i="15" s="1"/>
  <c r="AS28" i="15" s="1"/>
  <c r="AP51" i="9"/>
  <c r="AP53" i="9" s="1"/>
  <c r="W23" i="15"/>
  <c r="W27" i="15" s="1"/>
  <c r="W28" i="15" s="1"/>
  <c r="T51" i="9"/>
  <c r="AR20" i="13"/>
  <c r="AR21" i="13" s="1"/>
  <c r="AX42" i="29"/>
  <c r="U37" i="9"/>
  <c r="E40" i="9"/>
  <c r="CF17" i="15"/>
  <c r="CF18" i="15" s="1"/>
  <c r="CF15" i="15"/>
  <c r="CF16" i="15" s="1"/>
  <c r="CG14" i="15"/>
  <c r="K8" i="14"/>
  <c r="CD28" i="15"/>
  <c r="CC31" i="15"/>
  <c r="CC32" i="15" s="1"/>
  <c r="CC29" i="15"/>
  <c r="CC30" i="15" s="1"/>
  <c r="CT20" i="29" l="1"/>
  <c r="CT21" i="29"/>
  <c r="CT5" i="13" s="1"/>
  <c r="CU24" i="15" s="1"/>
  <c r="CU27" i="15" s="1"/>
  <c r="AU31" i="29"/>
  <c r="AU29" i="29" s="1"/>
  <c r="AU9" i="29" s="1"/>
  <c r="I4" i="14"/>
  <c r="G4" i="14" s="1"/>
  <c r="N4" i="14"/>
  <c r="Q4" i="14"/>
  <c r="K4" i="14"/>
  <c r="K18" i="14" s="1"/>
  <c r="K19" i="14" s="1"/>
  <c r="CW20" i="27"/>
  <c r="CR8" i="7"/>
  <c r="CR10" i="7" s="1"/>
  <c r="CV13" i="27"/>
  <c r="CV7" i="27"/>
  <c r="CS42" i="3"/>
  <c r="AD23" i="15"/>
  <c r="AD27" i="15" s="1"/>
  <c r="AA51" i="9"/>
  <c r="AA53" i="9" s="1"/>
  <c r="CD39" i="26"/>
  <c r="CD47" i="26" s="1"/>
  <c r="CD49" i="26" s="1"/>
  <c r="V31" i="29"/>
  <c r="DN39" i="26"/>
  <c r="DN47" i="26" s="1"/>
  <c r="DN49" i="26" s="1"/>
  <c r="CE34" i="29"/>
  <c r="CE31" i="29"/>
  <c r="CE29" i="29" s="1"/>
  <c r="CE9" i="29" s="1"/>
  <c r="V8" i="29"/>
  <c r="CD20" i="13"/>
  <c r="CD21" i="13" s="1"/>
  <c r="W29" i="15"/>
  <c r="W30" i="15" s="1"/>
  <c r="W31" i="15"/>
  <c r="W32" i="15" s="1"/>
  <c r="W20" i="13"/>
  <c r="L7" i="14"/>
  <c r="G9" i="13"/>
  <c r="I7" i="14"/>
  <c r="Q7" i="14"/>
  <c r="N7" i="14"/>
  <c r="T53" i="9"/>
  <c r="AW15" i="15"/>
  <c r="AW16" i="15" s="1"/>
  <c r="AW17" i="15"/>
  <c r="AW18" i="15" s="1"/>
  <c r="AX14" i="15"/>
  <c r="AS31" i="15"/>
  <c r="AS32" i="15" s="1"/>
  <c r="AT28" i="15"/>
  <c r="AS29" i="15"/>
  <c r="AS30" i="15" s="1"/>
  <c r="U50" i="9"/>
  <c r="E37" i="9"/>
  <c r="CG15" i="15"/>
  <c r="CG16" i="15" s="1"/>
  <c r="CG17" i="15"/>
  <c r="CG18" i="15" s="1"/>
  <c r="CH14" i="15"/>
  <c r="AY42" i="29"/>
  <c r="CE28" i="15"/>
  <c r="CD29" i="15"/>
  <c r="CD30" i="15" s="1"/>
  <c r="CD31" i="15"/>
  <c r="CD32" i="15" s="1"/>
  <c r="DQ17" i="15"/>
  <c r="DQ18" i="15" s="1"/>
  <c r="DQ15" i="15"/>
  <c r="DQ16" i="15" s="1"/>
  <c r="DR14" i="15"/>
  <c r="AT39" i="26"/>
  <c r="AT47" i="26" s="1"/>
  <c r="AT49" i="26" s="1"/>
  <c r="AS20" i="13"/>
  <c r="AS21" i="13" s="1"/>
  <c r="CU27" i="29" l="1"/>
  <c r="CU18" i="13"/>
  <c r="AU35" i="29"/>
  <c r="AV34" i="29" s="1"/>
  <c r="CT19" i="29"/>
  <c r="CT33" i="29" s="1"/>
  <c r="CT10" i="13" s="1"/>
  <c r="CT18" i="29"/>
  <c r="CT8" i="29" s="1"/>
  <c r="CW17" i="27"/>
  <c r="CE39" i="26"/>
  <c r="CE47" i="26" s="1"/>
  <c r="CE49" i="26" s="1"/>
  <c r="CE35" i="29"/>
  <c r="V29" i="29"/>
  <c r="V35" i="29"/>
  <c r="AV31" i="29"/>
  <c r="AV29" i="29" s="1"/>
  <c r="AV9" i="29" s="1"/>
  <c r="CF39" i="26"/>
  <c r="CF47" i="26" s="1"/>
  <c r="CF49" i="26" s="1"/>
  <c r="CH15" i="15"/>
  <c r="CH16" i="15" s="1"/>
  <c r="CH17" i="15"/>
  <c r="CH18" i="15" s="1"/>
  <c r="CI14" i="15"/>
  <c r="AT31" i="15"/>
  <c r="AT32" i="15" s="1"/>
  <c r="AT29" i="15"/>
  <c r="AT30" i="15" s="1"/>
  <c r="AU28" i="15"/>
  <c r="CE20" i="13"/>
  <c r="CE21" i="13" s="1"/>
  <c r="CE31" i="15"/>
  <c r="CE32" i="15" s="1"/>
  <c r="CE29" i="15"/>
  <c r="CE30" i="15" s="1"/>
  <c r="CF28" i="15"/>
  <c r="AX17" i="15"/>
  <c r="AX18" i="15" s="1"/>
  <c r="AX15" i="15"/>
  <c r="AX16" i="15" s="1"/>
  <c r="AY14" i="15"/>
  <c r="G7" i="14"/>
  <c r="DR17" i="15"/>
  <c r="DR18" i="15" s="1"/>
  <c r="DR15" i="15"/>
  <c r="DR16" i="15" s="1"/>
  <c r="DS14" i="15"/>
  <c r="AZ42" i="29"/>
  <c r="X23" i="15"/>
  <c r="X27" i="15" s="1"/>
  <c r="X28" i="15" s="1"/>
  <c r="U51" i="9"/>
  <c r="E50" i="9"/>
  <c r="CU20" i="29" l="1"/>
  <c r="CU21" i="29"/>
  <c r="CU5" i="13" s="1"/>
  <c r="CV24" i="15" s="1"/>
  <c r="CV27" i="15" s="1"/>
  <c r="CW7" i="27"/>
  <c r="CT42" i="3"/>
  <c r="CW22" i="27"/>
  <c r="CV44" i="29" s="1"/>
  <c r="AV35" i="29"/>
  <c r="W34" i="29"/>
  <c r="W31" i="29"/>
  <c r="W29" i="29" s="1"/>
  <c r="W9" i="29" s="1"/>
  <c r="V9" i="29"/>
  <c r="CF34" i="29"/>
  <c r="CF31" i="29"/>
  <c r="CF29" i="29" s="1"/>
  <c r="CF9" i="29" s="1"/>
  <c r="DO39" i="26"/>
  <c r="DO47" i="26" s="1"/>
  <c r="DO49" i="26" s="1"/>
  <c r="AY17" i="15"/>
  <c r="AY18" i="15" s="1"/>
  <c r="AY15" i="15"/>
  <c r="AY16" i="15" s="1"/>
  <c r="AZ14" i="15"/>
  <c r="X29" i="15"/>
  <c r="X30" i="15" s="1"/>
  <c r="X31" i="15"/>
  <c r="X32" i="15" s="1"/>
  <c r="Y28" i="15"/>
  <c r="BA42" i="29"/>
  <c r="CI15" i="15"/>
  <c r="CI16" i="15" s="1"/>
  <c r="CI17" i="15"/>
  <c r="CI18" i="15" s="1"/>
  <c r="CJ14" i="15"/>
  <c r="CF29" i="15"/>
  <c r="CF30" i="15" s="1"/>
  <c r="CF31" i="15"/>
  <c r="CF32" i="15" s="1"/>
  <c r="CG28" i="15"/>
  <c r="AU29" i="15"/>
  <c r="AU30" i="15" s="1"/>
  <c r="AU31" i="15"/>
  <c r="AU32" i="15" s="1"/>
  <c r="AV28" i="15"/>
  <c r="DS17" i="15"/>
  <c r="DS18" i="15" s="1"/>
  <c r="DS15" i="15"/>
  <c r="DS16" i="15" s="1"/>
  <c r="DT14" i="15"/>
  <c r="AT20" i="13"/>
  <c r="AT21" i="13" s="1"/>
  <c r="X20" i="13"/>
  <c r="CF20" i="13"/>
  <c r="CF21" i="13" s="1"/>
  <c r="U53" i="9"/>
  <c r="AU39" i="26"/>
  <c r="AU47" i="26" s="1"/>
  <c r="AU49" i="26" s="1"/>
  <c r="CU19" i="29" l="1"/>
  <c r="CU33" i="29" s="1"/>
  <c r="CU10" i="13" s="1"/>
  <c r="CU18" i="29"/>
  <c r="CU8" i="29" s="1"/>
  <c r="CX20" i="27"/>
  <c r="CS8" i="7"/>
  <c r="CS10" i="7" s="1"/>
  <c r="CW13" i="27"/>
  <c r="CF35" i="29"/>
  <c r="CG34" i="29" s="1"/>
  <c r="W35" i="29"/>
  <c r="AW34" i="29"/>
  <c r="AW31" i="29"/>
  <c r="AW29" i="29" s="1"/>
  <c r="AW9" i="29" s="1"/>
  <c r="CG39" i="26"/>
  <c r="CG47" i="26" s="1"/>
  <c r="CG49" i="26" s="1"/>
  <c r="AV29" i="15"/>
  <c r="AV30" i="15" s="1"/>
  <c r="AV31" i="15"/>
  <c r="AV32" i="15" s="1"/>
  <c r="AW28" i="15"/>
  <c r="BB42" i="29"/>
  <c r="AZ15" i="15"/>
  <c r="AZ16" i="15" s="1"/>
  <c r="AZ17" i="15"/>
  <c r="AZ18" i="15" s="1"/>
  <c r="BA14" i="15"/>
  <c r="CG29" i="15"/>
  <c r="CG30" i="15" s="1"/>
  <c r="CG31" i="15"/>
  <c r="CG32" i="15" s="1"/>
  <c r="CH28" i="15"/>
  <c r="DT17" i="15"/>
  <c r="DT18" i="15" s="1"/>
  <c r="DT15" i="15"/>
  <c r="DT16" i="15" s="1"/>
  <c r="DU14" i="15"/>
  <c r="CJ15" i="15"/>
  <c r="CJ16" i="15" s="1"/>
  <c r="CJ17" i="15"/>
  <c r="CJ18" i="15" s="1"/>
  <c r="CK14" i="15"/>
  <c r="Y29" i="15"/>
  <c r="Y30" i="15" s="1"/>
  <c r="Y31" i="15"/>
  <c r="Y32" i="15" s="1"/>
  <c r="Z28" i="15"/>
  <c r="CV27" i="29" l="1"/>
  <c r="CV18" i="13"/>
  <c r="CX17" i="27"/>
  <c r="CX22" i="27" s="1"/>
  <c r="CW44" i="29" s="1"/>
  <c r="CG31" i="29"/>
  <c r="CG29" i="29" s="1"/>
  <c r="CG9" i="29" s="1"/>
  <c r="AW35" i="29"/>
  <c r="AX34" i="29" s="1"/>
  <c r="X34" i="29"/>
  <c r="X31" i="29"/>
  <c r="X29" i="29" s="1"/>
  <c r="DP39" i="26"/>
  <c r="DP47" i="26" s="1"/>
  <c r="DP49" i="26" s="1"/>
  <c r="CG20" i="13"/>
  <c r="CG21" i="13" s="1"/>
  <c r="CI28" i="15"/>
  <c r="CH29" i="15"/>
  <c r="CH30" i="15" s="1"/>
  <c r="CH31" i="15"/>
  <c r="CH32" i="15" s="1"/>
  <c r="BC42" i="29"/>
  <c r="BA17" i="15"/>
  <c r="BA18" i="15" s="1"/>
  <c r="BA15" i="15"/>
  <c r="BA16" i="15" s="1"/>
  <c r="BB14" i="15"/>
  <c r="AV39" i="26"/>
  <c r="AV47" i="26" s="1"/>
  <c r="AV49" i="26" s="1"/>
  <c r="DU15" i="15"/>
  <c r="DU16" i="15" s="1"/>
  <c r="DU17" i="15"/>
  <c r="DU18" i="15" s="1"/>
  <c r="DV14" i="15"/>
  <c r="AU20" i="13"/>
  <c r="AU21" i="13" s="1"/>
  <c r="AW31" i="15"/>
  <c r="AW32" i="15" s="1"/>
  <c r="AW29" i="15"/>
  <c r="AW30" i="15" s="1"/>
  <c r="AX28" i="15"/>
  <c r="Z29" i="15"/>
  <c r="Z30" i="15" s="1"/>
  <c r="Z31" i="15"/>
  <c r="Z32" i="15" s="1"/>
  <c r="AA28" i="15"/>
  <c r="CK15" i="15"/>
  <c r="CK16" i="15" s="1"/>
  <c r="CK17" i="15"/>
  <c r="CK18" i="15" s="1"/>
  <c r="CL14" i="15"/>
  <c r="Y20" i="13"/>
  <c r="N8" i="14"/>
  <c r="N18" i="14" s="1"/>
  <c r="N19" i="14" s="1"/>
  <c r="CV20" i="29" l="1"/>
  <c r="CV21" i="29"/>
  <c r="CV5" i="13" s="1"/>
  <c r="CW24" i="15" s="1"/>
  <c r="CW27" i="15" s="1"/>
  <c r="CG35" i="29"/>
  <c r="CH34" i="29" s="1"/>
  <c r="CX7" i="27"/>
  <c r="CU42" i="3"/>
  <c r="CX13" i="27"/>
  <c r="CT8" i="7"/>
  <c r="CT10" i="7" s="1"/>
  <c r="CY20" i="27"/>
  <c r="AX31" i="29"/>
  <c r="AX29" i="29" s="1"/>
  <c r="AX9" i="29" s="1"/>
  <c r="X35" i="29"/>
  <c r="X9" i="29"/>
  <c r="DV17" i="15"/>
  <c r="DV18" i="15" s="1"/>
  <c r="DV15" i="15"/>
  <c r="DV16" i="15" s="1"/>
  <c r="DW14" i="15"/>
  <c r="BB17" i="15"/>
  <c r="BB18" i="15" s="1"/>
  <c r="BB15" i="15"/>
  <c r="BB16" i="15" s="1"/>
  <c r="BC14" i="15"/>
  <c r="CI29" i="15"/>
  <c r="CI30" i="15" s="1"/>
  <c r="CI31" i="15"/>
  <c r="CI32" i="15" s="1"/>
  <c r="CJ28" i="15"/>
  <c r="CH39" i="26"/>
  <c r="CH47" i="26" s="1"/>
  <c r="CH49" i="26" s="1"/>
  <c r="AX29" i="15"/>
  <c r="AX30" i="15" s="1"/>
  <c r="AX31" i="15"/>
  <c r="AX32" i="15" s="1"/>
  <c r="AY28" i="15"/>
  <c r="BD42" i="29"/>
  <c r="CL15" i="15"/>
  <c r="CL16" i="15" s="1"/>
  <c r="CL17" i="15"/>
  <c r="CL18" i="15" s="1"/>
  <c r="CM14" i="15"/>
  <c r="AA31" i="15"/>
  <c r="AA32" i="15" s="1"/>
  <c r="AA29" i="15"/>
  <c r="AA30" i="15" s="1"/>
  <c r="AB28" i="15"/>
  <c r="CW27" i="29" l="1"/>
  <c r="CW18" i="13"/>
  <c r="CH31" i="29"/>
  <c r="CH29" i="29" s="1"/>
  <c r="CH9" i="29" s="1"/>
  <c r="CV19" i="29"/>
  <c r="CV33" i="29" s="1"/>
  <c r="CV10" i="13" s="1"/>
  <c r="CV18" i="29"/>
  <c r="CV8" i="29" s="1"/>
  <c r="CY17" i="27"/>
  <c r="CY22" i="27" s="1"/>
  <c r="CX44" i="29" s="1"/>
  <c r="AX35" i="29"/>
  <c r="AY34" i="29" s="1"/>
  <c r="Y34" i="29"/>
  <c r="Y31" i="29"/>
  <c r="Y29" i="29" s="1"/>
  <c r="Y9" i="29" s="1"/>
  <c r="CH35" i="29"/>
  <c r="DQ39" i="26"/>
  <c r="DQ47" i="26" s="1"/>
  <c r="DQ49" i="26" s="1"/>
  <c r="AW39" i="26"/>
  <c r="AW47" i="26" s="1"/>
  <c r="AW49" i="26" s="1"/>
  <c r="CM15" i="15"/>
  <c r="CM16" i="15" s="1"/>
  <c r="CM17" i="15"/>
  <c r="CM18" i="15" s="1"/>
  <c r="CN14" i="15"/>
  <c r="CH20" i="13"/>
  <c r="CH21" i="13" s="1"/>
  <c r="AB29" i="15"/>
  <c r="AB30" i="15" s="1"/>
  <c r="AB31" i="15"/>
  <c r="AB32" i="15" s="1"/>
  <c r="AC28" i="15"/>
  <c r="BE42" i="29"/>
  <c r="CK28" i="15"/>
  <c r="CJ29" i="15"/>
  <c r="CJ30" i="15" s="1"/>
  <c r="CJ31" i="15"/>
  <c r="CJ32" i="15" s="1"/>
  <c r="DW17" i="15"/>
  <c r="DW18" i="15" s="1"/>
  <c r="DW15" i="15"/>
  <c r="DW16" i="15" s="1"/>
  <c r="DX14" i="15"/>
  <c r="Z20" i="13"/>
  <c r="AV20" i="13"/>
  <c r="AV21" i="13" s="1"/>
  <c r="AW20" i="13"/>
  <c r="AY31" i="15"/>
  <c r="AY32" i="15" s="1"/>
  <c r="AY29" i="15"/>
  <c r="AY30" i="15" s="1"/>
  <c r="AZ28" i="15"/>
  <c r="BC15" i="15"/>
  <c r="BC16" i="15" s="1"/>
  <c r="BC17" i="15"/>
  <c r="BC18" i="15" s="1"/>
  <c r="BD14" i="15"/>
  <c r="AY31" i="29" l="1"/>
  <c r="AY29" i="29" s="1"/>
  <c r="AY9" i="29" s="1"/>
  <c r="CW20" i="29"/>
  <c r="CW21" i="29"/>
  <c r="CW5" i="13" s="1"/>
  <c r="CX24" i="15" s="1"/>
  <c r="CX27" i="15" s="1"/>
  <c r="CY13" i="27"/>
  <c r="CZ20" i="27"/>
  <c r="CU8" i="7"/>
  <c r="CU10" i="7" s="1"/>
  <c r="CY7" i="27"/>
  <c r="CV42" i="3"/>
  <c r="CI34" i="29"/>
  <c r="CI31" i="29"/>
  <c r="CI29" i="29" s="1"/>
  <c r="CI9" i="29" s="1"/>
  <c r="Y35" i="29"/>
  <c r="CN15" i="15"/>
  <c r="CN16" i="15" s="1"/>
  <c r="CN17" i="15"/>
  <c r="CN18" i="15" s="1"/>
  <c r="CO14" i="15"/>
  <c r="AC31" i="15"/>
  <c r="AC32" i="15" s="1"/>
  <c r="AC29" i="15"/>
  <c r="AC30" i="15" s="1"/>
  <c r="AD28" i="15"/>
  <c r="AW21" i="13"/>
  <c r="CK31" i="15"/>
  <c r="CK32" i="15" s="1"/>
  <c r="CK29" i="15"/>
  <c r="CK30" i="15" s="1"/>
  <c r="CL28" i="15"/>
  <c r="CI39" i="26"/>
  <c r="CI47" i="26" s="1"/>
  <c r="CI49" i="26" s="1"/>
  <c r="BD17" i="15"/>
  <c r="BD18" i="15" s="1"/>
  <c r="BD15" i="15"/>
  <c r="BD16" i="15" s="1"/>
  <c r="BE14" i="15"/>
  <c r="AZ31" i="15"/>
  <c r="AZ32" i="15" s="1"/>
  <c r="AZ29" i="15"/>
  <c r="AZ30" i="15" s="1"/>
  <c r="BA28" i="15"/>
  <c r="DX17" i="15"/>
  <c r="DX18" i="15" s="1"/>
  <c r="DX15" i="15"/>
  <c r="DX16" i="15" s="1"/>
  <c r="BF42" i="29"/>
  <c r="AY35" i="29" l="1"/>
  <c r="CX27" i="29"/>
  <c r="CX18" i="13"/>
  <c r="CW19" i="29"/>
  <c r="CW33" i="29" s="1"/>
  <c r="CW10" i="13" s="1"/>
  <c r="CW18" i="29"/>
  <c r="CW8" i="29" s="1"/>
  <c r="CZ17" i="27"/>
  <c r="CZ22" i="27" s="1"/>
  <c r="CY44" i="29" s="1"/>
  <c r="AX39" i="26"/>
  <c r="AX47" i="26" s="1"/>
  <c r="AX49" i="26" s="1"/>
  <c r="Z34" i="29"/>
  <c r="Z31" i="29"/>
  <c r="Z29" i="29" s="1"/>
  <c r="Z9" i="29" s="1"/>
  <c r="AX20" i="13"/>
  <c r="AX21" i="13" s="1"/>
  <c r="AZ34" i="29"/>
  <c r="AZ31" i="29"/>
  <c r="AZ29" i="29" s="1"/>
  <c r="AZ9" i="29" s="1"/>
  <c r="CI35" i="29"/>
  <c r="DR39" i="26"/>
  <c r="DR47" i="26" s="1"/>
  <c r="DR49" i="26" s="1"/>
  <c r="BG42" i="29"/>
  <c r="CL29" i="15"/>
  <c r="CL30" i="15" s="1"/>
  <c r="CL31" i="15"/>
  <c r="CL32" i="15" s="1"/>
  <c r="CM28" i="15"/>
  <c r="BE17" i="15"/>
  <c r="BE18" i="15" s="1"/>
  <c r="BE15" i="15"/>
  <c r="BE16" i="15" s="1"/>
  <c r="BF14" i="15"/>
  <c r="BA31" i="15"/>
  <c r="BA32" i="15" s="1"/>
  <c r="BA29" i="15"/>
  <c r="BA30" i="15" s="1"/>
  <c r="BB28" i="15"/>
  <c r="AA20" i="13"/>
  <c r="AE28" i="15"/>
  <c r="AD29" i="15"/>
  <c r="AD30" i="15" s="1"/>
  <c r="AD31" i="15"/>
  <c r="AD32" i="15" s="1"/>
  <c r="CI20" i="13"/>
  <c r="CI21" i="13" s="1"/>
  <c r="CO17" i="15"/>
  <c r="CO18" i="15" s="1"/>
  <c r="CO15" i="15"/>
  <c r="CO16" i="15" s="1"/>
  <c r="CP14" i="15"/>
  <c r="CX20" i="29" l="1"/>
  <c r="CX21" i="29"/>
  <c r="CX5" i="13" s="1"/>
  <c r="CY24" i="15" s="1"/>
  <c r="CY27" i="15" s="1"/>
  <c r="CZ13" i="27"/>
  <c r="DA20" i="27"/>
  <c r="CV8" i="7"/>
  <c r="CV10" i="7" s="1"/>
  <c r="CZ7" i="27"/>
  <c r="CW42" i="3"/>
  <c r="AZ35" i="29"/>
  <c r="Z35" i="29"/>
  <c r="CJ34" i="29"/>
  <c r="CJ31" i="29"/>
  <c r="CJ29" i="29" s="1"/>
  <c r="CJ9" i="29" s="1"/>
  <c r="CJ39" i="26"/>
  <c r="CJ47" i="26" s="1"/>
  <c r="CJ49" i="26" s="1"/>
  <c r="AY39" i="26"/>
  <c r="AY47" i="26" s="1"/>
  <c r="AY49" i="26" s="1"/>
  <c r="BH42" i="29"/>
  <c r="AE31" i="15"/>
  <c r="AE32" i="15" s="1"/>
  <c r="AE29" i="15"/>
  <c r="AE30" i="15" s="1"/>
  <c r="AF28" i="15"/>
  <c r="BF17" i="15"/>
  <c r="BF18" i="15" s="1"/>
  <c r="BF15" i="15"/>
  <c r="BF16" i="15" s="1"/>
  <c r="BG14" i="15"/>
  <c r="CJ20" i="13"/>
  <c r="CJ21" i="13" s="1"/>
  <c r="CP17" i="15"/>
  <c r="CP18" i="15" s="1"/>
  <c r="CP15" i="15"/>
  <c r="CP16" i="15" s="1"/>
  <c r="CQ14" i="15"/>
  <c r="CM31" i="15"/>
  <c r="CM32" i="15" s="1"/>
  <c r="CM29" i="15"/>
  <c r="CM30" i="15" s="1"/>
  <c r="CN28" i="15"/>
  <c r="BB31" i="15"/>
  <c r="BB32" i="15" s="1"/>
  <c r="BB29" i="15"/>
  <c r="BB30" i="15" s="1"/>
  <c r="BC28" i="15"/>
  <c r="CY27" i="29" l="1"/>
  <c r="CY18" i="13"/>
  <c r="CX18" i="29"/>
  <c r="CX8" i="29" s="1"/>
  <c r="CX19" i="29"/>
  <c r="CX33" i="29" s="1"/>
  <c r="CX10" i="13" s="1"/>
  <c r="DA17" i="27"/>
  <c r="DA22" i="27" s="1"/>
  <c r="CZ44" i="29" s="1"/>
  <c r="CJ35" i="29"/>
  <c r="AA34" i="29"/>
  <c r="AA31" i="29"/>
  <c r="AA29" i="29" s="1"/>
  <c r="AA9" i="29" s="1"/>
  <c r="BA34" i="29"/>
  <c r="BA31" i="29"/>
  <c r="BA29" i="29" s="1"/>
  <c r="BA9" i="29" s="1"/>
  <c r="DS39" i="26"/>
  <c r="DS47" i="26" s="1"/>
  <c r="DS49" i="26" s="1"/>
  <c r="AZ39" i="26"/>
  <c r="AZ47" i="26" s="1"/>
  <c r="AZ49" i="26" s="1"/>
  <c r="BG17" i="15"/>
  <c r="BG18" i="15" s="1"/>
  <c r="BG15" i="15"/>
  <c r="BG16" i="15" s="1"/>
  <c r="BH14" i="15"/>
  <c r="AF31" i="15"/>
  <c r="AF32" i="15" s="1"/>
  <c r="AF29" i="15"/>
  <c r="AF30" i="15" s="1"/>
  <c r="AG28" i="15"/>
  <c r="BI42" i="29"/>
  <c r="CQ17" i="15"/>
  <c r="CQ18" i="15" s="1"/>
  <c r="CQ15" i="15"/>
  <c r="CQ16" i="15" s="1"/>
  <c r="CR14" i="15"/>
  <c r="BC31" i="15"/>
  <c r="BC32" i="15" s="1"/>
  <c r="BC29" i="15"/>
  <c r="BC30" i="15" s="1"/>
  <c r="BD28" i="15"/>
  <c r="CN29" i="15"/>
  <c r="CN30" i="15" s="1"/>
  <c r="CN31" i="15"/>
  <c r="CN32" i="15" s="1"/>
  <c r="CO28" i="15"/>
  <c r="AB20" i="13"/>
  <c r="Q8" i="14"/>
  <c r="Q18" i="14" s="1"/>
  <c r="Q19" i="14" s="1"/>
  <c r="CY20" i="29" l="1"/>
  <c r="CY21" i="29"/>
  <c r="CY5" i="13" s="1"/>
  <c r="CZ24" i="15" s="1"/>
  <c r="CZ27" i="15" s="1"/>
  <c r="CW8" i="7"/>
  <c r="CW10" i="7" s="1"/>
  <c r="DB20" i="27"/>
  <c r="DA13" i="27"/>
  <c r="DA7" i="27"/>
  <c r="CX42" i="3"/>
  <c r="AY20" i="13"/>
  <c r="AY21" i="13" s="1"/>
  <c r="CK39" i="26"/>
  <c r="CK47" i="26" s="1"/>
  <c r="CK49" i="26" s="1"/>
  <c r="AA35" i="29"/>
  <c r="AB34" i="29" s="1"/>
  <c r="BA35" i="29"/>
  <c r="CK34" i="29"/>
  <c r="CK31" i="29"/>
  <c r="CK29" i="29" s="1"/>
  <c r="CK9" i="29" s="1"/>
  <c r="BH17" i="15"/>
  <c r="BH18" i="15" s="1"/>
  <c r="BH15" i="15"/>
  <c r="BH16" i="15" s="1"/>
  <c r="BI14" i="15"/>
  <c r="BD29" i="15"/>
  <c r="BD30" i="15" s="1"/>
  <c r="BD31" i="15"/>
  <c r="BD32" i="15" s="1"/>
  <c r="BE28" i="15"/>
  <c r="BJ42" i="29"/>
  <c r="CO31" i="15"/>
  <c r="CO32" i="15" s="1"/>
  <c r="CO29" i="15"/>
  <c r="CO30" i="15" s="1"/>
  <c r="CP28" i="15"/>
  <c r="CK20" i="13"/>
  <c r="CK21" i="13" s="1"/>
  <c r="AZ20" i="13"/>
  <c r="CR15" i="15"/>
  <c r="CR16" i="15" s="1"/>
  <c r="CR17" i="15"/>
  <c r="CR18" i="15" s="1"/>
  <c r="CS14" i="15"/>
  <c r="AG29" i="15"/>
  <c r="AG30" i="15" s="1"/>
  <c r="AG31" i="15"/>
  <c r="AG32" i="15" s="1"/>
  <c r="AH28" i="15"/>
  <c r="CZ27" i="29" l="1"/>
  <c r="CZ18" i="13"/>
  <c r="CY19" i="29"/>
  <c r="CY33" i="29" s="1"/>
  <c r="CY10" i="13" s="1"/>
  <c r="CY18" i="29"/>
  <c r="CY8" i="29" s="1"/>
  <c r="AZ21" i="13"/>
  <c r="DB17" i="27"/>
  <c r="DB22" i="27" s="1"/>
  <c r="DA44" i="29" s="1"/>
  <c r="AB31" i="29"/>
  <c r="AB29" i="29" s="1"/>
  <c r="AB9" i="29" s="1"/>
  <c r="CK35" i="29"/>
  <c r="BB34" i="29"/>
  <c r="BB31" i="29"/>
  <c r="BB29" i="29" s="1"/>
  <c r="BB9" i="29" s="1"/>
  <c r="DT39" i="26"/>
  <c r="DT47" i="26" s="1"/>
  <c r="DT49" i="26" s="1"/>
  <c r="CP29" i="15"/>
  <c r="CP30" i="15" s="1"/>
  <c r="CP31" i="15"/>
  <c r="CP32" i="15" s="1"/>
  <c r="CQ28" i="15"/>
  <c r="AC20" i="13"/>
  <c r="CL39" i="26"/>
  <c r="CL47" i="26" s="1"/>
  <c r="CL49" i="26" s="1"/>
  <c r="AH29" i="15"/>
  <c r="AH30" i="15" s="1"/>
  <c r="AH31" i="15"/>
  <c r="AH32" i="15" s="1"/>
  <c r="AI28" i="15"/>
  <c r="BI15" i="15"/>
  <c r="BI16" i="15" s="1"/>
  <c r="BI17" i="15"/>
  <c r="BI18" i="15" s="1"/>
  <c r="BJ14" i="15"/>
  <c r="BA39" i="26"/>
  <c r="BA47" i="26" s="1"/>
  <c r="BA49" i="26" s="1"/>
  <c r="BE31" i="15"/>
  <c r="BE32" i="15" s="1"/>
  <c r="BE29" i="15"/>
  <c r="BE30" i="15" s="1"/>
  <c r="BF28" i="15"/>
  <c r="BK42" i="29"/>
  <c r="CS15" i="15"/>
  <c r="CS16" i="15" s="1"/>
  <c r="CS17" i="15"/>
  <c r="CS18" i="15" s="1"/>
  <c r="CT14" i="15"/>
  <c r="CZ20" i="29" l="1"/>
  <c r="CZ21" i="29"/>
  <c r="CZ5" i="13" s="1"/>
  <c r="DA24" i="15" s="1"/>
  <c r="DA27" i="15" s="1"/>
  <c r="CX8" i="7"/>
  <c r="CX10" i="7" s="1"/>
  <c r="DB13" i="27"/>
  <c r="DC20" i="27"/>
  <c r="DB7" i="27"/>
  <c r="CY42" i="3"/>
  <c r="AB35" i="29"/>
  <c r="AC34" i="29" s="1"/>
  <c r="BB35" i="29"/>
  <c r="CL34" i="29"/>
  <c r="CL31" i="29"/>
  <c r="CL29" i="29" s="1"/>
  <c r="CL9" i="29" s="1"/>
  <c r="BJ15" i="15"/>
  <c r="BJ16" i="15" s="1"/>
  <c r="BJ17" i="15"/>
  <c r="BJ18" i="15" s="1"/>
  <c r="BK14" i="15"/>
  <c r="BF31" i="15"/>
  <c r="BF32" i="15" s="1"/>
  <c r="BF29" i="15"/>
  <c r="BF30" i="15" s="1"/>
  <c r="BG28" i="15"/>
  <c r="CT15" i="15"/>
  <c r="CT16" i="15" s="1"/>
  <c r="CT17" i="15"/>
  <c r="CT18" i="15" s="1"/>
  <c r="CU14" i="15"/>
  <c r="BA20" i="13"/>
  <c r="BA21" i="13" s="1"/>
  <c r="CL20" i="13"/>
  <c r="CL21" i="13" s="1"/>
  <c r="CR28" i="15"/>
  <c r="CQ31" i="15"/>
  <c r="CQ32" i="15" s="1"/>
  <c r="CQ29" i="15"/>
  <c r="CQ30" i="15" s="1"/>
  <c r="BL42" i="29"/>
  <c r="AJ28" i="15"/>
  <c r="AI31" i="15"/>
  <c r="AI32" i="15" s="1"/>
  <c r="AI29" i="15"/>
  <c r="AI30" i="15" s="1"/>
  <c r="DA27" i="29" l="1"/>
  <c r="DA18" i="13"/>
  <c r="CZ18" i="29"/>
  <c r="CZ8" i="29" s="1"/>
  <c r="CZ19" i="29"/>
  <c r="CZ33" i="29" s="1"/>
  <c r="CZ10" i="13" s="1"/>
  <c r="DC17" i="27"/>
  <c r="DC22" i="27" s="1"/>
  <c r="DB44" i="29" s="1"/>
  <c r="AC31" i="29"/>
  <c r="AC29" i="29" s="1"/>
  <c r="AC9" i="29" s="1"/>
  <c r="CL35" i="29"/>
  <c r="BC34" i="29"/>
  <c r="BC31" i="29"/>
  <c r="BC29" i="29" s="1"/>
  <c r="BC9" i="29" s="1"/>
  <c r="DU39" i="26"/>
  <c r="DU47" i="26" s="1"/>
  <c r="DU49" i="26" s="1"/>
  <c r="BM42" i="29"/>
  <c r="CR31" i="15"/>
  <c r="CR32" i="15" s="1"/>
  <c r="CR29" i="15"/>
  <c r="CR30" i="15" s="1"/>
  <c r="CS28" i="15"/>
  <c r="CM39" i="26"/>
  <c r="CM47" i="26" s="1"/>
  <c r="CM49" i="26" s="1"/>
  <c r="CU15" i="15"/>
  <c r="CU16" i="15" s="1"/>
  <c r="CU17" i="15"/>
  <c r="CU18" i="15" s="1"/>
  <c r="CV14" i="15"/>
  <c r="AD20" i="13"/>
  <c r="BB39" i="26"/>
  <c r="BB47" i="26" s="1"/>
  <c r="BB49" i="26" s="1"/>
  <c r="BG29" i="15"/>
  <c r="BG30" i="15" s="1"/>
  <c r="BG31" i="15"/>
  <c r="BG32" i="15" s="1"/>
  <c r="BH28" i="15"/>
  <c r="AJ29" i="15"/>
  <c r="AJ30" i="15" s="1"/>
  <c r="AK28" i="15"/>
  <c r="AJ31" i="15"/>
  <c r="AJ32" i="15" s="1"/>
  <c r="BK17" i="15"/>
  <c r="BK18" i="15" s="1"/>
  <c r="BK15" i="15"/>
  <c r="BK16" i="15" s="1"/>
  <c r="BL14" i="15"/>
  <c r="DA20" i="29" l="1"/>
  <c r="DA21" i="29"/>
  <c r="DA5" i="13" s="1"/>
  <c r="DB24" i="15" s="1"/>
  <c r="DB27" i="15" s="1"/>
  <c r="CY8" i="7"/>
  <c r="CY10" i="7" s="1"/>
  <c r="DD20" i="27"/>
  <c r="DC13" i="27"/>
  <c r="DC7" i="27"/>
  <c r="CZ42" i="3"/>
  <c r="AC35" i="29"/>
  <c r="BC35" i="29"/>
  <c r="CM34" i="29"/>
  <c r="CM31" i="29"/>
  <c r="CM29" i="29" s="1"/>
  <c r="CM9" i="29" s="1"/>
  <c r="CS29" i="15"/>
  <c r="CS30" i="15" s="1"/>
  <c r="CS31" i="15"/>
  <c r="CS32" i="15" s="1"/>
  <c r="CT28" i="15"/>
  <c r="CV17" i="15"/>
  <c r="CV18" i="15" s="1"/>
  <c r="CV15" i="15"/>
  <c r="CV16" i="15" s="1"/>
  <c r="CW14" i="15"/>
  <c r="CM20" i="13"/>
  <c r="CM21" i="13" s="1"/>
  <c r="BH31" i="15"/>
  <c r="BH32" i="15" s="1"/>
  <c r="BH29" i="15"/>
  <c r="BH30" i="15" s="1"/>
  <c r="BI28" i="15"/>
  <c r="I8" i="14"/>
  <c r="AK31" i="15"/>
  <c r="AK32" i="15" s="1"/>
  <c r="AK29" i="15"/>
  <c r="AK30" i="15" s="1"/>
  <c r="AL28" i="15"/>
  <c r="BB20" i="13"/>
  <c r="BB21" i="13" s="1"/>
  <c r="BN42" i="29"/>
  <c r="BL17" i="15"/>
  <c r="BL18" i="15" s="1"/>
  <c r="BL15" i="15"/>
  <c r="BL16" i="15" s="1"/>
  <c r="BM14" i="15"/>
  <c r="DB27" i="29" l="1"/>
  <c r="DB18" i="13"/>
  <c r="DA19" i="29"/>
  <c r="DA33" i="29" s="1"/>
  <c r="DA10" i="13" s="1"/>
  <c r="DA18" i="29"/>
  <c r="DA8" i="29" s="1"/>
  <c r="DD17" i="27"/>
  <c r="DD22" i="27"/>
  <c r="DC44" i="29" s="1"/>
  <c r="AD34" i="29"/>
  <c r="AD31" i="29"/>
  <c r="AD29" i="29" s="1"/>
  <c r="AD9" i="29" s="1"/>
  <c r="CM35" i="29"/>
  <c r="BD34" i="29"/>
  <c r="BD31" i="29"/>
  <c r="BD29" i="29" s="1"/>
  <c r="BD9" i="29" s="1"/>
  <c r="DV39" i="26"/>
  <c r="DV47" i="26" s="1"/>
  <c r="DV49" i="26" s="1"/>
  <c r="BI29" i="15"/>
  <c r="BI30" i="15" s="1"/>
  <c r="BI31" i="15"/>
  <c r="BI32" i="15" s="1"/>
  <c r="BJ28" i="15"/>
  <c r="BO42" i="29"/>
  <c r="CW17" i="15"/>
  <c r="CW18" i="15" s="1"/>
  <c r="CW15" i="15"/>
  <c r="CW16" i="15" s="1"/>
  <c r="CX14" i="15"/>
  <c r="CN39" i="26"/>
  <c r="CN47" i="26" s="1"/>
  <c r="CN49" i="26" s="1"/>
  <c r="CT29" i="15"/>
  <c r="CT30" i="15" s="1"/>
  <c r="CT31" i="15"/>
  <c r="CT32" i="15" s="1"/>
  <c r="CU28" i="15"/>
  <c r="BM17" i="15"/>
  <c r="BM18" i="15" s="1"/>
  <c r="BM15" i="15"/>
  <c r="BM16" i="15" s="1"/>
  <c r="BN14" i="15"/>
  <c r="BC39" i="26"/>
  <c r="BC47" i="26" s="1"/>
  <c r="BC49" i="26" s="1"/>
  <c r="AL31" i="15"/>
  <c r="AL32" i="15" s="1"/>
  <c r="AL29" i="15"/>
  <c r="AL30" i="15" s="1"/>
  <c r="AM28" i="15"/>
  <c r="DB20" i="29" l="1"/>
  <c r="DB21" i="29"/>
  <c r="DB5" i="13" s="1"/>
  <c r="DC24" i="15" s="1"/>
  <c r="DC27" i="15" s="1"/>
  <c r="DE20" i="27"/>
  <c r="CZ8" i="7"/>
  <c r="CZ10" i="7" s="1"/>
  <c r="DD13" i="27"/>
  <c r="DD7" i="27"/>
  <c r="DA42" i="3"/>
  <c r="AD35" i="29"/>
  <c r="BD35" i="29"/>
  <c r="CN34" i="29"/>
  <c r="CN31" i="29"/>
  <c r="CN29" i="29" s="1"/>
  <c r="CN9" i="29" s="1"/>
  <c r="BP42" i="29"/>
  <c r="CU31" i="15"/>
  <c r="CU32" i="15" s="1"/>
  <c r="CU29" i="15"/>
  <c r="CU30" i="15" s="1"/>
  <c r="CV28" i="15"/>
  <c r="CN20" i="13"/>
  <c r="CN21" i="13" s="1"/>
  <c r="BN17" i="15"/>
  <c r="BN18" i="15" s="1"/>
  <c r="BN15" i="15"/>
  <c r="BN16" i="15" s="1"/>
  <c r="BO14" i="15"/>
  <c r="AM31" i="15"/>
  <c r="AM32" i="15" s="1"/>
  <c r="AM29" i="15"/>
  <c r="AM30" i="15" s="1"/>
  <c r="AN28" i="15"/>
  <c r="CX15" i="15"/>
  <c r="CX16" i="15" s="1"/>
  <c r="CX17" i="15"/>
  <c r="CX18" i="15" s="1"/>
  <c r="CY14" i="15"/>
  <c r="BK28" i="15"/>
  <c r="BJ31" i="15"/>
  <c r="BJ32" i="15" s="1"/>
  <c r="BJ29" i="15"/>
  <c r="BJ30" i="15" s="1"/>
  <c r="DC27" i="29" l="1"/>
  <c r="DC18" i="13"/>
  <c r="DB19" i="29"/>
  <c r="DB33" i="29" s="1"/>
  <c r="DB10" i="13" s="1"/>
  <c r="DB18" i="29"/>
  <c r="DB8" i="29" s="1"/>
  <c r="DE17" i="27"/>
  <c r="DE22" i="27" s="1"/>
  <c r="DD44" i="29" s="1"/>
  <c r="AE31" i="29"/>
  <c r="AE29" i="29" s="1"/>
  <c r="AE9" i="29" s="1"/>
  <c r="AE34" i="29"/>
  <c r="CN35" i="29"/>
  <c r="BE34" i="29"/>
  <c r="BE31" i="29"/>
  <c r="BE29" i="29" s="1"/>
  <c r="BE9" i="29" s="1"/>
  <c r="BQ42" i="29"/>
  <c r="CO39" i="26"/>
  <c r="CO47" i="26" s="1"/>
  <c r="CO49" i="26" s="1"/>
  <c r="BO15" i="15"/>
  <c r="BO16" i="15" s="1"/>
  <c r="BO17" i="15"/>
  <c r="BO18" i="15" s="1"/>
  <c r="BP14" i="15"/>
  <c r="BK29" i="15"/>
  <c r="BK30" i="15" s="1"/>
  <c r="BK31" i="15"/>
  <c r="BK32" i="15" s="1"/>
  <c r="BL28" i="15"/>
  <c r="AN29" i="15"/>
  <c r="AN30" i="15" s="1"/>
  <c r="AO28" i="15"/>
  <c r="AN31" i="15"/>
  <c r="AN32" i="15" s="1"/>
  <c r="BD39" i="26"/>
  <c r="BD47" i="26" s="1"/>
  <c r="BD49" i="26" s="1"/>
  <c r="CW28" i="15"/>
  <c r="CV29" i="15"/>
  <c r="CV30" i="15" s="1"/>
  <c r="CV31" i="15"/>
  <c r="CV32" i="15" s="1"/>
  <c r="CY15" i="15"/>
  <c r="CY16" i="15" s="1"/>
  <c r="CY17" i="15"/>
  <c r="CY18" i="15" s="1"/>
  <c r="CZ14" i="15"/>
  <c r="BC20" i="13"/>
  <c r="BC21" i="13" s="1"/>
  <c r="DC20" i="29" l="1"/>
  <c r="DC21" i="29"/>
  <c r="DC5" i="13" s="1"/>
  <c r="DD24" i="15" s="1"/>
  <c r="DD27" i="15" s="1"/>
  <c r="DA8" i="7"/>
  <c r="DA10" i="7" s="1"/>
  <c r="DD18" i="13" s="1"/>
  <c r="DF20" i="27"/>
  <c r="DE13" i="27"/>
  <c r="DE7" i="27"/>
  <c r="DB42" i="3"/>
  <c r="AE35" i="29"/>
  <c r="AE41" i="29"/>
  <c r="BE35" i="29"/>
  <c r="CO34" i="29"/>
  <c r="CO31" i="29"/>
  <c r="CO29" i="29" s="1"/>
  <c r="CO9" i="29" s="1"/>
  <c r="CW29" i="15"/>
  <c r="CW30" i="15" s="1"/>
  <c r="CW31" i="15"/>
  <c r="CW32" i="15" s="1"/>
  <c r="CX28" i="15"/>
  <c r="AO29" i="15"/>
  <c r="AO30" i="15" s="1"/>
  <c r="AP28" i="15"/>
  <c r="AO31" i="15"/>
  <c r="AO32" i="15" s="1"/>
  <c r="BP15" i="15"/>
  <c r="BP16" i="15" s="1"/>
  <c r="BP17" i="15"/>
  <c r="BP18" i="15" s="1"/>
  <c r="BQ14" i="15"/>
  <c r="BR42" i="29"/>
  <c r="BD20" i="13"/>
  <c r="BD21" i="13" s="1"/>
  <c r="CZ15" i="15"/>
  <c r="CZ16" i="15" s="1"/>
  <c r="CZ17" i="15"/>
  <c r="CZ18" i="15" s="1"/>
  <c r="DA14" i="15"/>
  <c r="BL31" i="15"/>
  <c r="BL32" i="15" s="1"/>
  <c r="BL29" i="15"/>
  <c r="BL30" i="15" s="1"/>
  <c r="BM28" i="15"/>
  <c r="CO20" i="13"/>
  <c r="CO21" i="13" s="1"/>
  <c r="DC19" i="29" l="1"/>
  <c r="DC33" i="29" s="1"/>
  <c r="DC10" i="13" s="1"/>
  <c r="DC18" i="29"/>
  <c r="DC8" i="29" s="1"/>
  <c r="DF17" i="27"/>
  <c r="DF22" i="27" s="1"/>
  <c r="DE44" i="29" s="1"/>
  <c r="DD27" i="29"/>
  <c r="DD21" i="29" s="1"/>
  <c r="DD5" i="13" s="1"/>
  <c r="DE24" i="15" s="1"/>
  <c r="DE27" i="15" s="1"/>
  <c r="AE45" i="29"/>
  <c r="AE40" i="29"/>
  <c r="AE39" i="29" s="1"/>
  <c r="AE37" i="29" s="1"/>
  <c r="AF31" i="29"/>
  <c r="AF29" i="29" s="1"/>
  <c r="AF9" i="29" s="1"/>
  <c r="AF34" i="29"/>
  <c r="BF34" i="29"/>
  <c r="BF31" i="29"/>
  <c r="BF29" i="29" s="1"/>
  <c r="BF9" i="29" s="1"/>
  <c r="CO35" i="29"/>
  <c r="DA17" i="15"/>
  <c r="DA18" i="15" s="1"/>
  <c r="DA15" i="15"/>
  <c r="DA16" i="15" s="1"/>
  <c r="DB14" i="15"/>
  <c r="BQ15" i="15"/>
  <c r="BQ16" i="15" s="1"/>
  <c r="BQ17" i="15"/>
  <c r="BQ18" i="15" s="1"/>
  <c r="BR14" i="15"/>
  <c r="CX31" i="15"/>
  <c r="CX32" i="15" s="1"/>
  <c r="CX29" i="15"/>
  <c r="CX30" i="15" s="1"/>
  <c r="CY28" i="15"/>
  <c r="CP39" i="26"/>
  <c r="CP47" i="26" s="1"/>
  <c r="CP49" i="26" s="1"/>
  <c r="BS42" i="29"/>
  <c r="BM29" i="15"/>
  <c r="BM30" i="15" s="1"/>
  <c r="BM31" i="15"/>
  <c r="BM32" i="15" s="1"/>
  <c r="BN28" i="15"/>
  <c r="AP29" i="15"/>
  <c r="AP30" i="15" s="1"/>
  <c r="AP31" i="15"/>
  <c r="AP32" i="15" s="1"/>
  <c r="AQ28" i="15"/>
  <c r="BE39" i="26"/>
  <c r="BE47" i="26" s="1"/>
  <c r="BE49" i="26" s="1"/>
  <c r="AF26" i="15" l="1"/>
  <c r="AE11" i="13"/>
  <c r="DD20" i="29"/>
  <c r="DG20" i="27"/>
  <c r="DF13" i="27"/>
  <c r="DB8" i="7"/>
  <c r="DB10" i="7" s="1"/>
  <c r="DE18" i="13" s="1"/>
  <c r="DF7" i="27"/>
  <c r="DC42" i="3"/>
  <c r="AF35" i="29"/>
  <c r="AF41" i="29"/>
  <c r="CP34" i="29"/>
  <c r="CP31" i="29"/>
  <c r="CP29" i="29" s="1"/>
  <c r="CP9" i="29" s="1"/>
  <c r="AE10" i="29"/>
  <c r="BF35" i="29"/>
  <c r="CY31" i="15"/>
  <c r="CY32" i="15" s="1"/>
  <c r="CY29" i="15"/>
  <c r="CY30" i="15" s="1"/>
  <c r="CZ28" i="15"/>
  <c r="DB17" i="15"/>
  <c r="DB18" i="15" s="1"/>
  <c r="DB15" i="15"/>
  <c r="DB16" i="15" s="1"/>
  <c r="DC14" i="15"/>
  <c r="BE20" i="13"/>
  <c r="BE21" i="13" s="1"/>
  <c r="AR28" i="15"/>
  <c r="AQ29" i="15"/>
  <c r="AQ30" i="15" s="1"/>
  <c r="AQ31" i="15"/>
  <c r="AQ32" i="15" s="1"/>
  <c r="CP20" i="13"/>
  <c r="CP21" i="13" s="1"/>
  <c r="BR15" i="15"/>
  <c r="BR16" i="15" s="1"/>
  <c r="BR17" i="15"/>
  <c r="BR18" i="15" s="1"/>
  <c r="BS14" i="15"/>
  <c r="BN29" i="15"/>
  <c r="BN30" i="15" s="1"/>
  <c r="BN31" i="15"/>
  <c r="BN32" i="15" s="1"/>
  <c r="BO28" i="15"/>
  <c r="BT42" i="29"/>
  <c r="L8" i="14"/>
  <c r="AE20" i="13" l="1"/>
  <c r="I9" i="14"/>
  <c r="I18" i="14" s="1"/>
  <c r="I19" i="14" s="1"/>
  <c r="DE27" i="29"/>
  <c r="DE21" i="29" s="1"/>
  <c r="DE5" i="13" s="1"/>
  <c r="DF24" i="15" s="1"/>
  <c r="DF27" i="15" s="1"/>
  <c r="DG17" i="27"/>
  <c r="DG22" i="27" s="1"/>
  <c r="DF44" i="29" s="1"/>
  <c r="DD19" i="29"/>
  <c r="DD18" i="29"/>
  <c r="DD8" i="29" s="1"/>
  <c r="AF45" i="29"/>
  <c r="AF40" i="29"/>
  <c r="AF39" i="29" s="1"/>
  <c r="AF37" i="29" s="1"/>
  <c r="AG31" i="29"/>
  <c r="AG29" i="29" s="1"/>
  <c r="AG9" i="29" s="1"/>
  <c r="AG34" i="29"/>
  <c r="CP35" i="29"/>
  <c r="BG34" i="29"/>
  <c r="BG31" i="29"/>
  <c r="BG29" i="29" s="1"/>
  <c r="BG9" i="29" s="1"/>
  <c r="BS15" i="15"/>
  <c r="BS16" i="15" s="1"/>
  <c r="BS17" i="15"/>
  <c r="BS18" i="15" s="1"/>
  <c r="BT14" i="15"/>
  <c r="DA28" i="15"/>
  <c r="CZ29" i="15"/>
  <c r="CZ30" i="15" s="1"/>
  <c r="CZ31" i="15"/>
  <c r="CZ32" i="15" s="1"/>
  <c r="BF39" i="26"/>
  <c r="BF47" i="26" s="1"/>
  <c r="BF49" i="26" s="1"/>
  <c r="AR29" i="15"/>
  <c r="AR30" i="15" s="1"/>
  <c r="AR31" i="15"/>
  <c r="AR32" i="15" s="1"/>
  <c r="CQ39" i="26"/>
  <c r="CQ47" i="26" s="1"/>
  <c r="CQ49" i="26" s="1"/>
  <c r="BO29" i="15"/>
  <c r="BO30" i="15" s="1"/>
  <c r="BO31" i="15"/>
  <c r="BO32" i="15" s="1"/>
  <c r="BP28" i="15"/>
  <c r="BU42" i="29"/>
  <c r="DC17" i="15"/>
  <c r="DC18" i="15" s="1"/>
  <c r="DC15" i="15"/>
  <c r="DC16" i="15" s="1"/>
  <c r="DD14" i="15"/>
  <c r="AG26" i="15" l="1"/>
  <c r="AF11" i="13"/>
  <c r="AF20" i="13" s="1"/>
  <c r="DD33" i="29"/>
  <c r="DD10" i="13" s="1"/>
  <c r="DC8" i="7"/>
  <c r="DC10" i="7" s="1"/>
  <c r="DF18" i="13" s="1"/>
  <c r="DG13" i="27"/>
  <c r="DH20" i="27"/>
  <c r="DG7" i="27"/>
  <c r="DD42" i="3"/>
  <c r="DE20" i="29"/>
  <c r="AG35" i="29"/>
  <c r="AG41" i="29"/>
  <c r="BG35" i="29"/>
  <c r="CQ34" i="29"/>
  <c r="CQ31" i="29"/>
  <c r="CQ29" i="29" s="1"/>
  <c r="CQ9" i="29" s="1"/>
  <c r="AF10" i="29"/>
  <c r="BV42" i="29"/>
  <c r="BT15" i="15"/>
  <c r="BT16" i="15" s="1"/>
  <c r="BT17" i="15"/>
  <c r="BT18" i="15" s="1"/>
  <c r="BU14" i="15"/>
  <c r="CQ20" i="13"/>
  <c r="CQ21" i="13" s="1"/>
  <c r="H33" i="15"/>
  <c r="BF20" i="13"/>
  <c r="BF21" i="13" s="1"/>
  <c r="DD17" i="15"/>
  <c r="DD18" i="15" s="1"/>
  <c r="DD15" i="15"/>
  <c r="DD16" i="15" s="1"/>
  <c r="DE14" i="15"/>
  <c r="DA29" i="15"/>
  <c r="DA30" i="15" s="1"/>
  <c r="DA31" i="15"/>
  <c r="DA32" i="15" s="1"/>
  <c r="DB28" i="15"/>
  <c r="BP29" i="15"/>
  <c r="BP30" i="15" s="1"/>
  <c r="BP31" i="15"/>
  <c r="BP32" i="15" s="1"/>
  <c r="BQ28" i="15"/>
  <c r="DE19" i="29" l="1"/>
  <c r="DE18" i="29"/>
  <c r="DE8" i="29" s="1"/>
  <c r="DH17" i="27"/>
  <c r="DF27" i="29"/>
  <c r="DF21" i="29" s="1"/>
  <c r="DF5" i="13" s="1"/>
  <c r="DG24" i="15" s="1"/>
  <c r="DG27" i="15" s="1"/>
  <c r="AG40" i="29"/>
  <c r="AG39" i="29" s="1"/>
  <c r="AG37" i="29" s="1"/>
  <c r="AG45" i="29"/>
  <c r="AH34" i="29"/>
  <c r="AH31" i="29"/>
  <c r="AH29" i="29" s="1"/>
  <c r="AH9" i="29" s="1"/>
  <c r="CQ35" i="29"/>
  <c r="BH34" i="29"/>
  <c r="BH31" i="29"/>
  <c r="BH29" i="29" s="1"/>
  <c r="BH9" i="29" s="1"/>
  <c r="DE17" i="15"/>
  <c r="DE18" i="15" s="1"/>
  <c r="DE15" i="15"/>
  <c r="DE16" i="15" s="1"/>
  <c r="DF14" i="15"/>
  <c r="BU17" i="15"/>
  <c r="BU18" i="15" s="1"/>
  <c r="BU15" i="15"/>
  <c r="BU16" i="15" s="1"/>
  <c r="BV14" i="15"/>
  <c r="DB31" i="15"/>
  <c r="DB32" i="15" s="1"/>
  <c r="DC28" i="15"/>
  <c r="DB29" i="15"/>
  <c r="DB30" i="15" s="1"/>
  <c r="BW42" i="29"/>
  <c r="BQ29" i="15"/>
  <c r="BQ30" i="15" s="1"/>
  <c r="BR28" i="15"/>
  <c r="BQ31" i="15"/>
  <c r="BQ32" i="15" s="1"/>
  <c r="CR39" i="26"/>
  <c r="CR47" i="26" s="1"/>
  <c r="CR49" i="26" s="1"/>
  <c r="BG39" i="26"/>
  <c r="BG47" i="26" s="1"/>
  <c r="BG49" i="26" s="1"/>
  <c r="AG11" i="13" l="1"/>
  <c r="AG20" i="13" s="1"/>
  <c r="AH26" i="15"/>
  <c r="DE33" i="29"/>
  <c r="DE10" i="13" s="1"/>
  <c r="DH7" i="27"/>
  <c r="DE42" i="3"/>
  <c r="DF20" i="29"/>
  <c r="DH22" i="27"/>
  <c r="DG44" i="29" s="1"/>
  <c r="AH35" i="29"/>
  <c r="AH41" i="29"/>
  <c r="AG10" i="29"/>
  <c r="BH35" i="29"/>
  <c r="CR34" i="29"/>
  <c r="CR31" i="29"/>
  <c r="CR29" i="29" s="1"/>
  <c r="CR9" i="29" s="1"/>
  <c r="DC31" i="15"/>
  <c r="DC32" i="15" s="1"/>
  <c r="DC29" i="15"/>
  <c r="DC30" i="15" s="1"/>
  <c r="DD28" i="15"/>
  <c r="CR20" i="13"/>
  <c r="CR21" i="13" s="1"/>
  <c r="BG20" i="13"/>
  <c r="BG21" i="13" s="1"/>
  <c r="BR29" i="15"/>
  <c r="BR30" i="15" s="1"/>
  <c r="BR31" i="15"/>
  <c r="BR32" i="15" s="1"/>
  <c r="BS28" i="15"/>
  <c r="DF15" i="15"/>
  <c r="DF16" i="15" s="1"/>
  <c r="DF17" i="15"/>
  <c r="DF18" i="15" s="1"/>
  <c r="DG14" i="15"/>
  <c r="BV15" i="15"/>
  <c r="BV16" i="15" s="1"/>
  <c r="BV17" i="15"/>
  <c r="BV18" i="15" s="1"/>
  <c r="BW14" i="15"/>
  <c r="BX42" i="29"/>
  <c r="DH13" i="27" l="1"/>
  <c r="DI20" i="27"/>
  <c r="DD8" i="7"/>
  <c r="DD10" i="7" s="1"/>
  <c r="DG18" i="13" s="1"/>
  <c r="DF18" i="29"/>
  <c r="DF8" i="29" s="1"/>
  <c r="DF19" i="29"/>
  <c r="AH40" i="29"/>
  <c r="AH39" i="29" s="1"/>
  <c r="AH37" i="29" s="1"/>
  <c r="AH45" i="29"/>
  <c r="AI31" i="29"/>
  <c r="AI29" i="29" s="1"/>
  <c r="AI9" i="29" s="1"/>
  <c r="AI34" i="29"/>
  <c r="BI34" i="29"/>
  <c r="BI31" i="29"/>
  <c r="BI29" i="29" s="1"/>
  <c r="BI9" i="29" s="1"/>
  <c r="CR35" i="29"/>
  <c r="DG15" i="15"/>
  <c r="DG16" i="15" s="1"/>
  <c r="DG17" i="15"/>
  <c r="DG18" i="15" s="1"/>
  <c r="DH14" i="15"/>
  <c r="BS31" i="15"/>
  <c r="BS32" i="15" s="1"/>
  <c r="BS29" i="15"/>
  <c r="BS30" i="15" s="1"/>
  <c r="BT28" i="15"/>
  <c r="DD29" i="15"/>
  <c r="DD30" i="15" s="1"/>
  <c r="DE28" i="15"/>
  <c r="DD31" i="15"/>
  <c r="DD32" i="15" s="1"/>
  <c r="BW17" i="15"/>
  <c r="BW18" i="15" s="1"/>
  <c r="BW15" i="15"/>
  <c r="BW16" i="15" s="1"/>
  <c r="BX14" i="15"/>
  <c r="CS39" i="26"/>
  <c r="CS47" i="26" s="1"/>
  <c r="CS49" i="26" s="1"/>
  <c r="BH39" i="26"/>
  <c r="BH47" i="26" s="1"/>
  <c r="BH49" i="26" s="1"/>
  <c r="BY42" i="29"/>
  <c r="AH11" i="13" l="1"/>
  <c r="AI26" i="15"/>
  <c r="DF33" i="29"/>
  <c r="DF10" i="13" s="1"/>
  <c r="DG27" i="29"/>
  <c r="DG21" i="29" s="1"/>
  <c r="DG5" i="13" s="1"/>
  <c r="DH24" i="15" s="1"/>
  <c r="DH27" i="15" s="1"/>
  <c r="DI17" i="27"/>
  <c r="DI22" i="27"/>
  <c r="DH44" i="29" s="1"/>
  <c r="AI35" i="29"/>
  <c r="AI41" i="29"/>
  <c r="CS34" i="29"/>
  <c r="CS31" i="29"/>
  <c r="CS29" i="29" s="1"/>
  <c r="CS9" i="29" s="1"/>
  <c r="AH10" i="29"/>
  <c r="BI35" i="29"/>
  <c r="CS20" i="13"/>
  <c r="CS21" i="13" s="1"/>
  <c r="DH15" i="15"/>
  <c r="DH16" i="15" s="1"/>
  <c r="DH17" i="15"/>
  <c r="DH18" i="15" s="1"/>
  <c r="DI14" i="15"/>
  <c r="BZ42" i="29"/>
  <c r="O8" i="14"/>
  <c r="BH20" i="13"/>
  <c r="BH21" i="13" s="1"/>
  <c r="BX17" i="15"/>
  <c r="BX18" i="15" s="1"/>
  <c r="BX15" i="15"/>
  <c r="BX16" i="15" s="1"/>
  <c r="BY14" i="15"/>
  <c r="DF28" i="15"/>
  <c r="DE31" i="15"/>
  <c r="DE32" i="15" s="1"/>
  <c r="DE29" i="15"/>
  <c r="DE30" i="15" s="1"/>
  <c r="BT29" i="15"/>
  <c r="BT30" i="15" s="1"/>
  <c r="BT31" i="15"/>
  <c r="BT32" i="15" s="1"/>
  <c r="BU28" i="15"/>
  <c r="AH20" i="13" l="1"/>
  <c r="L9" i="14"/>
  <c r="L18" i="14" s="1"/>
  <c r="L19" i="14" s="1"/>
  <c r="DJ20" i="27"/>
  <c r="DI13" i="27"/>
  <c r="DE8" i="7"/>
  <c r="DE10" i="7" s="1"/>
  <c r="DH18" i="13" s="1"/>
  <c r="DI7" i="27"/>
  <c r="DF42" i="3"/>
  <c r="DG20" i="29"/>
  <c r="AI45" i="29"/>
  <c r="AI40" i="29"/>
  <c r="AI39" i="29" s="1"/>
  <c r="AI37" i="29" s="1"/>
  <c r="AJ34" i="29"/>
  <c r="AJ31" i="29"/>
  <c r="AJ29" i="29" s="1"/>
  <c r="AJ9" i="29" s="1"/>
  <c r="BJ34" i="29"/>
  <c r="BJ31" i="29"/>
  <c r="BJ29" i="29" s="1"/>
  <c r="BJ9" i="29" s="1"/>
  <c r="CS35" i="29"/>
  <c r="DI17" i="15"/>
  <c r="DI18" i="15" s="1"/>
  <c r="DI15" i="15"/>
  <c r="DI16" i="15" s="1"/>
  <c r="DJ14" i="15"/>
  <c r="BV28" i="15"/>
  <c r="BU29" i="15"/>
  <c r="BU30" i="15" s="1"/>
  <c r="BU31" i="15"/>
  <c r="BU32" i="15" s="1"/>
  <c r="DF29" i="15"/>
  <c r="DF30" i="15" s="1"/>
  <c r="DF31" i="15"/>
  <c r="DF32" i="15" s="1"/>
  <c r="DG28" i="15"/>
  <c r="CT39" i="26"/>
  <c r="CT47" i="26" s="1"/>
  <c r="CT49" i="26" s="1"/>
  <c r="CA42" i="29"/>
  <c r="BZ14" i="15"/>
  <c r="BY15" i="15"/>
  <c r="BY16" i="15" s="1"/>
  <c r="BY17" i="15"/>
  <c r="BY18" i="15" s="1"/>
  <c r="BI39" i="26"/>
  <c r="BI47" i="26" s="1"/>
  <c r="BI49" i="26" s="1"/>
  <c r="AJ26" i="15" l="1"/>
  <c r="AI11" i="13"/>
  <c r="AI20" i="13" s="1"/>
  <c r="DG18" i="29"/>
  <c r="DG8" i="29" s="1"/>
  <c r="DG19" i="29"/>
  <c r="DH27" i="29"/>
  <c r="DH21" i="29" s="1"/>
  <c r="DH5" i="13" s="1"/>
  <c r="DI24" i="15" s="1"/>
  <c r="DI27" i="15" s="1"/>
  <c r="DJ17" i="27"/>
  <c r="AJ35" i="29"/>
  <c r="AJ41" i="29"/>
  <c r="BJ35" i="29"/>
  <c r="AI10" i="29"/>
  <c r="CT34" i="29"/>
  <c r="CT31" i="29"/>
  <c r="CT29" i="29" s="1"/>
  <c r="CT9" i="29" s="1"/>
  <c r="BI20" i="13"/>
  <c r="BI21" i="13" s="1"/>
  <c r="DG29" i="15"/>
  <c r="DG30" i="15" s="1"/>
  <c r="DH28" i="15"/>
  <c r="DG31" i="15"/>
  <c r="DG32" i="15" s="1"/>
  <c r="BV31" i="15"/>
  <c r="BV32" i="15" s="1"/>
  <c r="BV29" i="15"/>
  <c r="BV30" i="15" s="1"/>
  <c r="BW28" i="15"/>
  <c r="DJ17" i="15"/>
  <c r="DJ18" i="15" s="1"/>
  <c r="DJ15" i="15"/>
  <c r="DJ16" i="15" s="1"/>
  <c r="DK14" i="15"/>
  <c r="CT20" i="13"/>
  <c r="CT21" i="13" s="1"/>
  <c r="CB42" i="29"/>
  <c r="BZ15" i="15"/>
  <c r="BZ16" i="15" s="1"/>
  <c r="CA14" i="15"/>
  <c r="BZ17" i="15"/>
  <c r="BZ18" i="15" s="1"/>
  <c r="DG33" i="29" l="1"/>
  <c r="DG10" i="13" s="1"/>
  <c r="DJ7" i="27"/>
  <c r="DG42" i="3"/>
  <c r="DJ22" i="27"/>
  <c r="DI44" i="29" s="1"/>
  <c r="DH20" i="29"/>
  <c r="AJ45" i="29"/>
  <c r="AJ40" i="29"/>
  <c r="AJ39" i="29" s="1"/>
  <c r="AJ37" i="29" s="1"/>
  <c r="AJ10" i="29" s="1"/>
  <c r="AK34" i="29"/>
  <c r="AK31" i="29"/>
  <c r="AK29" i="29" s="1"/>
  <c r="AK9" i="29" s="1"/>
  <c r="CT35" i="29"/>
  <c r="BK34" i="29"/>
  <c r="BK31" i="29"/>
  <c r="BK29" i="29" s="1"/>
  <c r="BK9" i="29" s="1"/>
  <c r="BJ39" i="26"/>
  <c r="BJ47" i="26" s="1"/>
  <c r="BJ49" i="26" s="1"/>
  <c r="BX28" i="15"/>
  <c r="BW31" i="15"/>
  <c r="BW32" i="15" s="1"/>
  <c r="BW29" i="15"/>
  <c r="BW30" i="15" s="1"/>
  <c r="CC42" i="29"/>
  <c r="DI28" i="15"/>
  <c r="DH29" i="15"/>
  <c r="DH30" i="15" s="1"/>
  <c r="DH31" i="15"/>
  <c r="DH32" i="15" s="1"/>
  <c r="CB14" i="15"/>
  <c r="CA17" i="15"/>
  <c r="CA18" i="15" s="1"/>
  <c r="CA15" i="15"/>
  <c r="CA16" i="15" s="1"/>
  <c r="DL14" i="15"/>
  <c r="DK17" i="15"/>
  <c r="DK18" i="15" s="1"/>
  <c r="DK15" i="15"/>
  <c r="DK16" i="15" s="1"/>
  <c r="CU39" i="26"/>
  <c r="CU47" i="26" s="1"/>
  <c r="CU49" i="26" s="1"/>
  <c r="AK26" i="15" l="1"/>
  <c r="AJ11" i="13"/>
  <c r="DF8" i="7"/>
  <c r="DF10" i="7" s="1"/>
  <c r="DK20" i="27"/>
  <c r="DJ13" i="27"/>
  <c r="DH18" i="29"/>
  <c r="DH8" i="29" s="1"/>
  <c r="DH19" i="29"/>
  <c r="AK35" i="29"/>
  <c r="AK41" i="29"/>
  <c r="BK35" i="29"/>
  <c r="CU34" i="29"/>
  <c r="CU31" i="29"/>
  <c r="CU29" i="29" s="1"/>
  <c r="CU9" i="29" s="1"/>
  <c r="CU20" i="13"/>
  <c r="CU21" i="13" s="1"/>
  <c r="DL15" i="15"/>
  <c r="DL16" i="15" s="1"/>
  <c r="DL17" i="15"/>
  <c r="DL18" i="15" s="1"/>
  <c r="BJ20" i="13"/>
  <c r="BJ21" i="13" s="1"/>
  <c r="CD42" i="29"/>
  <c r="BX31" i="15"/>
  <c r="BX32" i="15" s="1"/>
  <c r="BY28" i="15"/>
  <c r="BX29" i="15"/>
  <c r="BX30" i="15" s="1"/>
  <c r="DI29" i="15"/>
  <c r="DI30" i="15" s="1"/>
  <c r="DI31" i="15"/>
  <c r="DI32" i="15" s="1"/>
  <c r="CB15" i="15"/>
  <c r="CB16" i="15" s="1"/>
  <c r="CB17" i="15"/>
  <c r="CB18" i="15" s="1"/>
  <c r="DI27" i="29" l="1"/>
  <c r="DI18" i="13"/>
  <c r="AJ20" i="13"/>
  <c r="DH33" i="29"/>
  <c r="DH10" i="13" s="1"/>
  <c r="DK17" i="27"/>
  <c r="AK40" i="29"/>
  <c r="AK39" i="29" s="1"/>
  <c r="AK37" i="29" s="1"/>
  <c r="AK10" i="29" s="1"/>
  <c r="AK45" i="29"/>
  <c r="AL34" i="29"/>
  <c r="AL31" i="29"/>
  <c r="AL29" i="29" s="1"/>
  <c r="AL9" i="29" s="1"/>
  <c r="CU35" i="29"/>
  <c r="BL34" i="29"/>
  <c r="BL31" i="29"/>
  <c r="BL29" i="29" s="1"/>
  <c r="BL9" i="29" s="1"/>
  <c r="BZ28" i="15"/>
  <c r="BY31" i="15"/>
  <c r="BY32" i="15" s="1"/>
  <c r="BY29" i="15"/>
  <c r="BY30" i="15" s="1"/>
  <c r="CE42" i="29"/>
  <c r="CV39" i="26"/>
  <c r="CV47" i="26" s="1"/>
  <c r="CV49" i="26" s="1"/>
  <c r="BK39" i="26"/>
  <c r="BK47" i="26" s="1"/>
  <c r="BK49" i="26" s="1"/>
  <c r="AL26" i="15" l="1"/>
  <c r="AK11" i="13"/>
  <c r="DI20" i="29"/>
  <c r="DI21" i="29"/>
  <c r="DI5" i="13" s="1"/>
  <c r="DJ24" i="15" s="1"/>
  <c r="DJ27" i="15" s="1"/>
  <c r="DJ28" i="15" s="1"/>
  <c r="DK7" i="27"/>
  <c r="DH42" i="3"/>
  <c r="DK22" i="27"/>
  <c r="DJ44" i="29" s="1"/>
  <c r="AL35" i="29"/>
  <c r="AL41" i="29"/>
  <c r="BL35" i="29"/>
  <c r="CV34" i="29"/>
  <c r="CV31" i="29"/>
  <c r="CV29" i="29" s="1"/>
  <c r="CV9" i="29" s="1"/>
  <c r="BK20" i="13"/>
  <c r="BK21" i="13" s="1"/>
  <c r="CF42" i="29"/>
  <c r="CA28" i="15"/>
  <c r="BZ29" i="15"/>
  <c r="BZ30" i="15" s="1"/>
  <c r="BZ31" i="15"/>
  <c r="BZ32" i="15" s="1"/>
  <c r="CV20" i="13"/>
  <c r="CV21" i="13" s="1"/>
  <c r="DJ31" i="15" l="1"/>
  <c r="DJ32" i="15" s="1"/>
  <c r="DJ29" i="15"/>
  <c r="DJ30" i="15" s="1"/>
  <c r="DI19" i="29"/>
  <c r="DI33" i="29" s="1"/>
  <c r="DI10" i="13" s="1"/>
  <c r="DI18" i="29"/>
  <c r="DI8" i="29" s="1"/>
  <c r="AK20" i="13"/>
  <c r="O9" i="14"/>
  <c r="O18" i="14" s="1"/>
  <c r="O19" i="14" s="1"/>
  <c r="DK13" i="27"/>
  <c r="DL20" i="27"/>
  <c r="DG8" i="7"/>
  <c r="DG10" i="7" s="1"/>
  <c r="AL40" i="29"/>
  <c r="AL39" i="29" s="1"/>
  <c r="AL37" i="29" s="1"/>
  <c r="AL10" i="29" s="1"/>
  <c r="AL45" i="29"/>
  <c r="AM31" i="29"/>
  <c r="AM29" i="29" s="1"/>
  <c r="AM9" i="29" s="1"/>
  <c r="AM34" i="29"/>
  <c r="CV35" i="29"/>
  <c r="BM34" i="29"/>
  <c r="BM31" i="29"/>
  <c r="BM29" i="29" s="1"/>
  <c r="BM9" i="29" s="1"/>
  <c r="CB28" i="15"/>
  <c r="CA31" i="15"/>
  <c r="CA32" i="15" s="1"/>
  <c r="CA29" i="15"/>
  <c r="CA30" i="15" s="1"/>
  <c r="CG42" i="29"/>
  <c r="BL39" i="26"/>
  <c r="BL47" i="26" s="1"/>
  <c r="BL49" i="26" s="1"/>
  <c r="CW39" i="26"/>
  <c r="CW47" i="26" s="1"/>
  <c r="CW49" i="26" s="1"/>
  <c r="AM26" i="15" l="1"/>
  <c r="AL11" i="13"/>
  <c r="AL20" i="13" s="1"/>
  <c r="DJ27" i="29"/>
  <c r="DJ18" i="13"/>
  <c r="DL17" i="27"/>
  <c r="DL22" i="27" s="1"/>
  <c r="DK44" i="29" s="1"/>
  <c r="AM35" i="29"/>
  <c r="AM41" i="29"/>
  <c r="BM35" i="29"/>
  <c r="CW34" i="29"/>
  <c r="CW31" i="29"/>
  <c r="CW29" i="29" s="1"/>
  <c r="CW9" i="29" s="1"/>
  <c r="CH42" i="29"/>
  <c r="CB31" i="15"/>
  <c r="CB32" i="15" s="1"/>
  <c r="CB29" i="15"/>
  <c r="CB30" i="15" s="1"/>
  <c r="CW20" i="13"/>
  <c r="CW21" i="13" s="1"/>
  <c r="BL20" i="13"/>
  <c r="BL21" i="13" s="1"/>
  <c r="DJ20" i="29" l="1"/>
  <c r="DJ21" i="29"/>
  <c r="DJ5" i="13" s="1"/>
  <c r="DK24" i="15" s="1"/>
  <c r="DK27" i="15" s="1"/>
  <c r="DK28" i="15" s="1"/>
  <c r="DM20" i="27"/>
  <c r="DL13" i="27"/>
  <c r="DH8" i="7"/>
  <c r="DH10" i="7" s="1"/>
  <c r="DL7" i="27"/>
  <c r="DI42" i="3"/>
  <c r="AM40" i="29"/>
  <c r="AM39" i="29" s="1"/>
  <c r="AM37" i="29" s="1"/>
  <c r="AM10" i="29" s="1"/>
  <c r="AM45" i="29"/>
  <c r="AN34" i="29"/>
  <c r="AN31" i="29"/>
  <c r="AN29" i="29" s="1"/>
  <c r="AN9" i="29" s="1"/>
  <c r="CW35" i="29"/>
  <c r="BM39" i="26"/>
  <c r="BM47" i="26" s="1"/>
  <c r="BM49" i="26" s="1"/>
  <c r="BN34" i="29"/>
  <c r="BN31" i="29"/>
  <c r="BN29" i="29" s="1"/>
  <c r="BN9" i="29" s="1"/>
  <c r="CX39" i="26"/>
  <c r="CX47" i="26" s="1"/>
  <c r="CX49" i="26" s="1"/>
  <c r="CI42" i="29"/>
  <c r="DK27" i="29" l="1"/>
  <c r="DK18" i="13"/>
  <c r="DK29" i="15"/>
  <c r="DK30" i="15" s="1"/>
  <c r="DK31" i="15"/>
  <c r="DK32" i="15" s="1"/>
  <c r="AN26" i="15"/>
  <c r="AM11" i="13"/>
  <c r="AM20" i="13" s="1"/>
  <c r="DJ19" i="29"/>
  <c r="DJ33" i="29" s="1"/>
  <c r="DJ10" i="13" s="1"/>
  <c r="DJ18" i="29"/>
  <c r="DJ8" i="29" s="1"/>
  <c r="DM17" i="27"/>
  <c r="BM20" i="13"/>
  <c r="BM21" i="13" s="1"/>
  <c r="AN35" i="29"/>
  <c r="AN41" i="29"/>
  <c r="BN35" i="29"/>
  <c r="CX34" i="29"/>
  <c r="CX31" i="29"/>
  <c r="CX29" i="29" s="1"/>
  <c r="CX9" i="29" s="1"/>
  <c r="BN39" i="26"/>
  <c r="BN47" i="26" s="1"/>
  <c r="BN49" i="26" s="1"/>
  <c r="CX20" i="13"/>
  <c r="CX21" i="13" s="1"/>
  <c r="CJ42" i="29"/>
  <c r="AQ39" i="26"/>
  <c r="AQ47" i="26" s="1"/>
  <c r="AQ49" i="26" s="1"/>
  <c r="DK20" i="29" l="1"/>
  <c r="DK21" i="29"/>
  <c r="DK5" i="13" s="1"/>
  <c r="DL24" i="15" s="1"/>
  <c r="DL27" i="15" s="1"/>
  <c r="DL28" i="15" s="1"/>
  <c r="DM7" i="27"/>
  <c r="DJ42" i="3"/>
  <c r="DM22" i="27"/>
  <c r="DL44" i="29" s="1"/>
  <c r="AN40" i="29"/>
  <c r="AN39" i="29" s="1"/>
  <c r="AN37" i="29" s="1"/>
  <c r="AN10" i="29" s="1"/>
  <c r="AN45" i="29"/>
  <c r="AO34" i="29"/>
  <c r="AO31" i="29"/>
  <c r="AO29" i="29" s="1"/>
  <c r="AO9" i="29" s="1"/>
  <c r="CX35" i="29"/>
  <c r="BO34" i="29"/>
  <c r="BO31" i="29"/>
  <c r="BO29" i="29" s="1"/>
  <c r="BO9" i="29" s="1"/>
  <c r="BN20" i="13"/>
  <c r="BN21" i="13" s="1"/>
  <c r="CY39" i="26"/>
  <c r="CY47" i="26" s="1"/>
  <c r="CY49" i="26" s="1"/>
  <c r="CK42" i="29"/>
  <c r="AO26" i="15" l="1"/>
  <c r="AN11" i="13"/>
  <c r="AN20" i="13" s="1"/>
  <c r="DL29" i="15"/>
  <c r="DL30" i="15" s="1"/>
  <c r="DL31" i="15"/>
  <c r="DL32" i="15" s="1"/>
  <c r="DK18" i="29"/>
  <c r="DK8" i="29" s="1"/>
  <c r="DK19" i="29"/>
  <c r="DK33" i="29" s="1"/>
  <c r="DK10" i="13" s="1"/>
  <c r="DN20" i="27"/>
  <c r="DI8" i="7"/>
  <c r="DI10" i="7" s="1"/>
  <c r="DM13" i="27"/>
  <c r="AO41" i="29"/>
  <c r="AO35" i="29"/>
  <c r="BO35" i="29"/>
  <c r="BO41" i="29"/>
  <c r="CY34" i="29"/>
  <c r="CY31" i="29"/>
  <c r="CY29" i="29" s="1"/>
  <c r="CY9" i="29" s="1"/>
  <c r="BO39" i="26"/>
  <c r="BO47" i="26" s="1"/>
  <c r="BO49" i="26" s="1"/>
  <c r="CL42" i="29"/>
  <c r="J8" i="14"/>
  <c r="M8" i="14"/>
  <c r="P8" i="14"/>
  <c r="DL27" i="29" l="1"/>
  <c r="DL18" i="13"/>
  <c r="DN17" i="27"/>
  <c r="DN22" i="27" s="1"/>
  <c r="DM44" i="29" s="1"/>
  <c r="AP34" i="29"/>
  <c r="AP31" i="29"/>
  <c r="AP29" i="29" s="1"/>
  <c r="AP9" i="29" s="1"/>
  <c r="AO45" i="29"/>
  <c r="AO40" i="29"/>
  <c r="AO39" i="29" s="1"/>
  <c r="AO37" i="29" s="1"/>
  <c r="AO10" i="29" s="1"/>
  <c r="CY35" i="29"/>
  <c r="CY41" i="29"/>
  <c r="BO40" i="29"/>
  <c r="BO39" i="29" s="1"/>
  <c r="BO37" i="29" s="1"/>
  <c r="BO10" i="29" s="1"/>
  <c r="BO45" i="29"/>
  <c r="BP34" i="29"/>
  <c r="BP31" i="29"/>
  <c r="BP29" i="29" s="1"/>
  <c r="BP9" i="29" s="1"/>
  <c r="CM42" i="29"/>
  <c r="G8" i="14"/>
  <c r="CZ39" i="26"/>
  <c r="CZ47" i="26" s="1"/>
  <c r="CZ49" i="26" s="1"/>
  <c r="AO11" i="13" l="1"/>
  <c r="AO20" i="13" s="1"/>
  <c r="AP26" i="15"/>
  <c r="BP26" i="15"/>
  <c r="BO11" i="13"/>
  <c r="DL20" i="29"/>
  <c r="DL21" i="29"/>
  <c r="DL5" i="13" s="1"/>
  <c r="DM24" i="15" s="1"/>
  <c r="DM27" i="15" s="1"/>
  <c r="DM28" i="15" s="1"/>
  <c r="DO20" i="27"/>
  <c r="DJ8" i="7"/>
  <c r="DJ10" i="7" s="1"/>
  <c r="DN13" i="27"/>
  <c r="DN7" i="27"/>
  <c r="DK42" i="3"/>
  <c r="DL8" i="29"/>
  <c r="AP35" i="29"/>
  <c r="AP41" i="29"/>
  <c r="CY45" i="29"/>
  <c r="CY40" i="29"/>
  <c r="CY39" i="29" s="1"/>
  <c r="CY37" i="29" s="1"/>
  <c r="CY10" i="29" s="1"/>
  <c r="BP35" i="29"/>
  <c r="BP41" i="29"/>
  <c r="CZ34" i="29"/>
  <c r="CZ31" i="29"/>
  <c r="CZ29" i="29" s="1"/>
  <c r="CZ9" i="29" s="1"/>
  <c r="CN42" i="29"/>
  <c r="BP39" i="26"/>
  <c r="BP47" i="26" s="1"/>
  <c r="BP49" i="26" s="1"/>
  <c r="DM31" i="15" l="1"/>
  <c r="DM32" i="15" s="1"/>
  <c r="DM29" i="15"/>
  <c r="DM30" i="15" s="1"/>
  <c r="DL18" i="29"/>
  <c r="DL35" i="29" s="1"/>
  <c r="DM34" i="29" s="1"/>
  <c r="DL19" i="29"/>
  <c r="DL33" i="29" s="1"/>
  <c r="DL10" i="13" s="1"/>
  <c r="DL20" i="13" s="1"/>
  <c r="DL21" i="13" s="1"/>
  <c r="CZ26" i="15"/>
  <c r="CY11" i="13"/>
  <c r="CY20" i="13" s="1"/>
  <c r="CY21" i="13" s="1"/>
  <c r="DM27" i="29"/>
  <c r="DM18" i="13"/>
  <c r="DO17" i="27"/>
  <c r="DO22" i="27" s="1"/>
  <c r="DN44" i="29" s="1"/>
  <c r="AP40" i="29"/>
  <c r="AP39" i="29" s="1"/>
  <c r="AP37" i="29" s="1"/>
  <c r="AP10" i="29" s="1"/>
  <c r="AP45" i="29"/>
  <c r="AQ34" i="29"/>
  <c r="AQ31" i="29"/>
  <c r="AQ29" i="29" s="1"/>
  <c r="BP45" i="29"/>
  <c r="BP40" i="29"/>
  <c r="BP39" i="29" s="1"/>
  <c r="BP37" i="29" s="1"/>
  <c r="BP10" i="29" s="1"/>
  <c r="BQ34" i="29"/>
  <c r="BQ31" i="29"/>
  <c r="BQ29" i="29" s="1"/>
  <c r="BQ9" i="29" s="1"/>
  <c r="CZ35" i="29"/>
  <c r="CZ41" i="29"/>
  <c r="DA39" i="26"/>
  <c r="DA47" i="26" s="1"/>
  <c r="DA49" i="26" s="1"/>
  <c r="CO42" i="29"/>
  <c r="BO20" i="13"/>
  <c r="BO21" i="13" s="1"/>
  <c r="BQ26" i="15" l="1"/>
  <c r="BP11" i="13"/>
  <c r="AP11" i="13"/>
  <c r="AQ26" i="15"/>
  <c r="DM20" i="29"/>
  <c r="DM21" i="29"/>
  <c r="DM5" i="13" s="1"/>
  <c r="DN24" i="15" s="1"/>
  <c r="DN27" i="15" s="1"/>
  <c r="DN28" i="15" s="1"/>
  <c r="DP20" i="27"/>
  <c r="DK8" i="7"/>
  <c r="DK10" i="7" s="1"/>
  <c r="DO13" i="27"/>
  <c r="DO7" i="27"/>
  <c r="DL42" i="3"/>
  <c r="AQ9" i="29"/>
  <c r="G29" i="29"/>
  <c r="AQ35" i="29"/>
  <c r="AQ41" i="29"/>
  <c r="CZ40" i="29"/>
  <c r="CZ39" i="29" s="1"/>
  <c r="CZ37" i="29" s="1"/>
  <c r="CZ10" i="29" s="1"/>
  <c r="CZ45" i="29"/>
  <c r="BQ35" i="29"/>
  <c r="BQ41" i="29"/>
  <c r="DA34" i="29"/>
  <c r="DA31" i="29"/>
  <c r="DA29" i="29" s="1"/>
  <c r="DA9" i="29" s="1"/>
  <c r="BQ39" i="26"/>
  <c r="BQ47" i="26" s="1"/>
  <c r="BQ49" i="26" s="1"/>
  <c r="CP42" i="29"/>
  <c r="DM19" i="29" l="1"/>
  <c r="DM33" i="29" s="1"/>
  <c r="DM10" i="13" s="1"/>
  <c r="DM18" i="29"/>
  <c r="DM8" i="29" s="1"/>
  <c r="AP20" i="13"/>
  <c r="DN29" i="15"/>
  <c r="DN30" i="15" s="1"/>
  <c r="DN31" i="15"/>
  <c r="DN32" i="15" s="1"/>
  <c r="DA26" i="15"/>
  <c r="CZ11" i="13"/>
  <c r="CZ20" i="13" s="1"/>
  <c r="CZ21" i="13" s="1"/>
  <c r="DN27" i="29"/>
  <c r="DN18" i="13"/>
  <c r="DM31" i="29"/>
  <c r="DM20" i="13"/>
  <c r="DM21" i="13" s="1"/>
  <c r="DP17" i="27"/>
  <c r="AQ40" i="29"/>
  <c r="AQ39" i="29" s="1"/>
  <c r="AQ37" i="29" s="1"/>
  <c r="AQ45" i="29"/>
  <c r="DA35" i="29"/>
  <c r="DA41" i="29"/>
  <c r="BQ40" i="29"/>
  <c r="BQ39" i="29" s="1"/>
  <c r="BQ37" i="29" s="1"/>
  <c r="BQ10" i="29" s="1"/>
  <c r="BQ45" i="29"/>
  <c r="BR34" i="29"/>
  <c r="BR31" i="29"/>
  <c r="BR29" i="29" s="1"/>
  <c r="BR9" i="29" s="1"/>
  <c r="BP20" i="13"/>
  <c r="BP21" i="13" s="1"/>
  <c r="DB39" i="26"/>
  <c r="DB47" i="26" s="1"/>
  <c r="DB49" i="26" s="1"/>
  <c r="CQ42" i="29"/>
  <c r="AR26" i="15" l="1"/>
  <c r="AQ11" i="13"/>
  <c r="DN20" i="29"/>
  <c r="DN21" i="29"/>
  <c r="DN5" i="13" s="1"/>
  <c r="DO24" i="15" s="1"/>
  <c r="DO27" i="15" s="1"/>
  <c r="DO28" i="15" s="1"/>
  <c r="BR26" i="15"/>
  <c r="BQ11" i="13"/>
  <c r="DM29" i="29"/>
  <c r="DM9" i="29" s="1"/>
  <c r="DM35" i="29"/>
  <c r="DN34" i="29" s="1"/>
  <c r="DP7" i="27"/>
  <c r="DM42" i="3"/>
  <c r="DP22" i="27"/>
  <c r="DO44" i="29" s="1"/>
  <c r="AQ10" i="29"/>
  <c r="G37" i="29"/>
  <c r="BR35" i="29"/>
  <c r="BR41" i="29"/>
  <c r="DA45" i="29"/>
  <c r="DA40" i="29"/>
  <c r="DA39" i="29" s="1"/>
  <c r="DA37" i="29" s="1"/>
  <c r="DA10" i="29" s="1"/>
  <c r="DB34" i="29"/>
  <c r="DB31" i="29"/>
  <c r="DB29" i="29" s="1"/>
  <c r="DB9" i="29" s="1"/>
  <c r="BR39" i="26"/>
  <c r="BR47" i="26" s="1"/>
  <c r="BR49" i="26" s="1"/>
  <c r="CR42" i="29"/>
  <c r="DO29" i="15" l="1"/>
  <c r="DO30" i="15" s="1"/>
  <c r="DO31" i="15"/>
  <c r="DO32" i="15" s="1"/>
  <c r="DN18" i="29"/>
  <c r="DN8" i="29" s="1"/>
  <c r="DN19" i="29"/>
  <c r="DN33" i="29" s="1"/>
  <c r="DN10" i="13" s="1"/>
  <c r="DN20" i="13" s="1"/>
  <c r="DN21" i="13" s="1"/>
  <c r="AQ20" i="13"/>
  <c r="M9" i="14"/>
  <c r="M18" i="14" s="1"/>
  <c r="M19" i="14" s="1"/>
  <c r="J9" i="14"/>
  <c r="P9" i="14"/>
  <c r="P18" i="14" s="1"/>
  <c r="P19" i="14" s="1"/>
  <c r="DA11" i="13"/>
  <c r="DA20" i="13" s="1"/>
  <c r="DA21" i="13" s="1"/>
  <c r="DB26" i="15"/>
  <c r="DL8" i="7"/>
  <c r="DL10" i="7" s="1"/>
  <c r="DQ20" i="27"/>
  <c r="DP13" i="27"/>
  <c r="DB35" i="29"/>
  <c r="DB41" i="29"/>
  <c r="BR45" i="29"/>
  <c r="BR40" i="29"/>
  <c r="BR39" i="29" s="1"/>
  <c r="BR37" i="29" s="1"/>
  <c r="BR10" i="29" s="1"/>
  <c r="BS34" i="29"/>
  <c r="BS31" i="29"/>
  <c r="BS29" i="29" s="1"/>
  <c r="BS9" i="29" s="1"/>
  <c r="BQ20" i="13"/>
  <c r="BQ21" i="13" s="1"/>
  <c r="DC39" i="26"/>
  <c r="DC47" i="26" s="1"/>
  <c r="DC49" i="26" s="1"/>
  <c r="CS42" i="29"/>
  <c r="BS26" i="15" l="1"/>
  <c r="BR11" i="13"/>
  <c r="DO27" i="29"/>
  <c r="DO18" i="13"/>
  <c r="DN31" i="29"/>
  <c r="DN35" i="29" s="1"/>
  <c r="DO34" i="29" s="1"/>
  <c r="J18" i="14"/>
  <c r="G9" i="14"/>
  <c r="DQ17" i="27"/>
  <c r="BS35" i="29"/>
  <c r="BS41" i="29"/>
  <c r="DB40" i="29"/>
  <c r="DB39" i="29" s="1"/>
  <c r="DB37" i="29" s="1"/>
  <c r="DB10" i="29" s="1"/>
  <c r="DB45" i="29"/>
  <c r="DC34" i="29"/>
  <c r="DC31" i="29"/>
  <c r="DC29" i="29" s="1"/>
  <c r="DC9" i="29" s="1"/>
  <c r="BS39" i="26"/>
  <c r="BS47" i="26" s="1"/>
  <c r="BS49" i="26" s="1"/>
  <c r="CT42" i="29"/>
  <c r="J19" i="14" l="1"/>
  <c r="G19" i="14" s="1"/>
  <c r="G18" i="14"/>
  <c r="DN29" i="29"/>
  <c r="DN9" i="29" s="1"/>
  <c r="DO20" i="29"/>
  <c r="DO21" i="29"/>
  <c r="DO5" i="13" s="1"/>
  <c r="DP24" i="15" s="1"/>
  <c r="DP27" i="15" s="1"/>
  <c r="DP28" i="15" s="1"/>
  <c r="DB11" i="13"/>
  <c r="DB20" i="13" s="1"/>
  <c r="DB21" i="13" s="1"/>
  <c r="DC26" i="15"/>
  <c r="DO8" i="29"/>
  <c r="DQ7" i="27"/>
  <c r="DN42" i="3"/>
  <c r="DQ22" i="27"/>
  <c r="DP44" i="29" s="1"/>
  <c r="DC35" i="29"/>
  <c r="DC41" i="29"/>
  <c r="BS45" i="29"/>
  <c r="BS40" i="29"/>
  <c r="BS39" i="29" s="1"/>
  <c r="BS37" i="29" s="1"/>
  <c r="BS10" i="29" s="1"/>
  <c r="BT34" i="29"/>
  <c r="BT31" i="29"/>
  <c r="BT29" i="29" s="1"/>
  <c r="BT9" i="29" s="1"/>
  <c r="DD39" i="26"/>
  <c r="DD47" i="26" s="1"/>
  <c r="DD49" i="26" s="1"/>
  <c r="BR20" i="13"/>
  <c r="BR21" i="13" s="1"/>
  <c r="CU42" i="29"/>
  <c r="DP31" i="15" l="1"/>
  <c r="DP32" i="15" s="1"/>
  <c r="DP29" i="15"/>
  <c r="DP30" i="15" s="1"/>
  <c r="DO18" i="29"/>
  <c r="DO19" i="29"/>
  <c r="DO33" i="29" s="1"/>
  <c r="DO10" i="13" s="1"/>
  <c r="DO20" i="13" s="1"/>
  <c r="DO21" i="13" s="1"/>
  <c r="BT26" i="15"/>
  <c r="BS11" i="13"/>
  <c r="DM8" i="7"/>
  <c r="DM10" i="7" s="1"/>
  <c r="DQ13" i="27"/>
  <c r="DR20" i="27"/>
  <c r="DC45" i="29"/>
  <c r="DC40" i="29"/>
  <c r="DC39" i="29" s="1"/>
  <c r="DC37" i="29" s="1"/>
  <c r="DC10" i="29" s="1"/>
  <c r="BT35" i="29"/>
  <c r="BT41" i="29"/>
  <c r="DD34" i="29"/>
  <c r="DD31" i="29"/>
  <c r="DD29" i="29" s="1"/>
  <c r="DD9" i="29" s="1"/>
  <c r="CV42" i="29"/>
  <c r="BT39" i="26"/>
  <c r="BT47" i="26" s="1"/>
  <c r="BT49" i="26" s="1"/>
  <c r="DD26" i="15" l="1"/>
  <c r="DC11" i="13"/>
  <c r="DC20" i="13" s="1"/>
  <c r="DC21" i="13" s="1"/>
  <c r="DP27" i="29"/>
  <c r="DP18" i="13"/>
  <c r="DO31" i="29"/>
  <c r="DO29" i="29" s="1"/>
  <c r="DO9" i="29" s="1"/>
  <c r="DR17" i="27"/>
  <c r="DR22" i="27" s="1"/>
  <c r="DQ44" i="29" s="1"/>
  <c r="DD35" i="29"/>
  <c r="DD41" i="29"/>
  <c r="BU34" i="29"/>
  <c r="BU31" i="29"/>
  <c r="BU29" i="29" s="1"/>
  <c r="BU9" i="29" s="1"/>
  <c r="BT40" i="29"/>
  <c r="BT39" i="29" s="1"/>
  <c r="BT37" i="29" s="1"/>
  <c r="BT10" i="29" s="1"/>
  <c r="BT45" i="29"/>
  <c r="DE39" i="26"/>
  <c r="DE47" i="26" s="1"/>
  <c r="DE49" i="26" s="1"/>
  <c r="BS20" i="13"/>
  <c r="BS21" i="13" s="1"/>
  <c r="CW42" i="29"/>
  <c r="DO35" i="29" l="1"/>
  <c r="DP34" i="29" s="1"/>
  <c r="BU26" i="15"/>
  <c r="BT11" i="13"/>
  <c r="DP20" i="29"/>
  <c r="DP21" i="29"/>
  <c r="DP5" i="13" s="1"/>
  <c r="DQ24" i="15" s="1"/>
  <c r="DQ27" i="15" s="1"/>
  <c r="DQ28" i="15" s="1"/>
  <c r="DN8" i="7"/>
  <c r="DN10" i="7" s="1"/>
  <c r="DR13" i="27"/>
  <c r="DS20" i="27"/>
  <c r="DR7" i="27"/>
  <c r="DO42" i="3"/>
  <c r="DP8" i="29"/>
  <c r="BU35" i="29"/>
  <c r="BU41" i="29"/>
  <c r="DD45" i="29"/>
  <c r="DD40" i="29"/>
  <c r="DD39" i="29" s="1"/>
  <c r="DD37" i="29" s="1"/>
  <c r="DD10" i="29" s="1"/>
  <c r="DE34" i="29"/>
  <c r="DE31" i="29"/>
  <c r="DE29" i="29" s="1"/>
  <c r="DE9" i="29" s="1"/>
  <c r="BU39" i="26"/>
  <c r="BU47" i="26" s="1"/>
  <c r="BU49" i="26" s="1"/>
  <c r="CX42" i="29"/>
  <c r="DQ27" i="29" l="1"/>
  <c r="DQ18" i="13"/>
  <c r="DE26" i="15"/>
  <c r="DD11" i="13"/>
  <c r="DD20" i="13" s="1"/>
  <c r="DD21" i="13" s="1"/>
  <c r="DQ31" i="15"/>
  <c r="DQ32" i="15" s="1"/>
  <c r="DQ29" i="15"/>
  <c r="DQ30" i="15" s="1"/>
  <c r="DP19" i="29"/>
  <c r="DP33" i="29" s="1"/>
  <c r="DP10" i="13" s="1"/>
  <c r="DP20" i="13" s="1"/>
  <c r="DP21" i="13" s="1"/>
  <c r="DP18" i="29"/>
  <c r="DS17" i="27"/>
  <c r="DS22" i="27" s="1"/>
  <c r="DR44" i="29" s="1"/>
  <c r="BU45" i="29"/>
  <c r="BU40" i="29"/>
  <c r="BU39" i="29" s="1"/>
  <c r="BU37" i="29" s="1"/>
  <c r="BU10" i="29" s="1"/>
  <c r="DE35" i="29"/>
  <c r="DE41" i="29"/>
  <c r="BV34" i="29"/>
  <c r="BV31" i="29"/>
  <c r="BV29" i="29" s="1"/>
  <c r="BV9" i="29" s="1"/>
  <c r="BT20" i="13"/>
  <c r="BT21" i="13" s="1"/>
  <c r="DF39" i="26"/>
  <c r="DF47" i="26" s="1"/>
  <c r="DF49" i="26" s="1"/>
  <c r="CY42" i="29"/>
  <c r="BU11" i="13" l="1"/>
  <c r="BV26" i="15"/>
  <c r="DP31" i="29"/>
  <c r="DP29" i="29" s="1"/>
  <c r="DP9" i="29" s="1"/>
  <c r="DQ20" i="29"/>
  <c r="DQ21" i="29"/>
  <c r="DQ5" i="13" s="1"/>
  <c r="DR24" i="15" s="1"/>
  <c r="DR27" i="15" s="1"/>
  <c r="DR28" i="15" s="1"/>
  <c r="DS13" i="27"/>
  <c r="DO8" i="7"/>
  <c r="DO10" i="7" s="1"/>
  <c r="DT20" i="27"/>
  <c r="DS7" i="27"/>
  <c r="DP42" i="3"/>
  <c r="DF34" i="29"/>
  <c r="DF31" i="29"/>
  <c r="DF29" i="29" s="1"/>
  <c r="DF9" i="29" s="1"/>
  <c r="BV35" i="29"/>
  <c r="BV41" i="29"/>
  <c r="DE45" i="29"/>
  <c r="DE40" i="29"/>
  <c r="DE39" i="29" s="1"/>
  <c r="DE37" i="29" s="1"/>
  <c r="DE10" i="29" s="1"/>
  <c r="CZ42" i="29"/>
  <c r="BV39" i="26"/>
  <c r="BV47" i="26" s="1"/>
  <c r="BV49" i="26" s="1"/>
  <c r="DP35" i="29" l="1"/>
  <c r="DQ34" i="29" s="1"/>
  <c r="DR29" i="15"/>
  <c r="DR30" i="15" s="1"/>
  <c r="DR31" i="15"/>
  <c r="DR32" i="15" s="1"/>
  <c r="DQ19" i="29"/>
  <c r="DQ33" i="29" s="1"/>
  <c r="DQ10" i="13" s="1"/>
  <c r="DQ20" i="13" s="1"/>
  <c r="DQ21" i="13" s="1"/>
  <c r="DQ18" i="29"/>
  <c r="DQ8" i="29" s="1"/>
  <c r="DF26" i="15"/>
  <c r="DE11" i="13"/>
  <c r="DE20" i="13" s="1"/>
  <c r="DE21" i="13" s="1"/>
  <c r="DR27" i="29"/>
  <c r="DR18" i="13"/>
  <c r="DT17" i="27"/>
  <c r="BV45" i="29"/>
  <c r="BV40" i="29"/>
  <c r="BV39" i="29" s="1"/>
  <c r="BV37" i="29" s="1"/>
  <c r="BV10" i="29" s="1"/>
  <c r="BW34" i="29"/>
  <c r="BW31" i="29"/>
  <c r="BW29" i="29" s="1"/>
  <c r="BW9" i="29" s="1"/>
  <c r="DF35" i="29"/>
  <c r="DF41" i="29"/>
  <c r="DA42" i="29"/>
  <c r="DG39" i="26"/>
  <c r="DG47" i="26" s="1"/>
  <c r="DG49" i="26" s="1"/>
  <c r="BU20" i="13"/>
  <c r="BU21" i="13" s="1"/>
  <c r="DR20" i="29" l="1"/>
  <c r="DR21" i="29"/>
  <c r="DR5" i="13" s="1"/>
  <c r="DS24" i="15" s="1"/>
  <c r="DS27" i="15" s="1"/>
  <c r="DS28" i="15" s="1"/>
  <c r="BV11" i="13"/>
  <c r="BW26" i="15"/>
  <c r="DQ31" i="29"/>
  <c r="DQ29" i="29" s="1"/>
  <c r="DQ9" i="29" s="1"/>
  <c r="DT7" i="27"/>
  <c r="DQ42" i="3"/>
  <c r="DT22" i="27"/>
  <c r="DS44" i="29" s="1"/>
  <c r="DF40" i="29"/>
  <c r="DF39" i="29" s="1"/>
  <c r="DF37" i="29" s="1"/>
  <c r="DF10" i="29" s="1"/>
  <c r="DF45" i="29"/>
  <c r="BW35" i="29"/>
  <c r="BW41" i="29"/>
  <c r="DG34" i="29"/>
  <c r="DG31" i="29"/>
  <c r="DG29" i="29" s="1"/>
  <c r="DG9" i="29" s="1"/>
  <c r="BW39" i="26"/>
  <c r="BW47" i="26" s="1"/>
  <c r="BW49" i="26" s="1"/>
  <c r="DB42" i="29"/>
  <c r="DQ35" i="29" l="1"/>
  <c r="DR34" i="29" s="1"/>
  <c r="DS29" i="15"/>
  <c r="DS30" i="15" s="1"/>
  <c r="DS31" i="15"/>
  <c r="DS32" i="15" s="1"/>
  <c r="DG26" i="15"/>
  <c r="DF11" i="13"/>
  <c r="DF20" i="13" s="1"/>
  <c r="DF21" i="13" s="1"/>
  <c r="DR19" i="29"/>
  <c r="DR33" i="29" s="1"/>
  <c r="DR10" i="13" s="1"/>
  <c r="DR20" i="13" s="1"/>
  <c r="DR21" i="13" s="1"/>
  <c r="DR18" i="29"/>
  <c r="DR8" i="29" s="1"/>
  <c r="DT13" i="27"/>
  <c r="DU20" i="27"/>
  <c r="DP8" i="7"/>
  <c r="DP10" i="7" s="1"/>
  <c r="DG35" i="29"/>
  <c r="DG41" i="29"/>
  <c r="BW45" i="29"/>
  <c r="BW40" i="29"/>
  <c r="BW39" i="29" s="1"/>
  <c r="BW37" i="29" s="1"/>
  <c r="BW10" i="29" s="1"/>
  <c r="BX34" i="29"/>
  <c r="BX31" i="29"/>
  <c r="BX29" i="29" s="1"/>
  <c r="BX9" i="29" s="1"/>
  <c r="DH39" i="26"/>
  <c r="DH47" i="26" s="1"/>
  <c r="DH49" i="26" s="1"/>
  <c r="DC42" i="29"/>
  <c r="BV20" i="13"/>
  <c r="BV21" i="13" s="1"/>
  <c r="DS27" i="29" l="1"/>
  <c r="DS18" i="13"/>
  <c r="BX26" i="15"/>
  <c r="BW11" i="13"/>
  <c r="DR31" i="29"/>
  <c r="DR29" i="29" s="1"/>
  <c r="DR9" i="29" s="1"/>
  <c r="DU17" i="27"/>
  <c r="BX35" i="29"/>
  <c r="BX41" i="29"/>
  <c r="DG40" i="29"/>
  <c r="DG39" i="29" s="1"/>
  <c r="DG37" i="29" s="1"/>
  <c r="DG10" i="29" s="1"/>
  <c r="DG45" i="29"/>
  <c r="DH34" i="29"/>
  <c r="DH31" i="29"/>
  <c r="DH29" i="29" s="1"/>
  <c r="DH9" i="29" s="1"/>
  <c r="BX39" i="26"/>
  <c r="BX47" i="26" s="1"/>
  <c r="BX49" i="26" s="1"/>
  <c r="DD42" i="29"/>
  <c r="DR35" i="29" l="1"/>
  <c r="DS34" i="29" s="1"/>
  <c r="DH26" i="15"/>
  <c r="DG11" i="13"/>
  <c r="DG20" i="13" s="1"/>
  <c r="DG21" i="13" s="1"/>
  <c r="DS20" i="29"/>
  <c r="DS21" i="29"/>
  <c r="DS5" i="13" s="1"/>
  <c r="DT24" i="15" s="1"/>
  <c r="DT27" i="15" s="1"/>
  <c r="DT28" i="15" s="1"/>
  <c r="DU7" i="27"/>
  <c r="DR42" i="3"/>
  <c r="DU22" i="27"/>
  <c r="DT44" i="29" s="1"/>
  <c r="DS8" i="29"/>
  <c r="DH35" i="29"/>
  <c r="DH41" i="29"/>
  <c r="BX40" i="29"/>
  <c r="BX39" i="29" s="1"/>
  <c r="BX37" i="29" s="1"/>
  <c r="BX10" i="29" s="1"/>
  <c r="BX45" i="29"/>
  <c r="BY34" i="29"/>
  <c r="BY31" i="29"/>
  <c r="BY29" i="29" s="1"/>
  <c r="BY9" i="29" s="1"/>
  <c r="DI39" i="26"/>
  <c r="DI47" i="26" s="1"/>
  <c r="DI49" i="26" s="1"/>
  <c r="DE42" i="29"/>
  <c r="BY26" i="15" l="1"/>
  <c r="BX11" i="13"/>
  <c r="DT31" i="15"/>
  <c r="DT32" i="15" s="1"/>
  <c r="DT29" i="15"/>
  <c r="DT30" i="15" s="1"/>
  <c r="DS19" i="29"/>
  <c r="DS33" i="29" s="1"/>
  <c r="DS10" i="13" s="1"/>
  <c r="DS20" i="13" s="1"/>
  <c r="DS21" i="13" s="1"/>
  <c r="DS18" i="29"/>
  <c r="DU13" i="27"/>
  <c r="DV20" i="27"/>
  <c r="DQ8" i="7"/>
  <c r="DQ10" i="7" s="1"/>
  <c r="BY35" i="29"/>
  <c r="BY41" i="29"/>
  <c r="DH45" i="29"/>
  <c r="DH40" i="29"/>
  <c r="DH39" i="29" s="1"/>
  <c r="DH37" i="29" s="1"/>
  <c r="DH10" i="29" s="1"/>
  <c r="DI34" i="29"/>
  <c r="DI31" i="29"/>
  <c r="DI29" i="29" s="1"/>
  <c r="DI9" i="29" s="1"/>
  <c r="BY39" i="26"/>
  <c r="BY47" i="26" s="1"/>
  <c r="BY49" i="26" s="1"/>
  <c r="DF42" i="29"/>
  <c r="DS31" i="29" l="1"/>
  <c r="DS29" i="29" s="1"/>
  <c r="DS9" i="29" s="1"/>
  <c r="DT27" i="29"/>
  <c r="DT18" i="13"/>
  <c r="DI26" i="15"/>
  <c r="DH11" i="13"/>
  <c r="DH20" i="13" s="1"/>
  <c r="DH21" i="13" s="1"/>
  <c r="DS35" i="29"/>
  <c r="DT34" i="29" s="1"/>
  <c r="DV17" i="27"/>
  <c r="DV22" i="27" s="1"/>
  <c r="DU44" i="29" s="1"/>
  <c r="DI35" i="29"/>
  <c r="DI41" i="29"/>
  <c r="BY45" i="29"/>
  <c r="BY40" i="29"/>
  <c r="BY39" i="29" s="1"/>
  <c r="BY37" i="29" s="1"/>
  <c r="BY10" i="29" s="1"/>
  <c r="BZ34" i="29"/>
  <c r="BZ31" i="29"/>
  <c r="BZ29" i="29" s="1"/>
  <c r="BZ9" i="29" s="1"/>
  <c r="DG42" i="29"/>
  <c r="DJ39" i="26"/>
  <c r="DJ47" i="26" s="1"/>
  <c r="DJ49" i="26" s="1"/>
  <c r="BZ26" i="15" l="1"/>
  <c r="BY11" i="13"/>
  <c r="DT20" i="29"/>
  <c r="DT21" i="29"/>
  <c r="DT5" i="13" s="1"/>
  <c r="DU24" i="15" s="1"/>
  <c r="DU27" i="15" s="1"/>
  <c r="DU28" i="15" s="1"/>
  <c r="DW20" i="27"/>
  <c r="DV13" i="27"/>
  <c r="DR8" i="7"/>
  <c r="DR10" i="7" s="1"/>
  <c r="DT8" i="29"/>
  <c r="DV7" i="27"/>
  <c r="DS42" i="3"/>
  <c r="BZ35" i="29"/>
  <c r="BZ41" i="29"/>
  <c r="DI40" i="29"/>
  <c r="DI39" i="29" s="1"/>
  <c r="DI37" i="29" s="1"/>
  <c r="DI10" i="29" s="1"/>
  <c r="DI45" i="29"/>
  <c r="DJ34" i="29"/>
  <c r="DJ31" i="29"/>
  <c r="DJ29" i="29" s="1"/>
  <c r="DJ9" i="29" s="1"/>
  <c r="BZ39" i="26"/>
  <c r="BZ47" i="26" s="1"/>
  <c r="BZ49" i="26" s="1"/>
  <c r="BW20" i="13"/>
  <c r="DH42" i="29"/>
  <c r="DU27" i="29" l="1"/>
  <c r="DU18" i="13"/>
  <c r="DT18" i="29"/>
  <c r="DT19" i="29"/>
  <c r="DT33" i="29" s="1"/>
  <c r="DT10" i="13" s="1"/>
  <c r="DT20" i="13" s="1"/>
  <c r="DT21" i="13" s="1"/>
  <c r="DU31" i="15"/>
  <c r="DU32" i="15" s="1"/>
  <c r="DU29" i="15"/>
  <c r="DU30" i="15" s="1"/>
  <c r="DI11" i="13"/>
  <c r="DI20" i="13" s="1"/>
  <c r="DI21" i="13" s="1"/>
  <c r="DJ26" i="15"/>
  <c r="DW17" i="27"/>
  <c r="DW22" i="27" s="1"/>
  <c r="DV44" i="29" s="1"/>
  <c r="DJ35" i="29"/>
  <c r="DJ41" i="29"/>
  <c r="BZ45" i="29"/>
  <c r="BZ40" i="29"/>
  <c r="BZ39" i="29" s="1"/>
  <c r="BZ37" i="29" s="1"/>
  <c r="BZ10" i="29" s="1"/>
  <c r="CA34" i="29"/>
  <c r="CA31" i="29"/>
  <c r="CA29" i="29" s="1"/>
  <c r="CA9" i="29" s="1"/>
  <c r="DK39" i="26"/>
  <c r="DK47" i="26" s="1"/>
  <c r="DK49" i="26" s="1"/>
  <c r="BW21" i="13"/>
  <c r="DI42" i="29"/>
  <c r="DT31" i="29" l="1"/>
  <c r="CA26" i="15"/>
  <c r="BZ11" i="13"/>
  <c r="DU20" i="29"/>
  <c r="DU21" i="29"/>
  <c r="DU5" i="13" s="1"/>
  <c r="DV24" i="15" s="1"/>
  <c r="DV27" i="15" s="1"/>
  <c r="DV28" i="15" s="1"/>
  <c r="DT29" i="29"/>
  <c r="DT9" i="29" s="1"/>
  <c r="DT35" i="29"/>
  <c r="DU34" i="29" s="1"/>
  <c r="DW13" i="27"/>
  <c r="DX20" i="27"/>
  <c r="DS8" i="7"/>
  <c r="DS10" i="7" s="1"/>
  <c r="DW7" i="27"/>
  <c r="DT42" i="3"/>
  <c r="CA35" i="29"/>
  <c r="CA41" i="29"/>
  <c r="DJ45" i="29"/>
  <c r="DJ40" i="29"/>
  <c r="DJ39" i="29" s="1"/>
  <c r="DJ37" i="29" s="1"/>
  <c r="DJ10" i="29" s="1"/>
  <c r="DK34" i="29"/>
  <c r="DK31" i="29"/>
  <c r="DK29" i="29" s="1"/>
  <c r="DK9" i="29" s="1"/>
  <c r="DJ42" i="29"/>
  <c r="CA39" i="26"/>
  <c r="CA47" i="26" s="1"/>
  <c r="CA49" i="26" s="1"/>
  <c r="BX20" i="13"/>
  <c r="DJ11" i="13" l="1"/>
  <c r="DJ20" i="13" s="1"/>
  <c r="DJ21" i="13" s="1"/>
  <c r="DK26" i="15"/>
  <c r="DU19" i="29"/>
  <c r="DU33" i="29" s="1"/>
  <c r="DU10" i="13" s="1"/>
  <c r="DU20" i="13" s="1"/>
  <c r="DU21" i="13" s="1"/>
  <c r="DU18" i="29"/>
  <c r="DU8" i="29" s="1"/>
  <c r="DV31" i="15"/>
  <c r="DV32" i="15" s="1"/>
  <c r="DV29" i="15"/>
  <c r="DV30" i="15" s="1"/>
  <c r="DV27" i="29"/>
  <c r="DV18" i="13"/>
  <c r="DX17" i="27"/>
  <c r="DX22" i="27" s="1"/>
  <c r="DW44" i="29" s="1"/>
  <c r="DK35" i="29"/>
  <c r="DK41" i="29"/>
  <c r="CA40" i="29"/>
  <c r="CA39" i="29" s="1"/>
  <c r="CA37" i="29" s="1"/>
  <c r="CA10" i="29" s="1"/>
  <c r="CA45" i="29"/>
  <c r="BX21" i="13"/>
  <c r="DK42" i="29"/>
  <c r="DV20" i="29" l="1"/>
  <c r="DV21" i="29"/>
  <c r="DV5" i="13" s="1"/>
  <c r="DW24" i="15" s="1"/>
  <c r="DW27" i="15" s="1"/>
  <c r="DW28" i="15" s="1"/>
  <c r="CB26" i="15"/>
  <c r="CA11" i="13"/>
  <c r="DU31" i="29"/>
  <c r="DU29" i="29" s="1"/>
  <c r="DU9" i="29" s="1"/>
  <c r="DU42" i="3"/>
  <c r="E42" i="3" s="1"/>
  <c r="DX7" i="27"/>
  <c r="H7" i="27" s="1"/>
  <c r="H17" i="27"/>
  <c r="DX13" i="27"/>
  <c r="H13" i="27" s="1"/>
  <c r="DT8" i="7"/>
  <c r="DK45" i="29"/>
  <c r="DK40" i="29"/>
  <c r="G41" i="29"/>
  <c r="DL42" i="29"/>
  <c r="BY20" i="13"/>
  <c r="G45" i="29" l="1"/>
  <c r="DL26" i="15"/>
  <c r="DK11" i="13"/>
  <c r="DK20" i="13" s="1"/>
  <c r="DK21" i="13" s="1"/>
  <c r="DU35" i="29"/>
  <c r="DV34" i="29" s="1"/>
  <c r="DW31" i="15"/>
  <c r="DW32" i="15" s="1"/>
  <c r="DW29" i="15"/>
  <c r="DW30" i="15" s="1"/>
  <c r="DV18" i="29"/>
  <c r="DV8" i="29" s="1"/>
  <c r="DV19" i="29"/>
  <c r="DV33" i="29" s="1"/>
  <c r="DV10" i="13" s="1"/>
  <c r="DV20" i="13" s="1"/>
  <c r="DV21" i="13" s="1"/>
  <c r="DT10" i="7"/>
  <c r="DW18" i="13" s="1"/>
  <c r="G18" i="13" s="1"/>
  <c r="D8" i="7"/>
  <c r="DK39" i="29"/>
  <c r="G40" i="29"/>
  <c r="DM42" i="29"/>
  <c r="BY21" i="13"/>
  <c r="DV31" i="29" l="1"/>
  <c r="DV29" i="29" s="1"/>
  <c r="DV9" i="29" s="1"/>
  <c r="DW27" i="29"/>
  <c r="DW21" i="29" s="1"/>
  <c r="DW5" i="13" s="1"/>
  <c r="DX24" i="15" s="1"/>
  <c r="DX27" i="15" s="1"/>
  <c r="DX28" i="15" s="1"/>
  <c r="D10" i="7"/>
  <c r="DK37" i="29"/>
  <c r="DK10" i="29" s="1"/>
  <c r="G39" i="29"/>
  <c r="DN42" i="29"/>
  <c r="BZ20" i="13"/>
  <c r="DV35" i="29" l="1"/>
  <c r="DW34" i="29" s="1"/>
  <c r="G34" i="29" s="1"/>
  <c r="DX29" i="15"/>
  <c r="DX30" i="15" s="1"/>
  <c r="DX31" i="15"/>
  <c r="DX32" i="15" s="1"/>
  <c r="H43" i="15"/>
  <c r="DW20" i="29"/>
  <c r="G27" i="29"/>
  <c r="DO42" i="29"/>
  <c r="BZ21" i="13"/>
  <c r="DW18" i="29" l="1"/>
  <c r="DW19" i="29"/>
  <c r="CA20" i="13"/>
  <c r="G11" i="13"/>
  <c r="DP42" i="29"/>
  <c r="DW33" i="29" l="1"/>
  <c r="DW8" i="29"/>
  <c r="DQ42" i="29"/>
  <c r="CA21" i="13"/>
  <c r="G6" i="13" l="1"/>
  <c r="DW10" i="13"/>
  <c r="G10" i="13" s="1"/>
  <c r="G33" i="29"/>
  <c r="DW31" i="29"/>
  <c r="DW29" i="29" s="1"/>
  <c r="DW9" i="29" s="1"/>
  <c r="G5" i="13"/>
  <c r="DW20" i="13"/>
  <c r="DR42" i="29"/>
  <c r="DW35" i="29" l="1"/>
  <c r="G35" i="29" s="1"/>
  <c r="DW21" i="13"/>
  <c r="G20" i="13"/>
  <c r="DS42" i="29"/>
  <c r="DT42" i="29" l="1"/>
  <c r="DU42" i="29" l="1"/>
  <c r="DV42" i="29" l="1"/>
  <c r="DW42" i="29" l="1"/>
  <c r="T42" i="29" l="1"/>
  <c r="I42" i="29" l="1"/>
  <c r="H42" i="29"/>
  <c r="Q42" i="29"/>
  <c r="N42" i="29"/>
  <c r="J42" i="29"/>
  <c r="R42" i="29"/>
  <c r="O42" i="29"/>
  <c r="S42" i="29"/>
  <c r="P42" i="29"/>
  <c r="L42" i="29"/>
  <c r="K42" i="29"/>
  <c r="M42" i="29"/>
  <c r="U42" i="29" l="1"/>
  <c r="V42" i="29" l="1"/>
  <c r="W42" i="29" l="1"/>
  <c r="X42" i="29" l="1"/>
  <c r="Y42" i="29" l="1"/>
  <c r="Z42" i="29" l="1"/>
  <c r="AA42" i="29" l="1"/>
  <c r="AB42" i="29" l="1"/>
  <c r="AC42" i="29" l="1"/>
  <c r="AD42" i="29" l="1"/>
  <c r="AE42" i="29" l="1"/>
  <c r="R14" i="9" l="1"/>
  <c r="DW37" i="6" l="1"/>
  <c r="E14" i="9" l="1"/>
  <c r="R12" i="9"/>
  <c r="E9" i="17"/>
  <c r="N9" i="17" s="1"/>
  <c r="N10" i="17" s="1"/>
  <c r="R19" i="9" l="1"/>
  <c r="E12" i="9"/>
  <c r="AF33" i="26" l="1"/>
  <c r="AF47" i="26" s="1"/>
  <c r="F32" i="26"/>
  <c r="F33" i="26" s="1"/>
  <c r="F47" i="26" s="1"/>
  <c r="AF23" i="26"/>
  <c r="F19" i="26"/>
  <c r="G33" i="26"/>
  <c r="G47" i="26" s="1"/>
  <c r="G49" i="26" s="1"/>
  <c r="D32" i="26"/>
  <c r="D33" i="26" s="1"/>
  <c r="D47" i="26" s="1"/>
  <c r="AF42" i="29"/>
  <c r="U9" i="15"/>
  <c r="U13" i="15" s="1"/>
  <c r="U14" i="15" s="1"/>
  <c r="R51" i="9"/>
  <c r="E19" i="9"/>
  <c r="AF24" i="26" l="1"/>
  <c r="AF49" i="26" s="1"/>
  <c r="F23" i="26"/>
  <c r="F24" i="26" s="1"/>
  <c r="R53" i="9"/>
  <c r="E53" i="9" s="1"/>
  <c r="E51" i="9"/>
  <c r="U17" i="15"/>
  <c r="U18" i="15" s="1"/>
  <c r="U15" i="15"/>
  <c r="U16" i="15" s="1"/>
  <c r="V14" i="15"/>
  <c r="AG42" i="29"/>
  <c r="V15" i="15" l="1"/>
  <c r="V16" i="15" s="1"/>
  <c r="V17" i="15"/>
  <c r="V18" i="15" s="1"/>
  <c r="W14" i="15"/>
  <c r="AH42" i="29"/>
  <c r="W15" i="15" l="1"/>
  <c r="W16" i="15" s="1"/>
  <c r="X14" i="15"/>
  <c r="W17" i="15"/>
  <c r="W18" i="15" s="1"/>
  <c r="AI42" i="29"/>
  <c r="AJ42" i="29" l="1"/>
  <c r="X17" i="15"/>
  <c r="X18" i="15" s="1"/>
  <c r="X15" i="15"/>
  <c r="X16" i="15" s="1"/>
  <c r="Y14" i="15"/>
  <c r="Y15" i="15" l="1"/>
  <c r="Y16" i="15" s="1"/>
  <c r="Z14" i="15"/>
  <c r="Y17" i="15"/>
  <c r="Y18" i="15" s="1"/>
  <c r="AK42" i="29"/>
  <c r="Z17" i="15" l="1"/>
  <c r="Z18" i="15" s="1"/>
  <c r="Z15" i="15"/>
  <c r="Z16" i="15" s="1"/>
  <c r="AA14" i="15"/>
  <c r="AL42" i="29"/>
  <c r="AM42" i="29" l="1"/>
  <c r="AA17" i="15"/>
  <c r="AA18" i="15" s="1"/>
  <c r="AA15" i="15"/>
  <c r="AA16" i="15" s="1"/>
  <c r="AB14" i="15"/>
  <c r="AB17" i="15" l="1"/>
  <c r="AB18" i="15" s="1"/>
  <c r="AB15" i="15"/>
  <c r="AB16" i="15" s="1"/>
  <c r="AC14" i="15"/>
  <c r="AN42" i="29"/>
  <c r="AC17" i="15" l="1"/>
  <c r="AC18" i="15" s="1"/>
  <c r="AD14" i="15"/>
  <c r="AC15" i="15"/>
  <c r="AC16" i="15" s="1"/>
  <c r="AO42" i="29"/>
  <c r="AD15" i="15" l="1"/>
  <c r="AD16" i="15" s="1"/>
  <c r="AD17" i="15"/>
  <c r="AD18" i="15" s="1"/>
  <c r="AE14" i="15"/>
  <c r="AP42" i="29"/>
  <c r="AQ42" i="29" l="1"/>
  <c r="AF14" i="15"/>
  <c r="AE15" i="15"/>
  <c r="AE16" i="15" s="1"/>
  <c r="AE17" i="15"/>
  <c r="AE18" i="15" s="1"/>
  <c r="AF17" i="15" l="1"/>
  <c r="AF18" i="15" s="1"/>
  <c r="AG14" i="15"/>
  <c r="AF15" i="15"/>
  <c r="AF16" i="15" s="1"/>
  <c r="AG17" i="15" l="1"/>
  <c r="AG18" i="15" s="1"/>
  <c r="AG15" i="15"/>
  <c r="AG16" i="15" s="1"/>
  <c r="AH14" i="15"/>
  <c r="AH15" i="15" l="1"/>
  <c r="AH16" i="15" s="1"/>
  <c r="AI14" i="15"/>
  <c r="AH17" i="15"/>
  <c r="AH18" i="15" s="1"/>
  <c r="AI15" i="15" l="1"/>
  <c r="AI16" i="15" s="1"/>
  <c r="AJ14" i="15"/>
  <c r="AI17" i="15"/>
  <c r="AI18" i="15" s="1"/>
  <c r="AJ17" i="15" l="1"/>
  <c r="AJ18" i="15" s="1"/>
  <c r="AK14" i="15"/>
  <c r="AJ15" i="15"/>
  <c r="AJ16" i="15" s="1"/>
  <c r="AK15" i="15" l="1"/>
  <c r="AK16" i="15" s="1"/>
  <c r="AL14" i="15"/>
  <c r="AK17" i="15"/>
  <c r="AK18" i="15" s="1"/>
  <c r="AL15" i="15" l="1"/>
  <c r="AL16" i="15" s="1"/>
  <c r="AL17" i="15"/>
  <c r="AL18" i="15" s="1"/>
  <c r="AM14" i="15"/>
  <c r="AN14" i="15" l="1"/>
  <c r="AM15" i="15"/>
  <c r="AM16" i="15" s="1"/>
  <c r="AM17" i="15"/>
  <c r="AM18" i="15" s="1"/>
  <c r="AN17" i="15" l="1"/>
  <c r="AN18" i="15" s="1"/>
  <c r="AN15" i="15"/>
  <c r="AN16" i="15" s="1"/>
  <c r="AO14" i="15"/>
  <c r="AO17" i="15" l="1"/>
  <c r="AO18" i="15" s="1"/>
  <c r="AP14" i="15"/>
  <c r="AO15" i="15"/>
  <c r="AO16" i="15" s="1"/>
  <c r="AP17" i="15" l="1"/>
  <c r="AP18" i="15" s="1"/>
  <c r="AQ14" i="15"/>
  <c r="AP15" i="15"/>
  <c r="AP16" i="15" s="1"/>
  <c r="AR14" i="15" l="1"/>
  <c r="AQ17" i="15"/>
  <c r="AQ18" i="15" s="1"/>
  <c r="AQ15" i="15"/>
  <c r="AQ16" i="15" s="1"/>
  <c r="AR15" i="15" l="1"/>
  <c r="AR17" i="15"/>
  <c r="AR18" i="15" s="1"/>
  <c r="H39" i="15"/>
  <c r="H19" i="15" l="1"/>
  <c r="AR16" i="15"/>
  <c r="AQ21" i="13" l="1"/>
  <c r="AP21" i="13"/>
  <c r="AO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AJ21" i="13"/>
  <c r="AK21" i="13"/>
  <c r="AL21" i="13"/>
  <c r="AM21" i="13"/>
  <c r="AN21" i="13"/>
</calcChain>
</file>

<file path=xl/sharedStrings.xml><?xml version="1.0" encoding="utf-8"?>
<sst xmlns="http://schemas.openxmlformats.org/spreadsheetml/2006/main" count="930" uniqueCount="456">
  <si>
    <t>Резюме проекта</t>
  </si>
  <si>
    <t>Суть проекта:</t>
  </si>
  <si>
    <t xml:space="preserve">Цель проекта: </t>
  </si>
  <si>
    <t>Основные характеристики проекта</t>
  </si>
  <si>
    <t>Наименование</t>
  </si>
  <si>
    <t>Значение</t>
  </si>
  <si>
    <t>Потребность в финансировании проекта</t>
  </si>
  <si>
    <t>Источник финансирования</t>
  </si>
  <si>
    <t>Сумма, руб.</t>
  </si>
  <si>
    <t xml:space="preserve">Всего вложений </t>
  </si>
  <si>
    <t>в т. ч. По источникам финансирования</t>
  </si>
  <si>
    <t>Собственные средства</t>
  </si>
  <si>
    <t>Заемные средства</t>
  </si>
  <si>
    <t>Исходные данные:</t>
  </si>
  <si>
    <t>Система налогообложения:</t>
  </si>
  <si>
    <t>упрощенная система (доходы)</t>
  </si>
  <si>
    <t>Организационная форма бизнеса:</t>
  </si>
  <si>
    <t>ООО</t>
  </si>
  <si>
    <t>Временные показатели:</t>
  </si>
  <si>
    <t>год</t>
  </si>
  <si>
    <t>№ год</t>
  </si>
  <si>
    <t>месяц</t>
  </si>
  <si>
    <t>№ мес.</t>
  </si>
  <si>
    <t>1 год</t>
  </si>
  <si>
    <t>2 год</t>
  </si>
  <si>
    <t>3 год</t>
  </si>
  <si>
    <t>Ед. из. (мес. / руб.)</t>
  </si>
  <si>
    <t>Сумма</t>
  </si>
  <si>
    <t>1. Наименование вида налога и сбора</t>
  </si>
  <si>
    <t>%</t>
  </si>
  <si>
    <t>Страховые взносы по персоналу:</t>
  </si>
  <si>
    <t>Пенсионный фонд (ПФР)</t>
  </si>
  <si>
    <t>Фонд социального страхования (ФСС)</t>
  </si>
  <si>
    <t>Фонд обязательного медицинского страхования (ФОМС)</t>
  </si>
  <si>
    <t>Страховые взносы по ООО^</t>
  </si>
  <si>
    <t>руб.</t>
  </si>
  <si>
    <t>Медицинские взносы</t>
  </si>
  <si>
    <t>2. Коэффициенты</t>
  </si>
  <si>
    <t>Ключевая ставка ЦБ РФ</t>
  </si>
  <si>
    <t>Рентабельность проекта</t>
  </si>
  <si>
    <t>3. Инвестиции в проект</t>
  </si>
  <si>
    <t>3.1. Капитальные затраты</t>
  </si>
  <si>
    <t>3.2. Операционные затраты</t>
  </si>
  <si>
    <t>3.2.1. Текущие затраты</t>
  </si>
  <si>
    <t>3.2.2.Административные затраты</t>
  </si>
  <si>
    <t>3.2.3. Прочие расходы</t>
  </si>
  <si>
    <t>4. Источники финансирования:</t>
  </si>
  <si>
    <t>Доля собственных средств</t>
  </si>
  <si>
    <t>Доля заемных средств, вкладываемых в производство</t>
  </si>
  <si>
    <t>5. Индекс инфляции</t>
  </si>
  <si>
    <t>6. Основные средства</t>
  </si>
  <si>
    <t>7. Амортизация</t>
  </si>
  <si>
    <t>Выручка</t>
  </si>
  <si>
    <t>Показатель</t>
  </si>
  <si>
    <t>Ед. из.</t>
  </si>
  <si>
    <t>чел.</t>
  </si>
  <si>
    <t>Выручка с учетом инфляции</t>
  </si>
  <si>
    <t>Капитальные затраты</t>
  </si>
  <si>
    <t>Наименование затрат</t>
  </si>
  <si>
    <t>Итого:</t>
  </si>
  <si>
    <t>https://www.audit-it.ru/ifrs/terms/items/capex.html</t>
  </si>
  <si>
    <t>Приложение (затраты)'!A1</t>
  </si>
  <si>
    <t xml:space="preserve"> </t>
  </si>
  <si>
    <t>Операционные затраты</t>
  </si>
  <si>
    <t>Итого за 1 год:</t>
  </si>
  <si>
    <t>Итого за 2 год:</t>
  </si>
  <si>
    <t>Итого за 3 год:</t>
  </si>
  <si>
    <t>1.Текущие затраты</t>
  </si>
  <si>
    <t>1.2.Прочие расходы</t>
  </si>
  <si>
    <t>Налоги и сборы</t>
  </si>
  <si>
    <t>Ед. из. (кв./ руб.)</t>
  </si>
  <si>
    <t>Приложение (налоги и взносы)'!A1</t>
  </si>
  <si>
    <t>Отчет о финансовых результатах</t>
  </si>
  <si>
    <t>Наименование показателя</t>
  </si>
  <si>
    <t>Код</t>
  </si>
  <si>
    <t xml:space="preserve">Выручка </t>
  </si>
  <si>
    <t>2110</t>
  </si>
  <si>
    <t>Себестоимость продаж</t>
  </si>
  <si>
    <t>2120</t>
  </si>
  <si>
    <t>Валовая прибыль (убыток)</t>
  </si>
  <si>
    <t>2100</t>
  </si>
  <si>
    <t>Коммерческие расходы</t>
  </si>
  <si>
    <t>2210</t>
  </si>
  <si>
    <t>Управленческие расходы</t>
  </si>
  <si>
    <t>2220</t>
  </si>
  <si>
    <t>Прибыль (убыток) от продаж</t>
  </si>
  <si>
    <t>2200</t>
  </si>
  <si>
    <t>Доходы от участия в других организациях</t>
  </si>
  <si>
    <t>2310</t>
  </si>
  <si>
    <t>Проценты к получению</t>
  </si>
  <si>
    <t>2320</t>
  </si>
  <si>
    <t>Проценты к уплате</t>
  </si>
  <si>
    <t>2330</t>
  </si>
  <si>
    <t>Прочие доходы</t>
  </si>
  <si>
    <t>2340</t>
  </si>
  <si>
    <t>Прочие расходы</t>
  </si>
  <si>
    <t>2350</t>
  </si>
  <si>
    <t>Прибыль (убыток) до налогообложения</t>
  </si>
  <si>
    <t>2300</t>
  </si>
  <si>
    <t>Текущий налог на прибыль, 6%</t>
  </si>
  <si>
    <t>2410</t>
  </si>
  <si>
    <t>Изменение отложенных налоговых 
обязательств</t>
  </si>
  <si>
    <t>2430</t>
  </si>
  <si>
    <t>Изменение отложенных налоговых активов</t>
  </si>
  <si>
    <t>2450</t>
  </si>
  <si>
    <t>Прочее</t>
  </si>
  <si>
    <t>2460</t>
  </si>
  <si>
    <t>Чистая прибыль (убыток)</t>
  </si>
  <si>
    <t>2400</t>
  </si>
  <si>
    <t>Накопительный итог</t>
  </si>
  <si>
    <t>Отчёт о движении денежных средств</t>
  </si>
  <si>
    <t>Денежные потоки от
текущих операций</t>
  </si>
  <si>
    <t>Поступления - всего</t>
  </si>
  <si>
    <t>4110</t>
  </si>
  <si>
    <t>в том числе:</t>
  </si>
  <si>
    <t>от продажи продукции, товаров, работ и услуг</t>
  </si>
  <si>
    <t>4111</t>
  </si>
  <si>
    <t>арендных платежей, лицензионных платежей, роялти, комиссионных и иных аналогичных платежей</t>
  </si>
  <si>
    <t>4112</t>
  </si>
  <si>
    <t>от перепродажи финансовых вложений</t>
  </si>
  <si>
    <t>4113</t>
  </si>
  <si>
    <t>прочие поступления</t>
  </si>
  <si>
    <t>4119</t>
  </si>
  <si>
    <t>Платежи - всего</t>
  </si>
  <si>
    <t>4120</t>
  </si>
  <si>
    <t>поставщикам (подрядчикам) за сырье, материалы, работы, услуги</t>
  </si>
  <si>
    <t>4121</t>
  </si>
  <si>
    <t>в связи с оплатой труда работников</t>
  </si>
  <si>
    <t>4122</t>
  </si>
  <si>
    <t>процентов по долговым обязательствам</t>
  </si>
  <si>
    <t>4123</t>
  </si>
  <si>
    <t>налога на прибыль организаций</t>
  </si>
  <si>
    <t>4124</t>
  </si>
  <si>
    <t>прочие платежи</t>
  </si>
  <si>
    <t>4129</t>
  </si>
  <si>
    <t>Сальдо денежных потоков от текущих операций</t>
  </si>
  <si>
    <t>Денежные потоки от
инвестиционных операций</t>
  </si>
  <si>
    <t>от продажи внеоборотных активов (кроме финансовых вложений)</t>
  </si>
  <si>
    <t>от продажи акций других организаций (долей участия)</t>
  </si>
  <si>
    <t>от возврата предоставленных займов, от продажи долговых ценных бумаг (прав требования денежных средств к другим лицам)</t>
  </si>
  <si>
    <t>дивидендов, процентов по долговым финансовым вложениям и аналогичных поступлений от долевого участия в других организациях</t>
  </si>
  <si>
    <t>в связи с приобретением, созданием, модернизацией, реконструкцией и подготовкой к использованию внеоборотных активов</t>
  </si>
  <si>
    <t>в связи с приобретением акций других организаций (долей участия)</t>
  </si>
  <si>
    <t>в связи с приобретением долговых ценных бумаг (прав требования денежных средств к другим лицам), предоставление займов другим лицам</t>
  </si>
  <si>
    <t>процентов по долговым обязательствам, включаемым в стоимость инвестиционного актива</t>
  </si>
  <si>
    <t>Сальдо денежных потоков от инвестиционных операций</t>
  </si>
  <si>
    <t>Денежные потоки от
финансовых операций</t>
  </si>
  <si>
    <t>получение кредитов и займов</t>
  </si>
  <si>
    <t>денежных вкладов собственников (участников)</t>
  </si>
  <si>
    <t>от выпуска акций, увеличения долей участия</t>
  </si>
  <si>
    <t>от выпуска облигаций, векселей и других долговых ценных бумаг и др.</t>
  </si>
  <si>
    <t>собственникам (участникам) в связи с выкупом у них акций (долей участия) организации или их выходом из состава участников</t>
  </si>
  <si>
    <t>на уплату дивидендов и иных платежей по распределению прибыли в пользу собственников (участников)</t>
  </si>
  <si>
    <t>в связи с погашением (выкупом) векселей и других долговых ценных бумаг, возврат кредитов и займов</t>
  </si>
  <si>
    <t>Сальдо денежных потоков от финансовых операций</t>
  </si>
  <si>
    <t>Сальдо денежных потоков за отчетный период</t>
  </si>
  <si>
    <t>Остаток денежных средств и денежных эквивалентов на начало отчетного периода</t>
  </si>
  <si>
    <t>Остаток денежных средств и денежных эквивалентов на конец отчетного периода</t>
  </si>
  <si>
    <t>Амортизация</t>
  </si>
  <si>
    <t>Всего амортизация</t>
  </si>
  <si>
    <t>Балансовая стоимость ОС</t>
  </si>
  <si>
    <t>Всего незавершенное строительство на конец периода</t>
  </si>
  <si>
    <t>Всего остаточная стоимость ОС на конец периода</t>
  </si>
  <si>
    <t>Амортизационные отчисления</t>
  </si>
  <si>
    <t>Расходы, идущие на инвестиционный актив</t>
  </si>
  <si>
    <t>Первоначальная стоимость</t>
  </si>
  <si>
    <t>Норма амортизации</t>
  </si>
  <si>
    <t>Финансирование</t>
  </si>
  <si>
    <t>Всего поступление заемного капитала</t>
  </si>
  <si>
    <t>Всего возврат заемного капитала</t>
  </si>
  <si>
    <t>Всего выплата процентов</t>
  </si>
  <si>
    <t>Всего поступление собственного капитала</t>
  </si>
  <si>
    <t>Всего возврат собственного капитала</t>
  </si>
  <si>
    <t>Всего выплата дивидентов</t>
  </si>
  <si>
    <t>Собственный капитал (СК)</t>
  </si>
  <si>
    <t>Поступление СК (безпроцентный займ)</t>
  </si>
  <si>
    <t>Определение FCFE</t>
  </si>
  <si>
    <t>Денежные вклады инвесторов</t>
  </si>
  <si>
    <t>Изъятие денежных средств инвесторов</t>
  </si>
  <si>
    <t>FCFE+FCFD</t>
  </si>
  <si>
    <t xml:space="preserve">Поступление ЗК </t>
  </si>
  <si>
    <t>Возврат ЗК</t>
  </si>
  <si>
    <t>Оплата % по ЗК</t>
  </si>
  <si>
    <t>Капитальные затраты в инвестиционном периоде</t>
  </si>
  <si>
    <t>Доходы</t>
  </si>
  <si>
    <t>Налоги и отчисления</t>
  </si>
  <si>
    <t>Возврат собственного капитала</t>
  </si>
  <si>
    <t>Возврат СК</t>
  </si>
  <si>
    <t>Сумма к возврату</t>
  </si>
  <si>
    <t>Свободные средства</t>
  </si>
  <si>
    <t>Долг перед инвестором на начало периода</t>
  </si>
  <si>
    <t>Долг перед инвестором на конец периода</t>
  </si>
  <si>
    <t>Выплата дивидендов</t>
  </si>
  <si>
    <t>Дивиденды в пользу Инвестора (начисленные)</t>
  </si>
  <si>
    <t>Чистая реальная прибыль периода</t>
  </si>
  <si>
    <t>чистая реальная прибыль н. и.</t>
  </si>
  <si>
    <t>Чистая реальная прибыль / убыток (-) н. и.</t>
  </si>
  <si>
    <t>Чистая прибыль / убыток (-) н. и.</t>
  </si>
  <si>
    <t>Балансовая стоимость имущества</t>
  </si>
  <si>
    <t>Дивиденды накопительным итогом</t>
  </si>
  <si>
    <t>Бухгалтерский баланс</t>
  </si>
  <si>
    <t>АКТИВ</t>
  </si>
  <si>
    <t>I. ВНЕОБОРОТНЫЕ АКТИВЫ</t>
  </si>
  <si>
    <t>Нематериальные активы</t>
  </si>
  <si>
    <t>1110</t>
  </si>
  <si>
    <t>Результаты исследований и разработок</t>
  </si>
  <si>
    <t>1120</t>
  </si>
  <si>
    <t>Нематериальные поисковые активы</t>
  </si>
  <si>
    <t>1130</t>
  </si>
  <si>
    <t>Материальные поисковые активы</t>
  </si>
  <si>
    <t>1140</t>
  </si>
  <si>
    <t>Основные средства</t>
  </si>
  <si>
    <t>1150</t>
  </si>
  <si>
    <t>Доходные вложения в материальные ценности</t>
  </si>
  <si>
    <t>1160</t>
  </si>
  <si>
    <t>Финансовые вложения</t>
  </si>
  <si>
    <t>1170</t>
  </si>
  <si>
    <t>Отложенные налоговые активы</t>
  </si>
  <si>
    <t>1180</t>
  </si>
  <si>
    <t>Прочие внеоборотные активы</t>
  </si>
  <si>
    <t>1190</t>
  </si>
  <si>
    <t>Итого по разделу I</t>
  </si>
  <si>
    <t>1100</t>
  </si>
  <si>
    <t>II. ОБОРОТНЫЕ АКТИВЫ</t>
  </si>
  <si>
    <t>Запасы</t>
  </si>
  <si>
    <t>1210</t>
  </si>
  <si>
    <t>Налог на добавленную стоимость по приобретенным ценностям</t>
  </si>
  <si>
    <t>1220</t>
  </si>
  <si>
    <t>Дебиторская задолженность</t>
  </si>
  <si>
    <t>1230</t>
  </si>
  <si>
    <t>Финансовые вложения (за исключением денежных эквивалентов)</t>
  </si>
  <si>
    <t>1240</t>
  </si>
  <si>
    <t>Денежные средства и денежные эквиваленты</t>
  </si>
  <si>
    <t>1250</t>
  </si>
  <si>
    <t>Прочие оборотные активы</t>
  </si>
  <si>
    <t>1260</t>
  </si>
  <si>
    <t>Итого по разделу II</t>
  </si>
  <si>
    <t>1200</t>
  </si>
  <si>
    <t>БАЛАНС</t>
  </si>
  <si>
    <t>1600</t>
  </si>
  <si>
    <t>ПАССИВ</t>
  </si>
  <si>
    <t>III. КАПИТАЛ И РЕЗЕРВЫ 6</t>
  </si>
  <si>
    <t>Уставный капитал (складочный 
капитал, уставный фонд, вклады товарищей)</t>
  </si>
  <si>
    <t>1310</t>
  </si>
  <si>
    <t>Собственные акции, выкупленные у акционеров</t>
  </si>
  <si>
    <t>1320</t>
  </si>
  <si>
    <t>Переоценка внеоборотных активов</t>
  </si>
  <si>
    <t>1340</t>
  </si>
  <si>
    <t>Добавочный капитал (без переоценки)</t>
  </si>
  <si>
    <t>1350</t>
  </si>
  <si>
    <t>Резервный капитал</t>
  </si>
  <si>
    <t>1360</t>
  </si>
  <si>
    <t>Нераспределенная прибыль (непокрытый убыток)</t>
  </si>
  <si>
    <t>1370</t>
  </si>
  <si>
    <t>Итого по разделу III</t>
  </si>
  <si>
    <t>1300</t>
  </si>
  <si>
    <t>IV. ДОЛГОСРОЧНЫЕ ОБЯЗАТЕЛЬСТВА</t>
  </si>
  <si>
    <t>1410</t>
  </si>
  <si>
    <t>Отложенные налоговые обязательства</t>
  </si>
  <si>
    <t>1420</t>
  </si>
  <si>
    <t>Оценочные обязательства</t>
  </si>
  <si>
    <t>1430</t>
  </si>
  <si>
    <t>Прочие обязательства</t>
  </si>
  <si>
    <t>1450</t>
  </si>
  <si>
    <t>Итого по разделу IV</t>
  </si>
  <si>
    <t>1400</t>
  </si>
  <si>
    <t>V. КРАТКОСРОЧНЫЕ ОБЯЗАТЕЛЬСТВА</t>
  </si>
  <si>
    <t>1510</t>
  </si>
  <si>
    <t>Кредиторская задолженность</t>
  </si>
  <si>
    <t>1520</t>
  </si>
  <si>
    <t>Доходы будущих периодов</t>
  </si>
  <si>
    <t>1530</t>
  </si>
  <si>
    <t>1540</t>
  </si>
  <si>
    <t>1550</t>
  </si>
  <si>
    <t>Итого по разделу V</t>
  </si>
  <si>
    <t>1500</t>
  </si>
  <si>
    <t>1700</t>
  </si>
  <si>
    <t>Финансовый план по месяцам</t>
  </si>
  <si>
    <t>Поступление заемного капитала</t>
  </si>
  <si>
    <t>Возврат заемного капитала</t>
  </si>
  <si>
    <t>Оплата процентов по заемному капиталу</t>
  </si>
  <si>
    <t>Поступление собственного капитала</t>
  </si>
  <si>
    <r>
      <t>Сальдо денежных</t>
    </r>
    <r>
      <rPr>
        <sz val="11"/>
        <color rgb="FFFF66CC"/>
        <rFont val="Times New Roman"/>
        <family val="1"/>
      </rPr>
      <t xml:space="preserve"> притоков</t>
    </r>
    <r>
      <rPr>
        <sz val="11"/>
        <color theme="1"/>
        <rFont val="Times New Roman"/>
        <family val="1"/>
      </rPr>
      <t xml:space="preserve"> и </t>
    </r>
    <r>
      <rPr>
        <sz val="11"/>
        <color theme="4" tint="-0.249977111117893"/>
        <rFont val="Times New Roman"/>
        <family val="1"/>
      </rPr>
      <t>оттоков</t>
    </r>
  </si>
  <si>
    <t>Сальдо н.и.</t>
  </si>
  <si>
    <t>20x1 г.</t>
  </si>
  <si>
    <t>20x2 г.</t>
  </si>
  <si>
    <t>20x3 г.</t>
  </si>
  <si>
    <r>
      <t xml:space="preserve">Сальдо денежных </t>
    </r>
    <r>
      <rPr>
        <sz val="11"/>
        <color rgb="FFCC66FF"/>
        <rFont val="Times New Roman"/>
        <family val="1"/>
      </rPr>
      <t>приток</t>
    </r>
    <r>
      <rPr>
        <sz val="11"/>
        <color theme="1"/>
        <rFont val="Times New Roman"/>
        <family val="1"/>
      </rPr>
      <t xml:space="preserve">ов и </t>
    </r>
    <r>
      <rPr>
        <sz val="11"/>
        <color theme="4" tint="-0.249977111117893"/>
        <rFont val="Times New Roman"/>
        <family val="1"/>
      </rPr>
      <t>оттоков</t>
    </r>
  </si>
  <si>
    <t>Дисконтированный денежный поток</t>
  </si>
  <si>
    <t>1.1. Расчёт NPV, IRR</t>
  </si>
  <si>
    <t>1.1.1. С точки зрения Проекта в целом</t>
  </si>
  <si>
    <r>
      <t>Операционный ДП (</t>
    </r>
    <r>
      <rPr>
        <b/>
        <sz val="10"/>
        <color theme="1"/>
        <rFont val="Times New Roman"/>
        <family val="1"/>
      </rPr>
      <t>OCF</t>
    </r>
    <r>
      <rPr>
        <sz val="10"/>
        <color theme="1"/>
        <rFont val="Times New Roman"/>
        <family val="1"/>
      </rPr>
      <t>)</t>
    </r>
  </si>
  <si>
    <t>в том числе % по кредиту (не на инвестактиве)</t>
  </si>
  <si>
    <t>Инвестиционный ДП к учету</t>
  </si>
  <si>
    <t>в том числе % по кредиту (на инвестактиве)</t>
  </si>
  <si>
    <t>ЧДП (FCFF)</t>
  </si>
  <si>
    <t>ЧДП н.и.</t>
  </si>
  <si>
    <t>Дисконтированный ЧДП (NPV1)</t>
  </si>
  <si>
    <t>Дисконтированный ЧДП н.и.</t>
  </si>
  <si>
    <t>Дисконтированный ЧДП (NPV2)</t>
  </si>
  <si>
    <r>
      <rPr>
        <b/>
        <sz val="10"/>
        <color theme="1"/>
        <rFont val="Times New Roman"/>
        <family val="1"/>
      </rPr>
      <t>IRR</t>
    </r>
    <r>
      <rPr>
        <sz val="10"/>
        <color theme="1"/>
        <rFont val="Times New Roman"/>
        <family val="1"/>
      </rPr>
      <t>, годовых</t>
    </r>
  </si>
  <si>
    <r>
      <rPr>
        <b/>
        <sz val="10"/>
        <color theme="1"/>
        <rFont val="Times New Roman"/>
        <family val="1"/>
      </rPr>
      <t>R_WACC</t>
    </r>
    <r>
      <rPr>
        <sz val="10"/>
        <color theme="1"/>
        <rFont val="Times New Roman"/>
        <family val="1"/>
      </rPr>
      <t>, годовых</t>
    </r>
  </si>
  <si>
    <t>1.1.1. С точки зрения Инвестора</t>
  </si>
  <si>
    <t>Финансовый ДП</t>
  </si>
  <si>
    <t>Инвестиции собственников</t>
  </si>
  <si>
    <t>Возврат инвестиций собственников</t>
  </si>
  <si>
    <t>Дисконтированный ЧДП (NPV)</t>
  </si>
  <si>
    <r>
      <rPr>
        <b/>
        <sz val="10"/>
        <color theme="1"/>
        <rFont val="Times New Roman"/>
        <family val="1"/>
      </rPr>
      <t>R_FTE</t>
    </r>
    <r>
      <rPr>
        <sz val="10"/>
        <color theme="1"/>
        <rFont val="Times New Roman"/>
        <family val="1"/>
      </rPr>
      <t>, годовых</t>
    </r>
  </si>
  <si>
    <t>1.2. Расчёт РВР, DPBP</t>
  </si>
  <si>
    <t>1.2.1. С точки зрения Проекта в целом</t>
  </si>
  <si>
    <r>
      <rPr>
        <b/>
        <sz val="10"/>
        <color theme="1"/>
        <rFont val="Times New Roman"/>
        <family val="1"/>
      </rPr>
      <t>PBP</t>
    </r>
    <r>
      <rPr>
        <sz val="10"/>
        <color theme="1"/>
        <rFont val="Times New Roman"/>
        <family val="1"/>
      </rPr>
      <t>, лет</t>
    </r>
  </si>
  <si>
    <t>лет</t>
  </si>
  <si>
    <r>
      <rPr>
        <b/>
        <sz val="10"/>
        <color theme="1"/>
        <rFont val="Times New Roman"/>
        <family val="1"/>
      </rPr>
      <t>DPBP</t>
    </r>
    <r>
      <rPr>
        <sz val="10"/>
        <color theme="1"/>
        <rFont val="Times New Roman"/>
        <family val="1"/>
      </rPr>
      <t>, лет</t>
    </r>
  </si>
  <si>
    <t>1.2.1. С точки зрения Инвестора</t>
  </si>
  <si>
    <t>№</t>
  </si>
  <si>
    <t>Основные фонды</t>
  </si>
  <si>
    <t>Цена за 1 шт. (руб.)</t>
  </si>
  <si>
    <t>Кол-во (шт.)</t>
  </si>
  <si>
    <t>Срок полезного испоьзования (год)</t>
  </si>
  <si>
    <t>Итого</t>
  </si>
  <si>
    <t>Собственные ср-ва</t>
  </si>
  <si>
    <t>Инвестиции</t>
  </si>
  <si>
    <t>Текущие затраты</t>
  </si>
  <si>
    <t>Административные затраты</t>
  </si>
  <si>
    <t>Итого затрат</t>
  </si>
  <si>
    <t>Прайс аренды рабочего места, руб.</t>
  </si>
  <si>
    <t>Рабочее место</t>
  </si>
  <si>
    <t>1 час</t>
  </si>
  <si>
    <t>3 часа</t>
  </si>
  <si>
    <t>смена (7 ч.)</t>
  </si>
  <si>
    <t>50 ч.</t>
  </si>
  <si>
    <t>100 ч.</t>
  </si>
  <si>
    <t>Основные показатели эффективности проекта</t>
  </si>
  <si>
    <t>Срок окупаемости (PP), мес.</t>
  </si>
  <si>
    <t>Дисконтированный срок окупаемости (DPP), мес.</t>
  </si>
  <si>
    <t>Чистая приведенная стоимость (NPV), руб.</t>
  </si>
  <si>
    <t>Коэффициент рентабельности инвестиций (ARR), %</t>
  </si>
  <si>
    <t>Внутренняя норма прибыли (IRR), %</t>
  </si>
  <si>
    <t>Суть проекта</t>
  </si>
  <si>
    <t>Срок реализации проекта</t>
  </si>
  <si>
    <t>Рабочее место 1</t>
  </si>
  <si>
    <t>Раабочее место 2</t>
  </si>
  <si>
    <t>рабочее место 3</t>
  </si>
  <si>
    <t>-</t>
  </si>
  <si>
    <t>Цель проекта</t>
  </si>
  <si>
    <t xml:space="preserve">Предмет разработки </t>
  </si>
  <si>
    <t>4 год</t>
  </si>
  <si>
    <t>5 год</t>
  </si>
  <si>
    <t>6 год</t>
  </si>
  <si>
    <t>7 год</t>
  </si>
  <si>
    <t>8 год</t>
  </si>
  <si>
    <t>9 год</t>
  </si>
  <si>
    <t>10 год</t>
  </si>
  <si>
    <t xml:space="preserve">НДС </t>
  </si>
  <si>
    <t>ОСНО налог на прибыль</t>
  </si>
  <si>
    <t>Налог на доходы физических лиц (НДФЛ)</t>
  </si>
  <si>
    <t>Итого за 4 год:</t>
  </si>
  <si>
    <t>Итого за 5 год:</t>
  </si>
  <si>
    <t>Итого за 6 год:</t>
  </si>
  <si>
    <t>Итого за 7 год:</t>
  </si>
  <si>
    <t>Итого за 8 год:</t>
  </si>
  <si>
    <t>Итого за 9 год:</t>
  </si>
  <si>
    <t>Итого за 10  год:</t>
  </si>
  <si>
    <t>Коэффициент инфляции</t>
  </si>
  <si>
    <t>Остаточная стоимость оборудования</t>
  </si>
  <si>
    <t>20x4 г.</t>
  </si>
  <si>
    <t>20x5 г.</t>
  </si>
  <si>
    <t>20x6 г.</t>
  </si>
  <si>
    <t>20x7 г.</t>
  </si>
  <si>
    <t>20x8 г.</t>
  </si>
  <si>
    <t>20x9 г.</t>
  </si>
  <si>
    <t>20x10 г.</t>
  </si>
  <si>
    <t>%, 100</t>
  </si>
  <si>
    <t>Проектом предусматривается создание, внедрение и ввод в промышленную эксплуатацию нейросетевого программного модуля, встраиваемого в корпоративную HRM-систему МКПАО «Яндекс». Назначение модуля – автоматизированный анализ компетенций сотрудников, выявление дефицита навыков, прогнозирование вероятных карьерных переходов и формирование персонализированных рекомендаций по обучению и развитию.</t>
  </si>
  <si>
    <t>Создание нейросетевого модуля для повышения эффективности управления кадрами компании "Яндекс"</t>
  </si>
  <si>
    <t xml:space="preserve">Создание нейросетевого модуля в корпоративную HRM-систему "Яндекса", содержащего </t>
  </si>
  <si>
    <t>Количество работников</t>
  </si>
  <si>
    <t>Количество сотрудников "Яндекс"</t>
  </si>
  <si>
    <t>Обучение ориентировано на (численность обучающихся), чел.</t>
  </si>
  <si>
    <t>Создание не фрагментарного, а единого управляющего модуля для обучения и развития персонала</t>
  </si>
  <si>
    <t>Нейросетевой HRM-модуль</t>
  </si>
  <si>
    <t xml:space="preserve">Первый блок разработки </t>
  </si>
  <si>
    <t>Ядро HRM модуля</t>
  </si>
  <si>
    <t>Второй блок</t>
  </si>
  <si>
    <t xml:space="preserve">Третий блок </t>
  </si>
  <si>
    <t>Модуль анализа компетенций</t>
  </si>
  <si>
    <t xml:space="preserve">Модуль карьерных переходов </t>
  </si>
  <si>
    <t>Четвертый блок</t>
  </si>
  <si>
    <t>Пятый блок</t>
  </si>
  <si>
    <t>Шестой блок</t>
  </si>
  <si>
    <t>Седьмой блок</t>
  </si>
  <si>
    <t xml:space="preserve">Восьмой блок </t>
  </si>
  <si>
    <t>Рекомендательный модуль обучения</t>
  </si>
  <si>
    <t>Витрина данных, ETL и единая модель компетенций</t>
  </si>
  <si>
    <t>Интерфейсы и дашборды</t>
  </si>
  <si>
    <t>Контур ИБ и защиты персональных данных</t>
  </si>
  <si>
    <t>Контур интеграций. Обеспечить обмен данными с HRM, LMS, BI, корпоративными API, а также формирование журналов событий, логирования и мониторинга.</t>
  </si>
  <si>
    <t>10 лет, 1 год разработка, 9 лет - реализация</t>
  </si>
  <si>
    <t>18 человек</t>
  </si>
  <si>
    <t>Руководитель проекта</t>
  </si>
  <si>
    <t>Сопровождение</t>
  </si>
  <si>
    <t>Поддержка пользователей</t>
  </si>
  <si>
    <t>Обучение и коммуникации</t>
  </si>
  <si>
    <t>Юридическое сопровождение</t>
  </si>
  <si>
    <t>Административные расходы</t>
  </si>
  <si>
    <t>Подписки и сервисы</t>
  </si>
  <si>
    <t>Предпроектное обследование и проектирование решения</t>
  </si>
  <si>
    <t>Разработка ядра HRM-модуля и всех модулей анализа/рекомендаций/карьеры/витрины/ETL/интеграций/ИБ/тестирования/пилота/документации/обучения/внедрения в эксплуатацию</t>
  </si>
  <si>
    <t>Приобретение оборудования (серверы, СХД, сеть, рабочие станции, ИБ, резервирование и т.д.) — см. ниже таблицы оборудования</t>
  </si>
  <si>
    <t>Серверы вычислительного контура для ML/NLP-моделей (GPU/CPU)</t>
  </si>
  <si>
    <t>Серверы тестового и промышленного контуров (CPU)</t>
  </si>
  <si>
    <t>СХД для исторических данных и моделей (NAS/SAN)</t>
  </si>
  <si>
    <t>Сетевое оборудование ядра проекта (коммутаторы, маршрутизаторы)</t>
  </si>
  <si>
    <t>Рабочие станции разработчиков/аналитиков (high-end)</t>
  </si>
  <si>
    <t>Средства ИБ: межсетевые экраны, DLP, SIEM, HSM и др.</t>
  </si>
  <si>
    <t>Резервное копирование и отказоустойчивость (СХД+ПО)</t>
  </si>
  <si>
    <t>ИБП и инфраструктура питания/охлаждения для серверной стойки (~1 стойка)</t>
  </si>
  <si>
    <t>Периферия для рабочих мест разработчиков (мониторы, клавиатуры и т.д.)</t>
  </si>
  <si>
    <t>Мелкое сетевое оборудование (патч-панели, кабели) и аксессуары для серверной стойки (~стойка)</t>
  </si>
  <si>
    <t>Итого основных средств</t>
  </si>
  <si>
    <t>Экономический эффект: повышение производительности</t>
  </si>
  <si>
    <t xml:space="preserve">Общий экономический эффект </t>
  </si>
  <si>
    <t>Страховой сбор</t>
  </si>
  <si>
    <t>Итого (мелкое оборудование):</t>
  </si>
  <si>
    <t>Капитальные затраты, всего</t>
  </si>
  <si>
    <t>14.79 млн. руб.</t>
  </si>
  <si>
    <t xml:space="preserve">Заставка программы </t>
  </si>
  <si>
    <t>Применение приложения сезонности не подвержено. Небольшие колебания возникают в праздничные периоды, когда поток кадров может усиливаться. В другие периоды времени, поток стабилен, приложение работает равномерно.</t>
  </si>
  <si>
    <t>Актуальность HR-приложений (HR-tech решений) в 2025–2026 годах достигла пика из-за необходимости автоматизации, дефицита кадров и цифровизации процессов управления персоналом. Они перестали быть просто инструментом учета и стали стратегической необходимостью для повышения производительности.</t>
  </si>
  <si>
    <t>Преимущества приложения: 1. Автоматизация рутины и повышение эффективностиСокращение времени найма: Приложения автоматизируют первичный отбор резюме, проведение интервью и отправку приглашений, позволяя HR-специалистам сосредоточиться на поиске талантов, а не на технической работе.Кадровый документооборот (КЭДО): Цифровизация перевода сотрудников на удаленный формат, оформления отпусков и договоров, что критично в условиях гибридной работы.Снижение ошибок: Исключение человеческого фактора при работе с большими объемами персональных данных.2. Искусственный интеллект (ИИ) и аналитика (Data-driven HR)Прогнозирование: ИИ помогает предсказывать текучесть кадров и поведение сотрудников.Аналитика данных: Использование данных для принятия решений о повышении, обучении или увольнении, а не на основе интуиции.Персонализация: ИИ позволяет создавать персонализированные программы обучения и адаптации для каждого сотрудника.3. Ответ на дефицит кадров и удержание персоналаРазвитие внутренних талантов: В условиях нехватки персонала акцент смещается с внешнего найма на развитие действующих сотрудников. Приложения помогают вести кадровый резерв и строить карьерные траектории.Улучшение опыта сотрудника (Employee Experience): Удобные мобильные приложения для взаимодействия с HR-департаментом (заказ справок, общение, обучение) повышают лояльность.</t>
  </si>
  <si>
    <t>Выручка до внедрения</t>
  </si>
  <si>
    <t>Количество клиентов</t>
  </si>
  <si>
    <t>Средний чек</t>
  </si>
  <si>
    <t>Инфляция</t>
  </si>
  <si>
    <t>Экономический эффект с учетом инфляции</t>
  </si>
  <si>
    <t>Снижение текучести на 1 п.п.:</t>
  </si>
  <si>
    <t>Затраты на подбор и обучение персонала после</t>
  </si>
  <si>
    <t>До внедрения мер</t>
  </si>
  <si>
    <t>Затраты на подбор и обучение персонала до</t>
  </si>
  <si>
    <t>Адаптация, обучение, подбор песронала на начальных позициях</t>
  </si>
  <si>
    <t>Оптимизация адаптации и подбора персонала, после</t>
  </si>
  <si>
    <t>Экономический эффект достигается за счет следующих результатов: - растет выручка за счет роста производительности труда; за счет снижение текучести персонала сокращаются расходы на подбор, отбор и адаптацию персонала, увеличивается производительность за счет сохранения преемственности персонала и человеческого капитала; за счет снижения текусти сокращаются расходы на обучение персонала. На рост выручки влияет: увеличение производительности, выскоая квалификация кадров, сокращение простоев. На затраты влияет: текучестсь кадров, снижение человеческого капитала в организации, снижение опыта работы сотрудников в организации, необходимость дообучения и адаптации.</t>
  </si>
  <si>
    <t>Экономичесский эффект от роста выручки</t>
  </si>
  <si>
    <t>Экономический эффект от снижения затрат</t>
  </si>
  <si>
    <t>Налоги и сборы, до</t>
  </si>
  <si>
    <t>Написание и поддержание ПО</t>
  </si>
  <si>
    <t>Снижение быстродействия  ПО</t>
  </si>
  <si>
    <t>Управленческие</t>
  </si>
  <si>
    <t>Коммерческие</t>
  </si>
  <si>
    <t>Налог наа имущество</t>
  </si>
  <si>
    <t>Налог на имущество</t>
  </si>
  <si>
    <t>Программное обеспечение</t>
  </si>
  <si>
    <t>Здания и сооружения</t>
  </si>
  <si>
    <t>Коммунальные услуги</t>
  </si>
  <si>
    <t xml:space="preserve">Заработные платы </t>
  </si>
  <si>
    <r>
      <rPr>
        <i/>
        <u/>
        <sz val="11"/>
        <color theme="1"/>
        <rFont val="Times New Roman"/>
        <family val="1"/>
      </rPr>
      <t>Инициатор проекта</t>
    </r>
    <r>
      <rPr>
        <sz val="11"/>
        <color theme="1"/>
        <rFont val="Times New Roman"/>
        <family val="1"/>
      </rPr>
      <t xml:space="preserve">: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</si>
</sst>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0.000"/>
    <numFmt numFmtId="166" formatCode="#,##0_ ;\-#,##0\ "/>
    <numFmt numFmtId="167" formatCode="#,##0.0000"/>
    <numFmt numFmtId="168" formatCode="0.0000"/>
  </numFmts>
  <fonts count="54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name val="Arial Cy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i/>
      <u/>
      <sz val="16"/>
      <color rgb="FF9C0006"/>
      <name val="Times New Roman"/>
      <family val="1"/>
    </font>
    <font>
      <i/>
      <u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color rgb="FF006100"/>
      <name val="Times New Roman"/>
      <family val="1"/>
    </font>
    <font>
      <b/>
      <i/>
      <u/>
      <sz val="16"/>
      <color rgb="FF9C0006"/>
      <name val="Times New Roman"/>
      <family val="1"/>
    </font>
    <font>
      <b/>
      <sz val="11"/>
      <color theme="1"/>
      <name val="Times New Roman"/>
      <family val="1"/>
    </font>
    <font>
      <i/>
      <sz val="11"/>
      <color indexed="2"/>
      <name val="Times New Roman"/>
      <family val="1"/>
    </font>
    <font>
      <i/>
      <sz val="11"/>
      <color theme="1"/>
      <name val="Times New Roman"/>
      <family val="1"/>
    </font>
    <font>
      <sz val="11"/>
      <color rgb="FF9C5700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i/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66CC"/>
      <name val="Times New Roman"/>
      <family val="1"/>
    </font>
    <font>
      <sz val="11"/>
      <color theme="4" tint="-0.249977111117893"/>
      <name val="Times New Roman"/>
      <family val="1"/>
    </font>
    <font>
      <sz val="11"/>
      <color rgb="FFCC66FF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i/>
      <sz val="11"/>
      <color theme="1"/>
      <name val="Calibri"/>
      <family val="2"/>
      <charset val="204"/>
      <scheme val="minor"/>
    </font>
    <font>
      <sz val="14"/>
      <color rgb="FF000000"/>
      <name val="Times New Roman"/>
      <family val="1"/>
      <charset val="204"/>
    </font>
    <font>
      <sz val="5"/>
      <color rgb="FF9C0006"/>
      <name val="Calibri"/>
      <family val="2"/>
      <scheme val="minor"/>
    </font>
    <font>
      <sz val="5"/>
      <color theme="1"/>
      <name val="Calibri"/>
      <family val="2"/>
      <charset val="204"/>
      <scheme val="minor"/>
    </font>
    <font>
      <sz val="5"/>
      <color theme="1"/>
      <name val="Times New Roman"/>
      <family val="1"/>
    </font>
    <font>
      <sz val="5"/>
      <color rgb="FF9C5700"/>
      <name val="Times New Roman"/>
      <family val="1"/>
    </font>
    <font>
      <b/>
      <sz val="11"/>
      <color theme="1"/>
      <name val="Times New Roman"/>
      <family val="1"/>
      <charset val="204"/>
    </font>
    <font>
      <sz val="6"/>
      <color rgb="FF9C0006"/>
      <name val="Calibri"/>
      <family val="2"/>
      <scheme val="minor"/>
    </font>
    <font>
      <sz val="6"/>
      <color theme="1"/>
      <name val="Times New Roman"/>
      <family val="1"/>
    </font>
    <font>
      <sz val="6"/>
      <color theme="1"/>
      <name val="Calibri"/>
      <family val="2"/>
      <charset val="204"/>
      <scheme val="minor"/>
    </font>
    <font>
      <b/>
      <sz val="6"/>
      <color theme="1"/>
      <name val="Times New Roman"/>
      <family val="1"/>
    </font>
    <font>
      <sz val="6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6"/>
      <color rgb="FF006100"/>
      <name val="Times New Roman"/>
      <family val="1"/>
    </font>
    <font>
      <sz val="6"/>
      <color rgb="FF000000"/>
      <name val="Times New Roman"/>
      <family val="1"/>
      <charset val="204"/>
    </font>
    <font>
      <u/>
      <sz val="6"/>
      <color theme="10"/>
      <name val="Calibri"/>
      <family val="2"/>
      <scheme val="minor"/>
    </font>
    <font>
      <b/>
      <sz val="6"/>
      <color indexed="2"/>
      <name val="Calibri"/>
      <family val="2"/>
      <scheme val="minor"/>
    </font>
    <font>
      <sz val="6"/>
      <color indexed="2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theme="0"/>
        <bgColor theme="0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rgb="FFFFCCFF"/>
        <bgColor rgb="FFFFCCFF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9AFAF1"/>
        <bgColor rgb="FF9AFAF1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rgb="FF92D050"/>
        <bgColor rgb="FF92D050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3" tint="0.79998168889431442"/>
        <bgColor theme="3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rgb="FFFFFF66"/>
        <bgColor rgb="FFFFFF66"/>
      </patternFill>
    </fill>
    <fill>
      <patternFill patternType="solid">
        <fgColor rgb="FFFF9966"/>
        <bgColor rgb="FFFF9966"/>
      </patternFill>
    </fill>
    <fill>
      <patternFill patternType="solid">
        <fgColor theme="2" tint="-9.9978637043366805E-2"/>
        <bgColor theme="2" tint="-9.9978637043366805E-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rgb="FFCC66FF"/>
        <bgColor rgb="FFCC66FF"/>
      </patternFill>
    </fill>
    <fill>
      <patternFill patternType="solid">
        <fgColor rgb="FFFF99FF"/>
        <bgColor rgb="FFFF99FF"/>
      </patternFill>
    </fill>
    <fill>
      <patternFill patternType="solid">
        <fgColor indexed="31"/>
        <bgColor indexed="31"/>
      </patternFill>
    </fill>
    <fill>
      <patternFill patternType="solid">
        <fgColor indexed="5"/>
        <bgColor indexed="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9" tint="0.79998168889431442"/>
      </patternFill>
    </fill>
    <fill>
      <patternFill patternType="solid">
        <fgColor theme="9" tint="0.39997558519241921"/>
        <bgColor theme="9" tint="0.79998168889431442"/>
      </patternFill>
    </fill>
    <fill>
      <patternFill patternType="solid">
        <fgColor theme="5" tint="0.39997558519241921"/>
        <bgColor theme="7" tint="0.59999389629810485"/>
      </patternFill>
    </fill>
    <fill>
      <patternFill patternType="solid">
        <fgColor theme="5" tint="0.39997558519241921"/>
        <bgColor rgb="FFC6EFCE"/>
      </patternFill>
    </fill>
    <fill>
      <patternFill patternType="solid">
        <fgColor theme="5" tint="0.3999755851924192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2"/>
      </left>
      <right style="thin">
        <color auto="1"/>
      </right>
      <top style="thin">
        <color indexed="2"/>
      </top>
      <bottom style="thin">
        <color indexed="2"/>
      </bottom>
      <diagonal/>
    </border>
    <border>
      <left style="thin">
        <color auto="1"/>
      </left>
      <right style="thin">
        <color auto="1"/>
      </right>
      <top style="thin">
        <color indexed="2"/>
      </top>
      <bottom style="thin">
        <color indexed="2"/>
      </bottom>
      <diagonal/>
    </border>
    <border>
      <left style="thin">
        <color auto="1"/>
      </left>
      <right style="thin">
        <color indexed="2"/>
      </right>
      <top style="thin">
        <color indexed="2"/>
      </top>
      <bottom style="thin">
        <color indexed="2"/>
      </bottom>
      <diagonal/>
    </border>
    <border>
      <left style="thin">
        <color indexed="2"/>
      </left>
      <right/>
      <top style="thin">
        <color indexed="2"/>
      </top>
      <bottom style="thin">
        <color indexed="2"/>
      </bottom>
      <diagonal/>
    </border>
    <border>
      <left/>
      <right/>
      <top style="thin">
        <color auto="1"/>
      </top>
      <bottom style="thin">
        <color indexed="2"/>
      </bottom>
      <diagonal/>
    </border>
    <border>
      <left style="thin">
        <color indexed="2"/>
      </left>
      <right style="thin">
        <color auto="1"/>
      </right>
      <top/>
      <bottom style="thin">
        <color indexed="2"/>
      </bottom>
      <diagonal/>
    </border>
    <border>
      <left style="thin">
        <color auto="1"/>
      </left>
      <right style="thin">
        <color auto="1"/>
      </right>
      <top/>
      <bottom style="thin">
        <color indexed="2"/>
      </bottom>
      <diagonal/>
    </border>
    <border>
      <left style="thin">
        <color auto="1"/>
      </left>
      <right/>
      <top/>
      <bottom style="thin">
        <color indexed="2"/>
      </bottom>
      <diagonal/>
    </border>
    <border>
      <left style="thin">
        <color indexed="2"/>
      </left>
      <right style="thin">
        <color indexed="2"/>
      </right>
      <top style="thin">
        <color indexed="2"/>
      </top>
      <bottom style="thin">
        <color indexed="2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rgb="FFD0D0D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/>
    <xf numFmtId="0" fontId="3" fillId="0" borderId="0" applyNumberFormat="0" applyFill="0" applyBorder="0" applyProtection="0"/>
    <xf numFmtId="0" fontId="4" fillId="2" borderId="0" applyNumberFormat="0" applyBorder="0" applyProtection="0"/>
    <xf numFmtId="0" fontId="5" fillId="0" borderId="0"/>
    <xf numFmtId="0" fontId="6" fillId="3" borderId="0" applyNumberFormat="0" applyBorder="0" applyProtection="0"/>
    <xf numFmtId="164" fontId="28" fillId="0" borderId="0" applyFont="0" applyFill="0" applyBorder="0" applyProtection="0"/>
    <xf numFmtId="0" fontId="7" fillId="4" borderId="0" applyNumberFormat="0" applyBorder="0" applyProtection="0"/>
  </cellStyleXfs>
  <cellXfs count="418">
    <xf numFmtId="0" fontId="0" fillId="0" borderId="0" xfId="0"/>
    <xf numFmtId="0" fontId="0" fillId="5" borderId="0" xfId="0" applyFill="1"/>
    <xf numFmtId="0" fontId="3" fillId="0" borderId="0" xfId="1"/>
    <xf numFmtId="0" fontId="8" fillId="0" borderId="0" xfId="0" applyFont="1"/>
    <xf numFmtId="0" fontId="8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top" wrapText="1"/>
    </xf>
    <xf numFmtId="0" fontId="8" fillId="0" borderId="3" xfId="0" applyFont="1" applyBorder="1" applyAlignment="1">
      <alignment wrapText="1"/>
    </xf>
    <xf numFmtId="0" fontId="8" fillId="0" borderId="3" xfId="0" applyFont="1" applyBorder="1" applyAlignment="1">
      <alignment vertical="top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/>
    </xf>
    <xf numFmtId="0" fontId="14" fillId="0" borderId="3" xfId="6" applyFont="1" applyFill="1" applyBorder="1" applyAlignment="1">
      <alignment horizontal="right" vertical="top"/>
    </xf>
    <xf numFmtId="3" fontId="8" fillId="0" borderId="3" xfId="0" applyNumberFormat="1" applyFont="1" applyBorder="1" applyAlignment="1">
      <alignment vertical="top"/>
    </xf>
    <xf numFmtId="0" fontId="14" fillId="0" borderId="3" xfId="6" applyFont="1" applyFill="1" applyBorder="1" applyAlignment="1">
      <alignment horizontal="right" vertical="top" wrapText="1"/>
    </xf>
    <xf numFmtId="0" fontId="16" fillId="0" borderId="0" xfId="0" applyFont="1"/>
    <xf numFmtId="0" fontId="12" fillId="0" borderId="3" xfId="0" applyFont="1" applyBorder="1" applyAlignment="1">
      <alignment vertical="center" wrapText="1"/>
    </xf>
    <xf numFmtId="0" fontId="12" fillId="0" borderId="3" xfId="0" applyFont="1" applyBorder="1" applyAlignment="1">
      <alignment wrapText="1"/>
    </xf>
    <xf numFmtId="0" fontId="0" fillId="0" borderId="0" xfId="0" applyAlignment="1">
      <alignment horizontal="center"/>
    </xf>
    <xf numFmtId="0" fontId="9" fillId="0" borderId="10" xfId="0" applyFont="1" applyBorder="1"/>
    <xf numFmtId="0" fontId="9" fillId="0" borderId="11" xfId="0" applyFont="1" applyBorder="1"/>
    <xf numFmtId="0" fontId="0" fillId="0" borderId="3" xfId="0" applyBorder="1" applyAlignment="1">
      <alignment horizontal="center"/>
    </xf>
    <xf numFmtId="0" fontId="16" fillId="0" borderId="13" xfId="0" applyFont="1" applyBorder="1" applyAlignment="1">
      <alignment wrapText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6" borderId="3" xfId="0" applyFont="1" applyFill="1" applyBorder="1" applyAlignment="1">
      <alignment vertical="top" wrapText="1"/>
    </xf>
    <xf numFmtId="0" fontId="8" fillId="6" borderId="3" xfId="0" applyFont="1" applyFill="1" applyBorder="1" applyAlignment="1">
      <alignment horizontal="center" vertical="center"/>
    </xf>
    <xf numFmtId="0" fontId="8" fillId="6" borderId="3" xfId="5" applyNumberFormat="1" applyFont="1" applyFill="1" applyBorder="1" applyAlignment="1">
      <alignment horizontal="center" vertical="center"/>
    </xf>
    <xf numFmtId="0" fontId="0" fillId="6" borderId="0" xfId="0" applyFill="1"/>
    <xf numFmtId="0" fontId="8" fillId="6" borderId="3" xfId="0" applyFont="1" applyFill="1" applyBorder="1" applyAlignment="1">
      <alignment wrapText="1"/>
    </xf>
    <xf numFmtId="0" fontId="17" fillId="7" borderId="3" xfId="0" applyFont="1" applyFill="1" applyBorder="1" applyAlignment="1">
      <alignment horizontal="right" vertical="top" wrapText="1"/>
    </xf>
    <xf numFmtId="0" fontId="8" fillId="7" borderId="3" xfId="0" applyFont="1" applyFill="1" applyBorder="1" applyAlignment="1">
      <alignment horizontal="center" vertical="center"/>
    </xf>
    <xf numFmtId="0" fontId="8" fillId="7" borderId="3" xfId="5" applyNumberFormat="1" applyFont="1" applyFill="1" applyBorder="1" applyAlignment="1">
      <alignment horizontal="center" vertical="center"/>
    </xf>
    <xf numFmtId="0" fontId="0" fillId="7" borderId="0" xfId="0" applyFill="1"/>
    <xf numFmtId="0" fontId="8" fillId="8" borderId="3" xfId="0" applyFont="1" applyFill="1" applyBorder="1" applyAlignment="1">
      <alignment wrapText="1"/>
    </xf>
    <xf numFmtId="0" fontId="8" fillId="8" borderId="3" xfId="0" applyFont="1" applyFill="1" applyBorder="1" applyAlignment="1">
      <alignment horizontal="center" vertical="center"/>
    </xf>
    <xf numFmtId="0" fontId="8" fillId="8" borderId="3" xfId="5" applyNumberFormat="1" applyFont="1" applyFill="1" applyBorder="1" applyAlignment="1">
      <alignment horizontal="center" vertical="center"/>
    </xf>
    <xf numFmtId="0" fontId="0" fillId="8" borderId="0" xfId="0" applyFill="1"/>
    <xf numFmtId="0" fontId="8" fillId="8" borderId="3" xfId="0" applyFont="1" applyFill="1" applyBorder="1" applyAlignment="1">
      <alignment vertical="top" wrapText="1"/>
    </xf>
    <xf numFmtId="0" fontId="17" fillId="7" borderId="3" xfId="0" applyFont="1" applyFill="1" applyBorder="1" applyAlignment="1">
      <alignment horizontal="right" wrapText="1"/>
    </xf>
    <xf numFmtId="3" fontId="0" fillId="7" borderId="0" xfId="0" applyNumberFormat="1" applyFill="1"/>
    <xf numFmtId="3" fontId="8" fillId="8" borderId="3" xfId="5" applyNumberFormat="1" applyFont="1" applyFill="1" applyBorder="1" applyAlignment="1">
      <alignment horizontal="center" vertical="center"/>
    </xf>
    <xf numFmtId="3" fontId="0" fillId="8" borderId="0" xfId="0" applyNumberFormat="1" applyFill="1"/>
    <xf numFmtId="0" fontId="8" fillId="0" borderId="14" xfId="0" applyFont="1" applyBorder="1"/>
    <xf numFmtId="0" fontId="8" fillId="0" borderId="15" xfId="5" applyNumberFormat="1" applyFont="1" applyBorder="1" applyAlignment="1">
      <alignment horizontal="center" vertical="center"/>
    </xf>
    <xf numFmtId="0" fontId="8" fillId="0" borderId="3" xfId="0" applyFont="1" applyBorder="1"/>
    <xf numFmtId="0" fontId="8" fillId="0" borderId="15" xfId="0" applyFont="1" applyBorder="1"/>
    <xf numFmtId="0" fontId="8" fillId="9" borderId="3" xfId="0" applyFont="1" applyFill="1" applyBorder="1" applyAlignment="1">
      <alignment vertical="center"/>
    </xf>
    <xf numFmtId="0" fontId="8" fillId="9" borderId="3" xfId="0" applyFont="1" applyFill="1" applyBorder="1" applyAlignment="1">
      <alignment horizontal="center" vertical="center"/>
    </xf>
    <xf numFmtId="3" fontId="8" fillId="9" borderId="13" xfId="0" applyNumberFormat="1" applyFont="1" applyFill="1" applyBorder="1" applyAlignment="1">
      <alignment horizontal="center" vertical="center"/>
    </xf>
    <xf numFmtId="3" fontId="0" fillId="9" borderId="0" xfId="0" applyNumberFormat="1" applyFill="1"/>
    <xf numFmtId="0" fontId="8" fillId="10" borderId="3" xfId="0" applyFont="1" applyFill="1" applyBorder="1" applyAlignment="1">
      <alignment horizontal="left" vertical="center"/>
    </xf>
    <xf numFmtId="0" fontId="8" fillId="10" borderId="3" xfId="0" applyFont="1" applyFill="1" applyBorder="1" applyAlignment="1">
      <alignment horizontal="center" vertical="center"/>
    </xf>
    <xf numFmtId="3" fontId="8" fillId="10" borderId="13" xfId="0" applyNumberFormat="1" applyFont="1" applyFill="1" applyBorder="1" applyAlignment="1">
      <alignment horizontal="center" vertical="center"/>
    </xf>
    <xf numFmtId="3" fontId="0" fillId="10" borderId="0" xfId="0" applyNumberFormat="1" applyFill="1"/>
    <xf numFmtId="0" fontId="18" fillId="0" borderId="3" xfId="0" applyFont="1" applyBorder="1" applyAlignment="1">
      <alignment horizontal="center" vertical="center"/>
    </xf>
    <xf numFmtId="3" fontId="0" fillId="0" borderId="0" xfId="0" applyNumberFormat="1"/>
    <xf numFmtId="0" fontId="8" fillId="5" borderId="3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center" vertical="center"/>
    </xf>
    <xf numFmtId="3" fontId="8" fillId="5" borderId="3" xfId="0" applyNumberFormat="1" applyFont="1" applyFill="1" applyBorder="1" applyAlignment="1">
      <alignment horizontal="center" vertical="center"/>
    </xf>
    <xf numFmtId="3" fontId="0" fillId="5" borderId="0" xfId="0" applyNumberFormat="1" applyFill="1"/>
    <xf numFmtId="0" fontId="8" fillId="11" borderId="3" xfId="0" applyFont="1" applyFill="1" applyBorder="1" applyAlignment="1">
      <alignment horizontal="left" vertical="center"/>
    </xf>
    <xf numFmtId="0" fontId="8" fillId="11" borderId="3" xfId="0" applyFont="1" applyFill="1" applyBorder="1" applyAlignment="1">
      <alignment horizontal="center" vertical="center"/>
    </xf>
    <xf numFmtId="3" fontId="8" fillId="11" borderId="3" xfId="0" applyNumberFormat="1" applyFont="1" applyFill="1" applyBorder="1" applyAlignment="1">
      <alignment horizontal="center" vertical="center"/>
    </xf>
    <xf numFmtId="3" fontId="0" fillId="11" borderId="0" xfId="0" applyNumberFormat="1" applyFill="1"/>
    <xf numFmtId="0" fontId="16" fillId="0" borderId="13" xfId="0" applyFont="1" applyBorder="1"/>
    <xf numFmtId="0" fontId="8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 wrapText="1"/>
    </xf>
    <xf numFmtId="0" fontId="16" fillId="6" borderId="3" xfId="0" applyFont="1" applyFill="1" applyBorder="1"/>
    <xf numFmtId="0" fontId="16" fillId="12" borderId="3" xfId="0" applyFont="1" applyFill="1" applyBorder="1"/>
    <xf numFmtId="0" fontId="8" fillId="12" borderId="3" xfId="0" applyFont="1" applyFill="1" applyBorder="1" applyAlignment="1">
      <alignment horizontal="center" vertical="center"/>
    </xf>
    <xf numFmtId="3" fontId="8" fillId="12" borderId="13" xfId="0" applyNumberFormat="1" applyFont="1" applyFill="1" applyBorder="1" applyAlignment="1">
      <alignment horizontal="center"/>
    </xf>
    <xf numFmtId="3" fontId="0" fillId="12" borderId="0" xfId="0" applyNumberFormat="1" applyFill="1"/>
    <xf numFmtId="0" fontId="16" fillId="13" borderId="3" xfId="0" applyFont="1" applyFill="1" applyBorder="1"/>
    <xf numFmtId="0" fontId="8" fillId="13" borderId="3" xfId="0" applyFont="1" applyFill="1" applyBorder="1" applyAlignment="1">
      <alignment horizontal="center" vertical="center"/>
    </xf>
    <xf numFmtId="3" fontId="0" fillId="13" borderId="0" xfId="0" applyNumberFormat="1" applyFill="1"/>
    <xf numFmtId="0" fontId="6" fillId="3" borderId="0" xfId="4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8" borderId="3" xfId="0" applyFill="1" applyBorder="1" applyAlignment="1">
      <alignment horizontal="center"/>
    </xf>
    <xf numFmtId="3" fontId="8" fillId="0" borderId="3" xfId="0" applyNumberFormat="1" applyFont="1" applyBorder="1" applyAlignment="1">
      <alignment horizontal="center" vertical="center"/>
    </xf>
    <xf numFmtId="0" fontId="19" fillId="2" borderId="3" xfId="2" applyFont="1" applyBorder="1" applyAlignment="1">
      <alignment vertical="center" wrapText="1"/>
    </xf>
    <xf numFmtId="0" fontId="19" fillId="2" borderId="3" xfId="2" applyFont="1" applyBorder="1" applyAlignment="1">
      <alignment horizontal="center" vertical="center"/>
    </xf>
    <xf numFmtId="3" fontId="19" fillId="2" borderId="3" xfId="2" applyNumberFormat="1" applyFont="1" applyBorder="1" applyAlignment="1">
      <alignment horizontal="right"/>
    </xf>
    <xf numFmtId="0" fontId="8" fillId="0" borderId="3" xfId="0" applyFont="1" applyBorder="1" applyAlignment="1">
      <alignment horizontal="center" vertical="center" wrapText="1"/>
    </xf>
    <xf numFmtId="0" fontId="14" fillId="4" borderId="3" xfId="6" applyFont="1" applyBorder="1" applyAlignment="1">
      <alignment horizontal="center" vertical="center"/>
    </xf>
    <xf numFmtId="0" fontId="0" fillId="14" borderId="3" xfId="0" applyFill="1" applyBorder="1" applyAlignment="1">
      <alignment horizontal="center"/>
    </xf>
    <xf numFmtId="3" fontId="14" fillId="4" borderId="3" xfId="6" applyNumberFormat="1" applyFont="1" applyBorder="1" applyAlignment="1">
      <alignment horizontal="center" vertical="center"/>
    </xf>
    <xf numFmtId="0" fontId="3" fillId="0" borderId="0" xfId="1" quotePrefix="1"/>
    <xf numFmtId="0" fontId="8" fillId="15" borderId="3" xfId="0" applyFont="1" applyFill="1" applyBorder="1"/>
    <xf numFmtId="3" fontId="0" fillId="15" borderId="3" xfId="0" applyNumberFormat="1" applyFill="1" applyBorder="1" applyAlignment="1">
      <alignment horizontal="center" vertical="center"/>
    </xf>
    <xf numFmtId="3" fontId="7" fillId="4" borderId="3" xfId="6" applyNumberFormat="1" applyBorder="1" applyAlignment="1">
      <alignment horizontal="center" vertical="center"/>
    </xf>
    <xf numFmtId="3" fontId="4" fillId="16" borderId="3" xfId="2" applyNumberFormat="1" applyFill="1" applyBorder="1" applyAlignment="1">
      <alignment horizontal="center" vertical="center"/>
    </xf>
    <xf numFmtId="0" fontId="8" fillId="15" borderId="3" xfId="0" applyFont="1" applyFill="1" applyBorder="1" applyAlignment="1">
      <alignment vertical="top" wrapText="1"/>
    </xf>
    <xf numFmtId="3" fontId="8" fillId="15" borderId="3" xfId="0" applyNumberFormat="1" applyFont="1" applyFill="1" applyBorder="1" applyAlignment="1">
      <alignment vertical="top" wrapText="1"/>
    </xf>
    <xf numFmtId="3" fontId="8" fillId="15" borderId="14" xfId="0" applyNumberFormat="1" applyFont="1" applyFill="1" applyBorder="1" applyAlignment="1">
      <alignment vertical="top" wrapText="1"/>
    </xf>
    <xf numFmtId="3" fontId="8" fillId="15" borderId="3" xfId="0" applyNumberFormat="1" applyFont="1" applyFill="1" applyBorder="1" applyAlignment="1">
      <alignment horizontal="center" vertical="center"/>
    </xf>
    <xf numFmtId="3" fontId="8" fillId="15" borderId="15" xfId="0" applyNumberFormat="1" applyFont="1" applyFill="1" applyBorder="1" applyAlignment="1">
      <alignment horizontal="center" vertical="center" wrapText="1"/>
    </xf>
    <xf numFmtId="0" fontId="3" fillId="0" borderId="0" xfId="1" applyAlignment="1">
      <alignment vertical="center" wrapText="1"/>
    </xf>
    <xf numFmtId="3" fontId="0" fillId="16" borderId="0" xfId="0" applyNumberFormat="1" applyFill="1"/>
    <xf numFmtId="0" fontId="14" fillId="4" borderId="3" xfId="6" applyFont="1" applyBorder="1" applyAlignment="1">
      <alignment wrapText="1"/>
    </xf>
    <xf numFmtId="0" fontId="0" fillId="0" borderId="3" xfId="0" applyBorder="1"/>
    <xf numFmtId="0" fontId="0" fillId="12" borderId="3" xfId="0" applyFill="1" applyBorder="1" applyAlignment="1">
      <alignment horizontal="center"/>
    </xf>
    <xf numFmtId="0" fontId="20" fillId="0" borderId="10" xfId="0" applyFont="1" applyBorder="1" applyAlignment="1">
      <alignment vertical="top" wrapText="1"/>
    </xf>
    <xf numFmtId="0" fontId="0" fillId="0" borderId="10" xfId="0" applyBorder="1"/>
    <xf numFmtId="3" fontId="0" fillId="0" borderId="10" xfId="0" applyNumberFormat="1" applyBorder="1" applyAlignment="1">
      <alignment horizontal="center" vertical="center"/>
    </xf>
    <xf numFmtId="0" fontId="21" fillId="19" borderId="16" xfId="0" applyFont="1" applyFill="1" applyBorder="1" applyAlignment="1">
      <alignment vertical="top" wrapText="1"/>
    </xf>
    <xf numFmtId="0" fontId="16" fillId="19" borderId="16" xfId="0" applyFont="1" applyFill="1" applyBorder="1" applyAlignment="1">
      <alignment horizontal="center" vertical="center"/>
    </xf>
    <xf numFmtId="0" fontId="8" fillId="19" borderId="16" xfId="0" applyFont="1" applyFill="1" applyBorder="1" applyAlignment="1">
      <alignment horizontal="center" vertical="center"/>
    </xf>
    <xf numFmtId="3" fontId="0" fillId="19" borderId="16" xfId="0" applyNumberFormat="1" applyFill="1" applyBorder="1" applyAlignment="1">
      <alignment horizontal="center" vertical="center"/>
    </xf>
    <xf numFmtId="3" fontId="22" fillId="19" borderId="0" xfId="0" applyNumberFormat="1" applyFont="1" applyFill="1"/>
    <xf numFmtId="0" fontId="23" fillId="0" borderId="10" xfId="0" applyFont="1" applyBorder="1" applyAlignment="1">
      <alignment vertical="top" wrapText="1"/>
    </xf>
    <xf numFmtId="0" fontId="23" fillId="0" borderId="16" xfId="0" applyFont="1" applyBorder="1" applyAlignment="1">
      <alignment vertical="top" wrapText="1"/>
    </xf>
    <xf numFmtId="3" fontId="0" fillId="0" borderId="16" xfId="0" applyNumberFormat="1" applyBorder="1" applyAlignment="1">
      <alignment horizontal="center" vertical="center"/>
    </xf>
    <xf numFmtId="0" fontId="23" fillId="0" borderId="3" xfId="0" applyFont="1" applyBorder="1" applyAlignment="1">
      <alignment vertical="top" wrapText="1"/>
    </xf>
    <xf numFmtId="0" fontId="21" fillId="19" borderId="3" xfId="0" applyFont="1" applyFill="1" applyBorder="1" applyAlignment="1">
      <alignment vertical="top" wrapText="1"/>
    </xf>
    <xf numFmtId="0" fontId="16" fillId="19" borderId="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vertical="center" wrapText="1"/>
    </xf>
    <xf numFmtId="0" fontId="16" fillId="20" borderId="3" xfId="0" applyFont="1" applyFill="1" applyBorder="1" applyAlignment="1">
      <alignment horizontal="center" vertical="center"/>
    </xf>
    <xf numFmtId="0" fontId="8" fillId="20" borderId="16" xfId="0" applyFont="1" applyFill="1" applyBorder="1" applyAlignment="1">
      <alignment horizontal="center" vertical="center"/>
    </xf>
    <xf numFmtId="3" fontId="0" fillId="20" borderId="16" xfId="0" applyNumberFormat="1" applyFill="1" applyBorder="1" applyAlignment="1">
      <alignment horizontal="center" vertical="center"/>
    </xf>
    <xf numFmtId="3" fontId="0" fillId="20" borderId="0" xfId="0" applyNumberFormat="1" applyFill="1"/>
    <xf numFmtId="0" fontId="8" fillId="0" borderId="0" xfId="0" applyFont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24" fillId="20" borderId="3" xfId="0" applyFont="1" applyFill="1" applyBorder="1" applyAlignment="1">
      <alignment vertical="top" wrapText="1"/>
    </xf>
    <xf numFmtId="0" fontId="16" fillId="19" borderId="10" xfId="0" applyFont="1" applyFill="1" applyBorder="1" applyAlignment="1">
      <alignment horizontal="center" vertical="center"/>
    </xf>
    <xf numFmtId="0" fontId="24" fillId="19" borderId="3" xfId="0" applyFont="1" applyFill="1" applyBorder="1" applyAlignment="1">
      <alignment vertical="top" wrapText="1"/>
    </xf>
    <xf numFmtId="3" fontId="0" fillId="19" borderId="0" xfId="0" applyNumberFormat="1" applyFill="1"/>
    <xf numFmtId="0" fontId="25" fillId="0" borderId="0" xfId="0" applyFont="1" applyAlignment="1">
      <alignment vertical="top" wrapText="1"/>
    </xf>
    <xf numFmtId="0" fontId="8" fillId="0" borderId="10" xfId="0" applyFont="1" applyBorder="1"/>
    <xf numFmtId="0" fontId="8" fillId="0" borderId="11" xfId="0" applyFont="1" applyBorder="1"/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center"/>
    </xf>
    <xf numFmtId="3" fontId="26" fillId="0" borderId="0" xfId="0" applyNumberFormat="1" applyFont="1"/>
    <xf numFmtId="0" fontId="10" fillId="0" borderId="0" xfId="0" applyFont="1"/>
    <xf numFmtId="0" fontId="10" fillId="0" borderId="3" xfId="0" applyFont="1" applyBorder="1"/>
    <xf numFmtId="3" fontId="8" fillId="0" borderId="3" xfId="0" applyNumberFormat="1" applyFont="1" applyBorder="1"/>
    <xf numFmtId="1" fontId="0" fillId="0" borderId="0" xfId="0" applyNumberFormat="1"/>
    <xf numFmtId="0" fontId="10" fillId="29" borderId="3" xfId="0" applyFont="1" applyFill="1" applyBorder="1"/>
    <xf numFmtId="3" fontId="10" fillId="28" borderId="3" xfId="0" applyNumberFormat="1" applyFont="1" applyFill="1" applyBorder="1"/>
    <xf numFmtId="3" fontId="10" fillId="29" borderId="3" xfId="0" applyNumberFormat="1" applyFont="1" applyFill="1" applyBorder="1"/>
    <xf numFmtId="0" fontId="8" fillId="0" borderId="0" xfId="0" applyFont="1" applyAlignment="1">
      <alignment horizontal="left"/>
    </xf>
    <xf numFmtId="3" fontId="10" fillId="0" borderId="3" xfId="0" applyNumberFormat="1" applyFont="1" applyBorder="1"/>
    <xf numFmtId="0" fontId="10" fillId="28" borderId="3" xfId="0" applyFont="1" applyFill="1" applyBorder="1"/>
    <xf numFmtId="0" fontId="10" fillId="0" borderId="3" xfId="0" applyFont="1" applyBorder="1" applyAlignment="1">
      <alignment horizontal="center"/>
    </xf>
    <xf numFmtId="1" fontId="26" fillId="0" borderId="0" xfId="0" applyNumberFormat="1" applyFont="1"/>
    <xf numFmtId="0" fontId="10" fillId="0" borderId="0" xfId="0" applyFont="1" applyAlignment="1">
      <alignment horizontal="left"/>
    </xf>
    <xf numFmtId="1" fontId="8" fillId="0" borderId="3" xfId="0" applyNumberFormat="1" applyFont="1" applyBorder="1"/>
    <xf numFmtId="2" fontId="8" fillId="0" borderId="3" xfId="0" applyNumberFormat="1" applyFont="1" applyBorder="1"/>
    <xf numFmtId="0" fontId="14" fillId="4" borderId="3" xfId="6" applyFont="1" applyBorder="1" applyAlignment="1">
      <alignment horizontal="right" vertical="top" wrapText="1"/>
    </xf>
    <xf numFmtId="0" fontId="14" fillId="4" borderId="3" xfId="6" applyFont="1" applyBorder="1" applyAlignment="1">
      <alignment horizontal="right" vertical="center"/>
    </xf>
    <xf numFmtId="0" fontId="8" fillId="0" borderId="28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30" borderId="31" xfId="0" applyFont="1" applyFill="1" applyBorder="1" applyAlignment="1">
      <alignment vertical="top" wrapText="1"/>
    </xf>
    <xf numFmtId="0" fontId="8" fillId="30" borderId="32" xfId="0" applyFont="1" applyFill="1" applyBorder="1" applyAlignment="1">
      <alignment vertical="top" wrapText="1"/>
    </xf>
    <xf numFmtId="0" fontId="8" fillId="30" borderId="33" xfId="0" applyFont="1" applyFill="1" applyBorder="1" applyAlignment="1">
      <alignment vertical="top"/>
    </xf>
    <xf numFmtId="0" fontId="8" fillId="30" borderId="3" xfId="0" applyFont="1" applyFill="1" applyBorder="1" applyAlignment="1">
      <alignment vertical="top"/>
    </xf>
    <xf numFmtId="0" fontId="8" fillId="0" borderId="34" xfId="0" applyFont="1" applyBorder="1" applyAlignment="1">
      <alignment vertical="top" wrapText="1"/>
    </xf>
    <xf numFmtId="0" fontId="8" fillId="15" borderId="37" xfId="0" applyFont="1" applyFill="1" applyBorder="1" applyAlignment="1">
      <alignment vertical="top"/>
    </xf>
    <xf numFmtId="0" fontId="8" fillId="15" borderId="1" xfId="0" applyFont="1" applyFill="1" applyBorder="1" applyAlignment="1">
      <alignment horizontal="center" vertical="center"/>
    </xf>
    <xf numFmtId="0" fontId="8" fillId="15" borderId="38" xfId="0" applyFont="1" applyFill="1" applyBorder="1" applyAlignment="1">
      <alignment horizontal="center" vertical="center"/>
    </xf>
    <xf numFmtId="0" fontId="8" fillId="15" borderId="39" xfId="0" applyFont="1" applyFill="1" applyBorder="1" applyAlignment="1">
      <alignment horizontal="center" vertical="center"/>
    </xf>
    <xf numFmtId="0" fontId="8" fillId="15" borderId="31" xfId="0" applyFont="1" applyFill="1" applyBorder="1" applyAlignment="1">
      <alignment horizontal="left" vertical="top" wrapText="1"/>
    </xf>
    <xf numFmtId="0" fontId="8" fillId="15" borderId="32" xfId="0" applyFont="1" applyFill="1" applyBorder="1" applyAlignment="1">
      <alignment horizontal="center" vertical="center"/>
    </xf>
    <xf numFmtId="0" fontId="8" fillId="15" borderId="33" xfId="0" applyFont="1" applyFill="1" applyBorder="1" applyAlignment="1">
      <alignment horizontal="center" vertical="center"/>
    </xf>
    <xf numFmtId="0" fontId="8" fillId="15" borderId="36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left" vertical="top" wrapText="1"/>
    </xf>
    <xf numFmtId="0" fontId="7" fillId="4" borderId="40" xfId="6" applyBorder="1" applyAlignment="1">
      <alignment vertical="top" wrapText="1"/>
    </xf>
    <xf numFmtId="0" fontId="7" fillId="4" borderId="35" xfId="6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top" wrapText="1"/>
    </xf>
    <xf numFmtId="0" fontId="8" fillId="0" borderId="3" xfId="0" applyFont="1" applyBorder="1" applyAlignment="1">
      <alignment vertical="top"/>
    </xf>
    <xf numFmtId="0" fontId="8" fillId="0" borderId="3" xfId="0" applyFont="1" applyBorder="1" applyAlignment="1">
      <alignment horizontal="center" wrapText="1"/>
    </xf>
    <xf numFmtId="3" fontId="8" fillId="0" borderId="3" xfId="6" applyNumberFormat="1" applyFont="1" applyFill="1" applyBorder="1" applyAlignment="1">
      <alignment vertical="top"/>
    </xf>
    <xf numFmtId="0" fontId="0" fillId="32" borderId="0" xfId="0" applyFill="1"/>
    <xf numFmtId="3" fontId="8" fillId="33" borderId="13" xfId="0" applyNumberFormat="1" applyFont="1" applyFill="1" applyBorder="1" applyAlignment="1">
      <alignment horizontal="center" vertical="center"/>
    </xf>
    <xf numFmtId="3" fontId="0" fillId="34" borderId="0" xfId="0" applyNumberFormat="1" applyFill="1"/>
    <xf numFmtId="0" fontId="8" fillId="34" borderId="3" xfId="0" applyFont="1" applyFill="1" applyBorder="1" applyAlignment="1">
      <alignment horizontal="center" vertical="top" wrapText="1"/>
    </xf>
    <xf numFmtId="0" fontId="9" fillId="34" borderId="0" xfId="0" applyFont="1" applyFill="1" applyAlignment="1">
      <alignment vertical="top" wrapText="1"/>
    </xf>
    <xf numFmtId="0" fontId="8" fillId="34" borderId="3" xfId="0" applyFont="1" applyFill="1" applyBorder="1" applyAlignment="1">
      <alignment horizontal="center" vertical="center"/>
    </xf>
    <xf numFmtId="165" fontId="8" fillId="34" borderId="3" xfId="5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9" fillId="0" borderId="3" xfId="0" applyFont="1" applyBorder="1"/>
    <xf numFmtId="3" fontId="0" fillId="19" borderId="0" xfId="0" applyNumberFormat="1" applyFill="1" applyAlignment="1">
      <alignment horizontal="center"/>
    </xf>
    <xf numFmtId="0" fontId="2" fillId="0" borderId="3" xfId="0" applyFont="1" applyBorder="1" applyAlignment="1">
      <alignment horizontal="center"/>
    </xf>
    <xf numFmtId="0" fontId="35" fillId="5" borderId="0" xfId="0" applyFont="1" applyFill="1"/>
    <xf numFmtId="3" fontId="8" fillId="34" borderId="3" xfId="0" applyNumberFormat="1" applyFont="1" applyFill="1" applyBorder="1" applyAlignment="1">
      <alignment horizontal="center" vertical="center"/>
    </xf>
    <xf numFmtId="0" fontId="33" fillId="0" borderId="3" xfId="0" applyFont="1" applyBorder="1" applyAlignment="1">
      <alignment horizontal="center" vertical="top" wrapText="1"/>
    </xf>
    <xf numFmtId="0" fontId="36" fillId="0" borderId="1" xfId="0" applyFont="1" applyBorder="1" applyAlignment="1">
      <alignment horizontal="justify" vertical="center" wrapText="1"/>
    </xf>
    <xf numFmtId="0" fontId="36" fillId="0" borderId="3" xfId="0" applyFont="1" applyBorder="1" applyAlignment="1">
      <alignment horizontal="justify" vertical="center" wrapText="1"/>
    </xf>
    <xf numFmtId="0" fontId="0" fillId="0" borderId="3" xfId="0" applyBorder="1" applyAlignment="1">
      <alignment vertical="top"/>
    </xf>
    <xf numFmtId="0" fontId="8" fillId="6" borderId="3" xfId="0" applyFont="1" applyFill="1" applyBorder="1" applyAlignment="1">
      <alignment horizontal="center" wrapText="1"/>
    </xf>
    <xf numFmtId="0" fontId="8" fillId="30" borderId="32" xfId="0" applyFont="1" applyFill="1" applyBorder="1" applyAlignment="1">
      <alignment horizontal="center" vertical="top" wrapText="1"/>
    </xf>
    <xf numFmtId="3" fontId="8" fillId="30" borderId="32" xfId="0" applyNumberFormat="1" applyFont="1" applyFill="1" applyBorder="1" applyAlignment="1">
      <alignment vertical="top" wrapText="1"/>
    </xf>
    <xf numFmtId="3" fontId="8" fillId="30" borderId="31" xfId="0" applyNumberFormat="1" applyFont="1" applyFill="1" applyBorder="1" applyAlignment="1">
      <alignment vertical="top"/>
    </xf>
    <xf numFmtId="3" fontId="8" fillId="15" borderId="32" xfId="0" applyNumberFormat="1" applyFont="1" applyFill="1" applyBorder="1" applyAlignment="1">
      <alignment horizontal="center" vertical="center"/>
    </xf>
    <xf numFmtId="3" fontId="7" fillId="4" borderId="35" xfId="6" applyNumberFormat="1" applyBorder="1" applyAlignment="1">
      <alignment horizontal="center" vertical="center"/>
    </xf>
    <xf numFmtId="10" fontId="8" fillId="6" borderId="13" xfId="0" applyNumberFormat="1" applyFont="1" applyFill="1" applyBorder="1" applyAlignment="1">
      <alignment horizontal="center" vertical="center"/>
    </xf>
    <xf numFmtId="10" fontId="8" fillId="0" borderId="3" xfId="0" applyNumberFormat="1" applyFont="1" applyBorder="1" applyAlignment="1">
      <alignment horizontal="center" vertical="center"/>
    </xf>
    <xf numFmtId="0" fontId="38" fillId="0" borderId="0" xfId="0" applyFont="1"/>
    <xf numFmtId="0" fontId="39" fillId="0" borderId="3" xfId="0" applyFont="1" applyBorder="1" applyAlignment="1">
      <alignment horizontal="center" vertical="center"/>
    </xf>
    <xf numFmtId="0" fontId="39" fillId="0" borderId="10" xfId="0" applyFont="1" applyBorder="1"/>
    <xf numFmtId="0" fontId="39" fillId="0" borderId="11" xfId="0" applyFont="1" applyBorder="1"/>
    <xf numFmtId="0" fontId="38" fillId="8" borderId="3" xfId="0" applyFont="1" applyFill="1" applyBorder="1" applyAlignment="1">
      <alignment horizontal="center"/>
    </xf>
    <xf numFmtId="0" fontId="39" fillId="0" borderId="3" xfId="0" applyFont="1" applyBorder="1" applyAlignment="1">
      <alignment vertical="top" wrapText="1"/>
    </xf>
    <xf numFmtId="3" fontId="39" fillId="0" borderId="3" xfId="0" applyNumberFormat="1" applyFont="1" applyBorder="1" applyAlignment="1">
      <alignment horizontal="center" vertical="center"/>
    </xf>
    <xf numFmtId="10" fontId="39" fillId="0" borderId="3" xfId="0" applyNumberFormat="1" applyFont="1" applyBorder="1" applyAlignment="1">
      <alignment horizontal="center" vertical="center"/>
    </xf>
    <xf numFmtId="0" fontId="40" fillId="2" borderId="3" xfId="2" applyFont="1" applyBorder="1" applyAlignment="1">
      <alignment vertical="center" wrapText="1"/>
    </xf>
    <xf numFmtId="0" fontId="40" fillId="2" borderId="3" xfId="2" applyFont="1" applyBorder="1" applyAlignment="1">
      <alignment horizontal="center" vertical="center"/>
    </xf>
    <xf numFmtId="3" fontId="40" fillId="2" borderId="3" xfId="2" applyNumberFormat="1" applyFont="1" applyBorder="1" applyAlignment="1">
      <alignment horizontal="right"/>
    </xf>
    <xf numFmtId="168" fontId="8" fillId="6" borderId="0" xfId="2" applyNumberFormat="1" applyFont="1" applyFill="1"/>
    <xf numFmtId="168" fontId="39" fillId="0" borderId="3" xfId="0" applyNumberFormat="1" applyFont="1" applyBorder="1" applyAlignment="1">
      <alignment horizontal="center" vertical="center"/>
    </xf>
    <xf numFmtId="0" fontId="1" fillId="0" borderId="0" xfId="0" applyFont="1"/>
    <xf numFmtId="168" fontId="8" fillId="0" borderId="3" xfId="0" applyNumberFormat="1" applyFont="1" applyBorder="1" applyAlignment="1">
      <alignment horizontal="center" vertical="center"/>
    </xf>
    <xf numFmtId="0" fontId="8" fillId="35" borderId="3" xfId="0" applyFont="1" applyFill="1" applyBorder="1" applyAlignment="1">
      <alignment horizontal="center" vertical="center"/>
    </xf>
    <xf numFmtId="0" fontId="0" fillId="35" borderId="0" xfId="0" applyFill="1"/>
    <xf numFmtId="3" fontId="8" fillId="35" borderId="3" xfId="0" applyNumberFormat="1" applyFont="1" applyFill="1" applyBorder="1" applyAlignment="1">
      <alignment horizontal="center" vertical="center"/>
    </xf>
    <xf numFmtId="0" fontId="41" fillId="35" borderId="3" xfId="0" applyFont="1" applyFill="1" applyBorder="1" applyAlignment="1">
      <alignment horizontal="left" vertical="justify"/>
    </xf>
    <xf numFmtId="0" fontId="41" fillId="35" borderId="3" xfId="0" applyFont="1" applyFill="1" applyBorder="1" applyAlignment="1">
      <alignment vertical="top" wrapText="1"/>
    </xf>
    <xf numFmtId="3" fontId="8" fillId="35" borderId="16" xfId="0" applyNumberFormat="1" applyFont="1" applyFill="1" applyBorder="1" applyAlignment="1">
      <alignment horizontal="center" vertical="center"/>
    </xf>
    <xf numFmtId="3" fontId="8" fillId="15" borderId="3" xfId="0" applyNumberFormat="1" applyFont="1" applyFill="1" applyBorder="1"/>
    <xf numFmtId="0" fontId="8" fillId="35" borderId="3" xfId="0" applyFont="1" applyFill="1" applyBorder="1" applyAlignment="1">
      <alignment horizontal="left" vertical="top" wrapText="1"/>
    </xf>
    <xf numFmtId="3" fontId="4" fillId="36" borderId="3" xfId="2" applyNumberFormat="1" applyFill="1" applyBorder="1" applyAlignment="1">
      <alignment horizontal="center" vertical="center"/>
    </xf>
    <xf numFmtId="0" fontId="0" fillId="31" borderId="0" xfId="0" applyFill="1"/>
    <xf numFmtId="0" fontId="36" fillId="31" borderId="1" xfId="0" applyFont="1" applyFill="1" applyBorder="1" applyAlignment="1">
      <alignment horizontal="justify" vertical="center" wrapText="1"/>
    </xf>
    <xf numFmtId="0" fontId="8" fillId="31" borderId="3" xfId="0" applyFont="1" applyFill="1" applyBorder="1" applyAlignment="1">
      <alignment horizontal="center" vertical="center"/>
    </xf>
    <xf numFmtId="3" fontId="8" fillId="31" borderId="3" xfId="0" applyNumberFormat="1" applyFont="1" applyFill="1" applyBorder="1" applyAlignment="1">
      <alignment horizontal="center" vertical="center"/>
    </xf>
    <xf numFmtId="3" fontId="4" fillId="37" borderId="3" xfId="2" applyNumberFormat="1" applyFill="1" applyBorder="1" applyAlignment="1">
      <alignment horizontal="center" vertical="center"/>
    </xf>
    <xf numFmtId="0" fontId="44" fillId="0" borderId="0" xfId="0" applyFont="1"/>
    <xf numFmtId="0" fontId="43" fillId="0" borderId="10" xfId="0" applyFont="1" applyBorder="1"/>
    <xf numFmtId="0" fontId="43" fillId="0" borderId="11" xfId="0" applyFont="1" applyBorder="1"/>
    <xf numFmtId="0" fontId="43" fillId="0" borderId="3" xfId="0" applyFont="1" applyBorder="1" applyAlignment="1">
      <alignment horizontal="center" vertical="top" wrapText="1"/>
    </xf>
    <xf numFmtId="0" fontId="43" fillId="0" borderId="3" xfId="0" applyFont="1" applyBorder="1" applyAlignment="1">
      <alignment horizontal="center" vertical="top"/>
    </xf>
    <xf numFmtId="0" fontId="44" fillId="12" borderId="3" xfId="0" applyFont="1" applyFill="1" applyBorder="1" applyAlignment="1">
      <alignment horizontal="center"/>
    </xf>
    <xf numFmtId="0" fontId="43" fillId="0" borderId="3" xfId="0" applyFont="1" applyBorder="1" applyAlignment="1">
      <alignment wrapText="1"/>
    </xf>
    <xf numFmtId="0" fontId="43" fillId="0" borderId="3" xfId="0" applyFont="1" applyBorder="1" applyAlignment="1">
      <alignment horizontal="center" vertical="center"/>
    </xf>
    <xf numFmtId="3" fontId="44" fillId="0" borderId="0" xfId="0" applyNumberFormat="1" applyFont="1"/>
    <xf numFmtId="0" fontId="43" fillId="0" borderId="3" xfId="0" applyFont="1" applyBorder="1" applyAlignment="1">
      <alignment vertical="top" wrapText="1"/>
    </xf>
    <xf numFmtId="3" fontId="43" fillId="0" borderId="3" xfId="0" applyNumberFormat="1" applyFont="1" applyBorder="1" applyAlignment="1">
      <alignment horizontal="center" vertical="center"/>
    </xf>
    <xf numFmtId="0" fontId="43" fillId="23" borderId="3" xfId="0" applyFont="1" applyFill="1" applyBorder="1" applyAlignment="1">
      <alignment wrapText="1"/>
    </xf>
    <xf numFmtId="0" fontId="43" fillId="23" borderId="3" xfId="0" applyFont="1" applyFill="1" applyBorder="1" applyAlignment="1">
      <alignment horizontal="center" vertical="center"/>
    </xf>
    <xf numFmtId="3" fontId="43" fillId="24" borderId="3" xfId="0" applyNumberFormat="1" applyFont="1" applyFill="1" applyBorder="1" applyAlignment="1">
      <alignment horizontal="center" vertical="center"/>
    </xf>
    <xf numFmtId="3" fontId="44" fillId="25" borderId="0" xfId="0" applyNumberFormat="1" applyFont="1" applyFill="1"/>
    <xf numFmtId="1" fontId="43" fillId="0" borderId="3" xfId="0" applyNumberFormat="1" applyFont="1" applyBorder="1" applyAlignment="1">
      <alignment horizontal="center" vertical="center"/>
    </xf>
    <xf numFmtId="1" fontId="43" fillId="23" borderId="3" xfId="0" applyNumberFormat="1" applyFont="1" applyFill="1" applyBorder="1" applyAlignment="1">
      <alignment horizontal="center" vertical="center"/>
    </xf>
    <xf numFmtId="0" fontId="43" fillId="26" borderId="3" xfId="0" applyFont="1" applyFill="1" applyBorder="1" applyAlignment="1">
      <alignment wrapText="1"/>
    </xf>
    <xf numFmtId="0" fontId="43" fillId="26" borderId="3" xfId="0" applyFont="1" applyFill="1" applyBorder="1" applyAlignment="1">
      <alignment horizontal="center" vertical="center"/>
    </xf>
    <xf numFmtId="3" fontId="43" fillId="26" borderId="3" xfId="0" applyNumberFormat="1" applyFont="1" applyFill="1" applyBorder="1" applyAlignment="1">
      <alignment horizontal="center" vertical="center"/>
    </xf>
    <xf numFmtId="3" fontId="44" fillId="26" borderId="0" xfId="0" applyNumberFormat="1" applyFont="1" applyFill="1"/>
    <xf numFmtId="0" fontId="43" fillId="23" borderId="3" xfId="0" applyFont="1" applyFill="1" applyBorder="1" applyAlignment="1">
      <alignment vertical="top" wrapText="1"/>
    </xf>
    <xf numFmtId="3" fontId="43" fillId="23" borderId="3" xfId="0" applyNumberFormat="1" applyFont="1" applyFill="1" applyBorder="1" applyAlignment="1">
      <alignment horizontal="center" vertical="center"/>
    </xf>
    <xf numFmtId="0" fontId="43" fillId="0" borderId="3" xfId="0" applyFont="1" applyBorder="1"/>
    <xf numFmtId="0" fontId="43" fillId="23" borderId="3" xfId="0" applyFont="1" applyFill="1" applyBorder="1"/>
    <xf numFmtId="0" fontId="43" fillId="26" borderId="3" xfId="0" applyFont="1" applyFill="1" applyBorder="1"/>
    <xf numFmtId="0" fontId="43" fillId="0" borderId="3" xfId="0" applyFont="1" applyBorder="1" applyAlignment="1">
      <alignment horizontal="center"/>
    </xf>
    <xf numFmtId="0" fontId="44" fillId="0" borderId="17" xfId="0" applyFont="1" applyBorder="1" applyAlignment="1">
      <alignment horizontal="center"/>
    </xf>
    <xf numFmtId="0" fontId="44" fillId="0" borderId="10" xfId="0" applyFont="1" applyBorder="1" applyAlignment="1">
      <alignment horizontal="center"/>
    </xf>
    <xf numFmtId="0" fontId="44" fillId="6" borderId="3" xfId="0" applyFont="1" applyFill="1" applyBorder="1"/>
    <xf numFmtId="3" fontId="44" fillId="6" borderId="3" xfId="0" applyNumberFormat="1" applyFont="1" applyFill="1" applyBorder="1" applyAlignment="1">
      <alignment vertical="center"/>
    </xf>
    <xf numFmtId="3" fontId="46" fillId="6" borderId="0" xfId="0" applyNumberFormat="1" applyFont="1" applyFill="1"/>
    <xf numFmtId="3" fontId="44" fillId="0" borderId="0" xfId="0" applyNumberFormat="1" applyFont="1" applyAlignment="1">
      <alignment vertical="center"/>
    </xf>
    <xf numFmtId="0" fontId="46" fillId="0" borderId="0" xfId="0" applyFont="1"/>
    <xf numFmtId="3" fontId="46" fillId="0" borderId="0" xfId="0" applyNumberFormat="1" applyFont="1"/>
    <xf numFmtId="0" fontId="44" fillId="0" borderId="3" xfId="0" applyFont="1" applyBorder="1"/>
    <xf numFmtId="3" fontId="44" fillId="0" borderId="3" xfId="0" applyNumberFormat="1" applyFont="1" applyBorder="1"/>
    <xf numFmtId="0" fontId="44" fillId="0" borderId="3" xfId="0" applyFont="1" applyBorder="1" applyAlignment="1">
      <alignment horizontal="center"/>
    </xf>
    <xf numFmtId="3" fontId="44" fillId="0" borderId="3" xfId="0" applyNumberFormat="1" applyFont="1" applyBorder="1" applyAlignment="1">
      <alignment horizontal="center"/>
    </xf>
    <xf numFmtId="167" fontId="46" fillId="0" borderId="0" xfId="0" applyNumberFormat="1" applyFont="1"/>
    <xf numFmtId="0" fontId="44" fillId="14" borderId="3" xfId="0" applyFont="1" applyFill="1" applyBorder="1" applyAlignment="1">
      <alignment horizontal="center"/>
    </xf>
    <xf numFmtId="0" fontId="49" fillId="0" borderId="1" xfId="0" applyFont="1" applyBorder="1" applyAlignment="1">
      <alignment horizontal="justify" vertical="center" wrapText="1"/>
    </xf>
    <xf numFmtId="3" fontId="48" fillId="4" borderId="3" xfId="6" applyNumberFormat="1" applyFont="1" applyBorder="1" applyAlignment="1">
      <alignment horizontal="center" vertical="center"/>
    </xf>
    <xf numFmtId="0" fontId="49" fillId="0" borderId="42" xfId="0" applyFont="1" applyBorder="1" applyAlignment="1">
      <alignment horizontal="justify" vertical="center" wrapText="1"/>
    </xf>
    <xf numFmtId="0" fontId="49" fillId="0" borderId="0" xfId="0" applyFont="1" applyAlignment="1">
      <alignment horizontal="justify" vertical="center" wrapText="1"/>
    </xf>
    <xf numFmtId="0" fontId="50" fillId="0" borderId="0" xfId="1" applyFont="1"/>
    <xf numFmtId="0" fontId="43" fillId="21" borderId="3" xfId="0" applyFont="1" applyFill="1" applyBorder="1" applyAlignment="1">
      <alignment horizontal="center"/>
    </xf>
    <xf numFmtId="0" fontId="43" fillId="21" borderId="13" xfId="0" applyFont="1" applyFill="1" applyBorder="1"/>
    <xf numFmtId="0" fontId="44" fillId="21" borderId="3" xfId="0" applyFont="1" applyFill="1" applyBorder="1"/>
    <xf numFmtId="0" fontId="43" fillId="22" borderId="3" xfId="0" applyFont="1" applyFill="1" applyBorder="1" applyAlignment="1">
      <alignment horizontal="center"/>
    </xf>
    <xf numFmtId="0" fontId="43" fillId="22" borderId="13" xfId="0" applyFont="1" applyFill="1" applyBorder="1"/>
    <xf numFmtId="0" fontId="44" fillId="22" borderId="3" xfId="0" applyFont="1" applyFill="1" applyBorder="1"/>
    <xf numFmtId="3" fontId="43" fillId="21" borderId="13" xfId="0" applyNumberFormat="1" applyFont="1" applyFill="1" applyBorder="1"/>
    <xf numFmtId="3" fontId="44" fillId="21" borderId="3" xfId="0" applyNumberFormat="1" applyFont="1" applyFill="1" applyBorder="1"/>
    <xf numFmtId="3" fontId="44" fillId="22" borderId="3" xfId="0" applyNumberFormat="1" applyFont="1" applyFill="1" applyBorder="1"/>
    <xf numFmtId="0" fontId="52" fillId="0" borderId="0" xfId="0" applyFont="1"/>
    <xf numFmtId="0" fontId="43" fillId="8" borderId="21" xfId="0" applyFont="1" applyFill="1" applyBorder="1" applyAlignment="1">
      <alignment horizontal="center"/>
    </xf>
    <xf numFmtId="3" fontId="43" fillId="8" borderId="18" xfId="0" applyNumberFormat="1" applyFont="1" applyFill="1" applyBorder="1"/>
    <xf numFmtId="3" fontId="46" fillId="8" borderId="0" xfId="0" applyNumberFormat="1" applyFont="1" applyFill="1"/>
    <xf numFmtId="0" fontId="43" fillId="0" borderId="2" xfId="0" applyFont="1" applyBorder="1"/>
    <xf numFmtId="0" fontId="43" fillId="0" borderId="0" xfId="0" applyFont="1"/>
    <xf numFmtId="166" fontId="43" fillId="0" borderId="3" xfId="5" applyNumberFormat="1" applyFont="1" applyBorder="1"/>
    <xf numFmtId="0" fontId="43" fillId="0" borderId="22" xfId="0" applyFont="1" applyBorder="1"/>
    <xf numFmtId="0" fontId="43" fillId="8" borderId="26" xfId="0" applyFont="1" applyFill="1" applyBorder="1" applyAlignment="1">
      <alignment horizontal="center"/>
    </xf>
    <xf numFmtId="0" fontId="43" fillId="0" borderId="27" xfId="0" applyFont="1" applyBorder="1"/>
    <xf numFmtId="3" fontId="43" fillId="8" borderId="21" xfId="0" applyNumberFormat="1" applyFont="1" applyFill="1" applyBorder="1"/>
    <xf numFmtId="0" fontId="44" fillId="8" borderId="3" xfId="0" applyFont="1" applyFill="1" applyBorder="1" applyAlignment="1">
      <alignment horizontal="center"/>
    </xf>
    <xf numFmtId="3" fontId="43" fillId="17" borderId="0" xfId="0" applyNumberFormat="1" applyFont="1" applyFill="1"/>
    <xf numFmtId="3" fontId="43" fillId="0" borderId="0" xfId="0" applyNumberFormat="1" applyFont="1"/>
    <xf numFmtId="3" fontId="43" fillId="18" borderId="0" xfId="0" applyNumberFormat="1" applyFont="1" applyFill="1"/>
    <xf numFmtId="3" fontId="44" fillId="18" borderId="0" xfId="0" applyNumberFormat="1" applyFont="1" applyFill="1"/>
    <xf numFmtId="0" fontId="8" fillId="38" borderId="3" xfId="0" applyFont="1" applyFill="1" applyBorder="1" applyAlignment="1">
      <alignment wrapText="1"/>
    </xf>
    <xf numFmtId="0" fontId="14" fillId="39" borderId="3" xfId="6" applyFont="1" applyFill="1" applyBorder="1" applyAlignment="1">
      <alignment horizontal="center" vertical="center"/>
    </xf>
    <xf numFmtId="3" fontId="14" fillId="39" borderId="3" xfId="6" applyNumberFormat="1" applyFont="1" applyFill="1" applyBorder="1" applyAlignment="1">
      <alignment horizontal="center" vertical="center"/>
    </xf>
    <xf numFmtId="3" fontId="8" fillId="40" borderId="3" xfId="0" applyNumberFormat="1" applyFont="1" applyFill="1" applyBorder="1" applyAlignment="1">
      <alignment horizontal="center" vertical="center"/>
    </xf>
    <xf numFmtId="0" fontId="0" fillId="40" borderId="0" xfId="0" applyFill="1"/>
    <xf numFmtId="0" fontId="8" fillId="6" borderId="43" xfId="0" applyFont="1" applyFill="1" applyBorder="1" applyAlignment="1">
      <alignment wrapText="1"/>
    </xf>
    <xf numFmtId="0" fontId="8" fillId="6" borderId="44" xfId="5" applyNumberFormat="1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1" fontId="43" fillId="0" borderId="3" xfId="0" applyNumberFormat="1" applyFont="1" applyBorder="1"/>
    <xf numFmtId="3" fontId="10" fillId="28" borderId="0" xfId="0" applyNumberFormat="1" applyFont="1" applyFill="1"/>
    <xf numFmtId="1" fontId="0" fillId="0" borderId="3" xfId="0" applyNumberFormat="1" applyBorder="1"/>
    <xf numFmtId="0" fontId="44" fillId="0" borderId="13" xfId="0" applyFont="1" applyBorder="1" applyAlignment="1">
      <alignment horizontal="left"/>
    </xf>
    <xf numFmtId="0" fontId="44" fillId="0" borderId="14" xfId="0" applyFont="1" applyBorder="1" applyAlignment="1">
      <alignment horizontal="left"/>
    </xf>
    <xf numFmtId="0" fontId="44" fillId="0" borderId="15" xfId="0" applyFont="1" applyBorder="1" applyAlignment="1">
      <alignment horizontal="left"/>
    </xf>
    <xf numFmtId="0" fontId="47" fillId="0" borderId="0" xfId="0" applyFont="1" applyAlignment="1">
      <alignment horizontal="left"/>
    </xf>
    <xf numFmtId="0" fontId="44" fillId="0" borderId="3" xfId="0" applyFont="1" applyBorder="1" applyAlignment="1">
      <alignment horizontal="left"/>
    </xf>
    <xf numFmtId="0" fontId="43" fillId="0" borderId="4" xfId="0" applyFont="1" applyBorder="1" applyAlignment="1">
      <alignment horizontal="center" vertical="center"/>
    </xf>
    <xf numFmtId="0" fontId="43" fillId="0" borderId="5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43" fillId="0" borderId="6" xfId="0" applyFont="1" applyBorder="1" applyAlignment="1">
      <alignment horizontal="center" vertical="center"/>
    </xf>
    <xf numFmtId="0" fontId="42" fillId="3" borderId="3" xfId="4" applyFont="1" applyBorder="1" applyAlignment="1">
      <alignment horizontal="center" vertical="center"/>
    </xf>
    <xf numFmtId="0" fontId="44" fillId="6" borderId="3" xfId="0" applyFont="1" applyFill="1" applyBorder="1" applyAlignment="1">
      <alignment horizontal="left"/>
    </xf>
    <xf numFmtId="0" fontId="44" fillId="6" borderId="3" xfId="0" applyFont="1" applyFill="1" applyBorder="1" applyAlignment="1">
      <alignment horizontal="left" vertical="top" wrapText="1"/>
    </xf>
    <xf numFmtId="0" fontId="44" fillId="6" borderId="3" xfId="0" applyFont="1" applyFill="1" applyBorder="1" applyAlignment="1">
      <alignment horizontal="left" wrapText="1"/>
    </xf>
    <xf numFmtId="0" fontId="33" fillId="31" borderId="0" xfId="0" applyFont="1" applyFill="1"/>
    <xf numFmtId="0" fontId="32" fillId="31" borderId="0" xfId="0" applyFont="1" applyFill="1"/>
    <xf numFmtId="0" fontId="13" fillId="0" borderId="2" xfId="0" applyFont="1" applyBorder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1" fillId="0" borderId="0" xfId="4" applyFont="1" applyFill="1"/>
    <xf numFmtId="0" fontId="12" fillId="0" borderId="0" xfId="0" applyFont="1"/>
    <xf numFmtId="0" fontId="8" fillId="31" borderId="0" xfId="0" applyFont="1" applyFill="1" applyAlignment="1">
      <alignment vertical="justify"/>
    </xf>
    <xf numFmtId="0" fontId="8" fillId="31" borderId="0" xfId="0" applyFont="1" applyFill="1"/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/>
    </xf>
    <xf numFmtId="0" fontId="8" fillId="0" borderId="10" xfId="0" applyFont="1" applyBorder="1" applyAlignment="1">
      <alignment horizontal="center" vertical="top"/>
    </xf>
    <xf numFmtId="0" fontId="15" fillId="3" borderId="0" xfId="4" applyFont="1" applyAlignment="1">
      <alignment horizontal="center" vertical="top"/>
    </xf>
    <xf numFmtId="0" fontId="8" fillId="0" borderId="3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37" fillId="3" borderId="0" xfId="4" applyFont="1" applyAlignment="1">
      <alignment horizontal="center"/>
    </xf>
    <xf numFmtId="0" fontId="39" fillId="0" borderId="7" xfId="0" applyFont="1" applyBorder="1" applyAlignment="1">
      <alignment horizontal="center" vertical="center"/>
    </xf>
    <xf numFmtId="0" fontId="39" fillId="0" borderId="41" xfId="0" applyFont="1" applyBorder="1" applyAlignment="1">
      <alignment horizontal="center" vertical="center"/>
    </xf>
    <xf numFmtId="0" fontId="1" fillId="0" borderId="0" xfId="0" applyFont="1" applyAlignment="1">
      <alignment horizontal="center" vertical="justify"/>
    </xf>
    <xf numFmtId="0" fontId="0" fillId="0" borderId="0" xfId="0" applyAlignment="1">
      <alignment horizontal="center" vertical="justify"/>
    </xf>
    <xf numFmtId="0" fontId="9" fillId="0" borderId="41" xfId="0" applyFont="1" applyBorder="1" applyAlignment="1">
      <alignment horizontal="center" vertical="center"/>
    </xf>
    <xf numFmtId="0" fontId="6" fillId="3" borderId="0" xfId="4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42" fillId="3" borderId="0" xfId="4" applyFont="1" applyAlignment="1">
      <alignment horizontal="center"/>
    </xf>
    <xf numFmtId="0" fontId="43" fillId="0" borderId="3" xfId="0" applyFont="1" applyBorder="1" applyAlignment="1">
      <alignment horizontal="center" vertical="center" wrapText="1"/>
    </xf>
    <xf numFmtId="0" fontId="43" fillId="0" borderId="3" xfId="0" applyFont="1" applyBorder="1" applyAlignment="1">
      <alignment horizontal="center" vertical="center"/>
    </xf>
    <xf numFmtId="0" fontId="48" fillId="4" borderId="3" xfId="6" applyFont="1" applyBorder="1" applyAlignment="1">
      <alignment horizontal="center" vertical="center"/>
    </xf>
    <xf numFmtId="0" fontId="8" fillId="15" borderId="3" xfId="0" applyFont="1" applyFill="1" applyBorder="1" applyAlignment="1">
      <alignment horizontal="center" wrapText="1"/>
    </xf>
    <xf numFmtId="0" fontId="8" fillId="0" borderId="3" xfId="0" applyFont="1" applyBorder="1" applyAlignment="1">
      <alignment horizontal="center" vertical="center" wrapText="1"/>
    </xf>
    <xf numFmtId="0" fontId="7" fillId="4" borderId="3" xfId="6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43" fillId="0" borderId="13" xfId="0" applyFont="1" applyBorder="1" applyAlignment="1">
      <alignment horizontal="center" vertical="center"/>
    </xf>
    <xf numFmtId="0" fontId="43" fillId="0" borderId="14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13" xfId="0" applyFont="1" applyBorder="1" applyAlignment="1">
      <alignment horizontal="center" vertical="center" wrapText="1"/>
    </xf>
    <xf numFmtId="0" fontId="43" fillId="0" borderId="14" xfId="0" applyFont="1" applyBorder="1" applyAlignment="1">
      <alignment horizontal="center" vertical="center" wrapText="1"/>
    </xf>
    <xf numFmtId="0" fontId="43" fillId="0" borderId="15" xfId="0" applyFont="1" applyBorder="1" applyAlignment="1">
      <alignment horizontal="center" vertical="center" wrapText="1"/>
    </xf>
    <xf numFmtId="0" fontId="45" fillId="0" borderId="13" xfId="0" applyFont="1" applyBorder="1" applyAlignment="1">
      <alignment horizontal="center" vertical="center"/>
    </xf>
    <xf numFmtId="0" fontId="45" fillId="0" borderId="14" xfId="0" applyFont="1" applyBorder="1" applyAlignment="1">
      <alignment horizontal="center" vertical="center"/>
    </xf>
    <xf numFmtId="0" fontId="45" fillId="0" borderId="15" xfId="0" applyFont="1" applyBorder="1" applyAlignment="1">
      <alignment horizontal="center" vertical="center"/>
    </xf>
    <xf numFmtId="0" fontId="45" fillId="0" borderId="13" xfId="0" applyFont="1" applyBorder="1" applyAlignment="1">
      <alignment horizontal="center" wrapText="1"/>
    </xf>
    <xf numFmtId="0" fontId="45" fillId="0" borderId="14" xfId="0" applyFont="1" applyBorder="1" applyAlignment="1">
      <alignment horizontal="center" wrapText="1"/>
    </xf>
    <xf numFmtId="0" fontId="45" fillId="0" borderId="15" xfId="0" applyFont="1" applyBorder="1" applyAlignment="1">
      <alignment horizontal="center" wrapText="1"/>
    </xf>
    <xf numFmtId="0" fontId="43" fillId="0" borderId="3" xfId="0" applyFont="1" applyBorder="1"/>
    <xf numFmtId="0" fontId="43" fillId="8" borderId="26" xfId="0" applyFont="1" applyFill="1" applyBorder="1"/>
    <xf numFmtId="0" fontId="45" fillId="0" borderId="3" xfId="0" applyFont="1" applyBorder="1"/>
    <xf numFmtId="0" fontId="43" fillId="0" borderId="13" xfId="0" applyFont="1" applyBorder="1" applyAlignment="1">
      <alignment horizontal="left"/>
    </xf>
    <xf numFmtId="0" fontId="43" fillId="0" borderId="14" xfId="0" applyFont="1" applyBorder="1" applyAlignment="1">
      <alignment horizontal="left"/>
    </xf>
    <xf numFmtId="0" fontId="43" fillId="0" borderId="15" xfId="0" applyFont="1" applyBorder="1" applyAlignment="1">
      <alignment horizontal="left"/>
    </xf>
    <xf numFmtId="0" fontId="43" fillId="8" borderId="23" xfId="0" applyFont="1" applyFill="1" applyBorder="1"/>
    <xf numFmtId="0" fontId="43" fillId="8" borderId="24" xfId="0" applyFont="1" applyFill="1" applyBorder="1"/>
    <xf numFmtId="0" fontId="43" fillId="8" borderId="25" xfId="0" applyFont="1" applyFill="1" applyBorder="1"/>
    <xf numFmtId="0" fontId="51" fillId="0" borderId="3" xfId="4" applyFont="1" applyFill="1" applyBorder="1" applyAlignment="1">
      <alignment horizontal="center" vertical="center"/>
    </xf>
    <xf numFmtId="0" fontId="43" fillId="21" borderId="3" xfId="0" applyFont="1" applyFill="1" applyBorder="1" applyAlignment="1">
      <alignment horizontal="left"/>
    </xf>
    <xf numFmtId="0" fontId="43" fillId="22" borderId="3" xfId="0" applyFont="1" applyFill="1" applyBorder="1" applyAlignment="1">
      <alignment horizontal="left"/>
    </xf>
    <xf numFmtId="0" fontId="43" fillId="22" borderId="13" xfId="0" applyFont="1" applyFill="1" applyBorder="1" applyAlignment="1">
      <alignment horizontal="left"/>
    </xf>
    <xf numFmtId="0" fontId="43" fillId="22" borderId="14" xfId="0" applyFont="1" applyFill="1" applyBorder="1" applyAlignment="1">
      <alignment horizontal="left"/>
    </xf>
    <xf numFmtId="0" fontId="43" fillId="22" borderId="15" xfId="0" applyFont="1" applyFill="1" applyBorder="1" applyAlignment="1">
      <alignment horizontal="left"/>
    </xf>
    <xf numFmtId="0" fontId="43" fillId="0" borderId="3" xfId="0" applyFont="1" applyBorder="1" applyAlignment="1">
      <alignment horizontal="right"/>
    </xf>
    <xf numFmtId="0" fontId="51" fillId="0" borderId="0" xfId="0" applyFont="1"/>
    <xf numFmtId="0" fontId="43" fillId="8" borderId="18" xfId="0" applyFont="1" applyFill="1" applyBorder="1"/>
    <xf numFmtId="0" fontId="43" fillId="8" borderId="19" xfId="0" applyFont="1" applyFill="1" applyBorder="1"/>
    <xf numFmtId="0" fontId="43" fillId="8" borderId="20" xfId="0" applyFont="1" applyFill="1" applyBorder="1"/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7" fillId="27" borderId="3" xfId="4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/>
    </xf>
    <xf numFmtId="0" fontId="6" fillId="3" borderId="3" xfId="4" applyBorder="1" applyAlignment="1">
      <alignment horizontal="center" vertical="center"/>
    </xf>
    <xf numFmtId="0" fontId="20" fillId="10" borderId="0" xfId="0" applyFont="1" applyFill="1" applyAlignment="1">
      <alignment horizontal="left"/>
    </xf>
    <xf numFmtId="0" fontId="20" fillId="16" borderId="2" xfId="0" applyFont="1" applyFill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20" fillId="0" borderId="3" xfId="0" applyFont="1" applyBorder="1" applyAlignment="1">
      <alignment horizontal="left"/>
    </xf>
    <xf numFmtId="0" fontId="6" fillId="3" borderId="2" xfId="4" applyBorder="1" applyAlignment="1">
      <alignment horizontal="center" vertical="top" wrapText="1"/>
    </xf>
    <xf numFmtId="0" fontId="16" fillId="0" borderId="2" xfId="0" applyFont="1" applyBorder="1" applyAlignment="1">
      <alignment horizontal="left" vertical="top" wrapText="1"/>
    </xf>
    <xf numFmtId="0" fontId="13" fillId="5" borderId="0" xfId="0" applyFont="1" applyFill="1" applyAlignment="1">
      <alignment horizontal="left"/>
    </xf>
  </cellXfs>
  <cellStyles count="7">
    <cellStyle name="Bad" xfId="4" builtinId="27"/>
    <cellStyle name="Comma" xfId="5" builtinId="3"/>
    <cellStyle name="Good" xfId="6" builtinId="26"/>
    <cellStyle name="Hyperlink" xfId="1" builtinId="8"/>
    <cellStyle name="Neutral" xfId="2" builtinId="28"/>
    <cellStyle name="Normal" xfId="0" builtinId="0"/>
    <cellStyle name="Обычн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cap="all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300"/>
              <a:t>источник финансирования</a:t>
            </a:r>
          </a:p>
        </c:rich>
      </c:tx>
      <c:overlay val="0"/>
      <c:spPr>
        <a:prstGeom prst="rect">
          <a:avLst/>
        </a:prstGeom>
        <a:noFill/>
        <a:ln>
          <a:noFill/>
        </a:ln>
        <a:effectLst/>
      </c:spPr>
    </c:title>
    <c:autoTitleDeleted val="0"/>
    <c:view3D>
      <c:rotX val="50"/>
      <c:rotY val="0"/>
      <c:depthPercent val="100"/>
      <c:rAngAx val="0"/>
    </c:view3D>
    <c:floor>
      <c:thickness val="0"/>
      <c:spPr>
        <a:prstGeom prst="rect">
          <a:avLst/>
        </a:prstGeom>
        <a:noFill/>
        <a:ln>
          <a:noFill/>
        </a:ln>
        <a:effectLst/>
      </c:spPr>
    </c:floor>
    <c:sideWall>
      <c:thickness val="0"/>
      <c:spPr>
        <a:prstGeom prst="rect">
          <a:avLst/>
        </a:prstGeom>
        <a:noFill/>
        <a:ln>
          <a:noFill/>
        </a:ln>
        <a:effectLst/>
      </c:spPr>
    </c:sideWall>
    <c:backWall>
      <c:thickness val="0"/>
      <c:spPr>
        <a:prstGeom prst="rect">
          <a:avLst/>
        </a:prstGeom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4.4478614771657793E-2"/>
          <c:y val="0.29657208026577803"/>
          <c:w val="0.92334942084256699"/>
          <c:h val="0.63714001623270733"/>
        </c:manualLayout>
      </c:layout>
      <c:pie3DChart>
        <c:varyColors val="1"/>
        <c:ser>
          <c:idx val="0"/>
          <c:order val="0"/>
          <c:tx>
            <c:v>Собственные средства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Резюме!$C$32</c:f>
              <c:numCache>
                <c:formatCode>#,##0</c:formatCode>
                <c:ptCount val="1"/>
                <c:pt idx="0">
                  <c:v>276961520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A8-4AF0-90B3-D776E35E9B37}"/>
            </c:ext>
          </c:extLst>
        </c:ser>
        <c:ser>
          <c:idx val="1"/>
          <c:order val="1"/>
          <c:tx>
            <c:v>Заемные средства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Резюме!$C$33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AA8-4AF0-90B3-D776E35E9B3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prstGeom prst="rect">
          <a:avLst/>
        </a:prstGeom>
        <a:noFill/>
        <a:ln>
          <a:noFill/>
        </a:ln>
        <a:effectLst/>
      </c:spPr>
    </c:plotArea>
    <c:legend>
      <c:legendPos val="r"/>
      <c:overlay val="0"/>
      <c:txPr>
        <a:bodyPr/>
        <a:lstStyle/>
        <a:p>
          <a:pPr rtl="0">
            <a:defRPr/>
          </a:pPr>
          <a:endParaRPr lang="ru-RU"/>
        </a:p>
      </c:txPr>
    </c:legend>
    <c:plotVisOnly val="1"/>
    <c:dispBlanksAs val="zero"/>
    <c:showDLblsOverMax val="0"/>
  </c:chart>
  <c:spPr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508000</xdr:colOff>
      <xdr:row>26</xdr:row>
      <xdr:rowOff>152400</xdr:rowOff>
    </xdr:from>
    <xdr:to>
      <xdr:col>9</xdr:col>
      <xdr:colOff>158750</xdr:colOff>
      <xdr:row>33</xdr:row>
      <xdr:rowOff>185055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2</xdr:row>
      <xdr:rowOff>84667</xdr:rowOff>
    </xdr:from>
    <xdr:to>
      <xdr:col>9</xdr:col>
      <xdr:colOff>342900</xdr:colOff>
      <xdr:row>27</xdr:row>
      <xdr:rowOff>76200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C83E1DBE-70A7-6D00-796A-07EE117BE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444500"/>
          <a:ext cx="5740400" cy="4489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udit-it.ru/ifrs/terms/items/capex.html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33"/>
  <sheetViews>
    <sheetView tabSelected="1" zoomScale="115" workbookViewId="0">
      <selection activeCell="F14" sqref="F14"/>
    </sheetView>
  </sheetViews>
  <sheetFormatPr baseColWidth="10" defaultColWidth="8.83203125" defaultRowHeight="15"/>
  <cols>
    <col min="2" max="2" width="23.5" customWidth="1"/>
    <col min="3" max="3" width="36.6640625" customWidth="1"/>
  </cols>
  <sheetData>
    <row r="2" spans="2:13" ht="20">
      <c r="B2" s="329" t="s">
        <v>0</v>
      </c>
      <c r="C2" s="329"/>
      <c r="D2" s="3"/>
      <c r="E2" s="3"/>
      <c r="F2" s="3"/>
      <c r="G2" s="3"/>
      <c r="H2" s="3"/>
      <c r="I2" s="3"/>
      <c r="J2" s="3"/>
      <c r="K2" s="3"/>
      <c r="L2" s="3"/>
      <c r="M2" s="3"/>
    </row>
    <row r="3" spans="2:1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2:13">
      <c r="B4" s="330" t="s">
        <v>1</v>
      </c>
      <c r="C4" s="330"/>
      <c r="D4" s="3"/>
      <c r="E4" s="3"/>
      <c r="F4" s="3"/>
      <c r="G4" s="3"/>
      <c r="H4" s="3"/>
      <c r="I4" s="3"/>
      <c r="J4" s="3"/>
      <c r="K4" s="3"/>
      <c r="L4" s="3"/>
      <c r="M4" s="3"/>
    </row>
    <row r="5" spans="2:13" ht="42.5" customHeight="1">
      <c r="B5" s="331" t="s">
        <v>373</v>
      </c>
      <c r="C5" s="331"/>
      <c r="D5" s="331"/>
      <c r="E5" s="331"/>
      <c r="F5" s="331"/>
      <c r="G5" s="331"/>
      <c r="H5" s="331"/>
      <c r="I5" s="331"/>
      <c r="J5" s="331"/>
      <c r="K5" s="331"/>
      <c r="L5" s="331"/>
      <c r="M5" s="331"/>
    </row>
    <row r="6" spans="2:13">
      <c r="B6" s="332" t="s">
        <v>455</v>
      </c>
      <c r="C6" s="332"/>
      <c r="D6" s="332"/>
      <c r="E6" s="332"/>
      <c r="F6" s="3"/>
      <c r="G6" s="3"/>
      <c r="H6" s="3"/>
      <c r="I6" s="3"/>
      <c r="J6" s="3"/>
      <c r="K6" s="3"/>
      <c r="L6" s="3"/>
      <c r="M6" s="3"/>
    </row>
    <row r="7" spans="2:13">
      <c r="B7" s="330" t="s">
        <v>2</v>
      </c>
      <c r="C7" s="330"/>
      <c r="D7" s="3"/>
      <c r="E7" s="3"/>
      <c r="F7" s="3"/>
      <c r="G7" s="3"/>
      <c r="H7" s="3"/>
      <c r="I7" s="3"/>
      <c r="J7" s="3"/>
      <c r="K7" s="3"/>
      <c r="L7" s="3"/>
      <c r="M7" s="3"/>
    </row>
    <row r="8" spans="2:13">
      <c r="B8" s="325" t="s">
        <v>374</v>
      </c>
      <c r="C8" s="326"/>
      <c r="D8" s="326"/>
      <c r="E8" s="326"/>
      <c r="F8" s="326"/>
      <c r="G8" s="326"/>
      <c r="H8" s="326"/>
      <c r="I8" s="326"/>
      <c r="J8" s="326"/>
      <c r="K8" s="3"/>
      <c r="L8" s="3"/>
      <c r="M8" s="3"/>
    </row>
    <row r="9" spans="2:1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2:13">
      <c r="B10" s="327" t="s">
        <v>3</v>
      </c>
      <c r="C10" s="327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2:13">
      <c r="B11" s="4" t="s">
        <v>4</v>
      </c>
      <c r="C11" s="4" t="s">
        <v>5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2:13" ht="29.5" customHeight="1">
      <c r="B12" s="5" t="s">
        <v>338</v>
      </c>
      <c r="C12" s="189" t="s">
        <v>375</v>
      </c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2:13" ht="29" customHeight="1">
      <c r="B13" s="7" t="s">
        <v>339</v>
      </c>
      <c r="C13" s="174" t="s">
        <v>397</v>
      </c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2:13" ht="16">
      <c r="B14" s="8" t="s">
        <v>376</v>
      </c>
      <c r="C14" s="174" t="s">
        <v>398</v>
      </c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2:13" ht="30">
      <c r="B15" s="8" t="s">
        <v>377</v>
      </c>
      <c r="C15" s="174">
        <v>29000</v>
      </c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2:13" ht="44" customHeight="1">
      <c r="B16" s="8" t="s">
        <v>378</v>
      </c>
      <c r="C16" s="174">
        <v>5200</v>
      </c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2:13" ht="46">
      <c r="B17" s="7" t="s">
        <v>344</v>
      </c>
      <c r="C17" s="174" t="s">
        <v>379</v>
      </c>
      <c r="D17" s="3"/>
      <c r="E17" s="183"/>
      <c r="F17" s="3"/>
      <c r="G17" s="3"/>
      <c r="H17" s="3"/>
      <c r="I17" s="3"/>
      <c r="J17" s="3"/>
      <c r="K17" s="3"/>
      <c r="L17" s="3"/>
      <c r="M17" s="3"/>
    </row>
    <row r="18" spans="2:13" ht="18">
      <c r="B18" s="9" t="s">
        <v>345</v>
      </c>
      <c r="C18" s="174" t="s">
        <v>380</v>
      </c>
      <c r="D18" s="2"/>
      <c r="E18" s="183"/>
      <c r="F18" s="3"/>
      <c r="G18" s="3"/>
      <c r="H18" s="3"/>
      <c r="I18" s="3"/>
      <c r="J18" s="3"/>
      <c r="K18" s="3"/>
      <c r="L18" s="3"/>
      <c r="M18" s="3"/>
    </row>
    <row r="19" spans="2:13" ht="18">
      <c r="B19" s="9" t="s">
        <v>381</v>
      </c>
      <c r="C19" s="174" t="s">
        <v>382</v>
      </c>
      <c r="D19" s="2"/>
      <c r="E19" s="183"/>
      <c r="F19" s="3"/>
      <c r="G19" s="3"/>
      <c r="H19" s="3"/>
      <c r="I19" s="3"/>
      <c r="J19" s="3"/>
      <c r="K19" s="3"/>
      <c r="L19" s="3"/>
      <c r="M19" s="3"/>
    </row>
    <row r="20" spans="2:13" ht="18">
      <c r="B20" s="9" t="s">
        <v>383</v>
      </c>
      <c r="C20" s="174" t="s">
        <v>385</v>
      </c>
      <c r="D20" s="2"/>
      <c r="E20" s="183"/>
      <c r="F20" s="3"/>
      <c r="G20" s="3"/>
      <c r="H20" s="3"/>
      <c r="I20" s="3"/>
      <c r="J20" s="3"/>
      <c r="K20" s="3"/>
      <c r="L20" s="3"/>
      <c r="M20" s="3"/>
    </row>
    <row r="21" spans="2:13" ht="18">
      <c r="B21" s="9" t="s">
        <v>384</v>
      </c>
      <c r="C21" s="174" t="s">
        <v>386</v>
      </c>
      <c r="D21" s="2"/>
      <c r="E21" s="183"/>
      <c r="F21" s="3"/>
      <c r="G21" s="3"/>
      <c r="H21" s="3"/>
      <c r="I21" s="3"/>
      <c r="J21" s="3"/>
      <c r="K21" s="3"/>
      <c r="L21" s="3"/>
      <c r="M21" s="3"/>
    </row>
    <row r="22" spans="2:13" ht="18">
      <c r="B22" s="9" t="s">
        <v>387</v>
      </c>
      <c r="C22" s="174" t="s">
        <v>392</v>
      </c>
      <c r="D22" s="2"/>
      <c r="E22" s="183"/>
      <c r="F22" s="3"/>
      <c r="G22" s="3"/>
      <c r="H22" s="3"/>
      <c r="I22" s="3"/>
      <c r="J22" s="3"/>
      <c r="K22" s="3"/>
      <c r="L22" s="3"/>
      <c r="M22" s="3"/>
    </row>
    <row r="23" spans="2:13" ht="31">
      <c r="B23" s="9" t="s">
        <v>388</v>
      </c>
      <c r="C23" s="174" t="s">
        <v>393</v>
      </c>
      <c r="D23" s="2"/>
      <c r="E23" s="183"/>
      <c r="F23" s="3"/>
      <c r="G23" s="3"/>
      <c r="H23" s="3"/>
      <c r="I23" s="3"/>
      <c r="J23" s="3"/>
      <c r="K23" s="3"/>
      <c r="L23" s="3"/>
      <c r="M23" s="3"/>
    </row>
    <row r="24" spans="2:13" ht="18">
      <c r="B24" s="9" t="s">
        <v>389</v>
      </c>
      <c r="C24" s="174" t="s">
        <v>394</v>
      </c>
      <c r="D24" s="2"/>
      <c r="E24" s="183"/>
      <c r="F24" s="3"/>
      <c r="G24" s="3"/>
      <c r="H24" s="3"/>
      <c r="I24" s="3"/>
      <c r="J24" s="3"/>
      <c r="K24" s="3"/>
      <c r="L24" s="3"/>
      <c r="M24" s="3"/>
    </row>
    <row r="25" spans="2:13" ht="76">
      <c r="B25" s="9" t="s">
        <v>390</v>
      </c>
      <c r="C25" s="174" t="s">
        <v>396</v>
      </c>
      <c r="D25" s="2"/>
      <c r="E25" s="183"/>
      <c r="F25" s="3"/>
      <c r="G25" s="3"/>
      <c r="H25" s="3"/>
      <c r="I25" s="3"/>
      <c r="J25" s="3"/>
      <c r="K25" s="3"/>
      <c r="L25" s="3"/>
      <c r="M25" s="3"/>
    </row>
    <row r="26" spans="2:13" ht="18">
      <c r="B26" s="9" t="s">
        <v>391</v>
      </c>
      <c r="C26" s="174" t="s">
        <v>395</v>
      </c>
      <c r="D26" s="2"/>
      <c r="E26" s="183"/>
      <c r="F26" s="3"/>
      <c r="G26" s="3"/>
      <c r="H26" s="3"/>
      <c r="I26" s="3"/>
      <c r="J26" s="3"/>
      <c r="K26" s="3"/>
      <c r="L26" s="3"/>
      <c r="M26" s="3"/>
    </row>
    <row r="27" spans="2:13" ht="18">
      <c r="B27" s="3"/>
      <c r="C27" s="3"/>
      <c r="D27" s="3"/>
      <c r="E27" s="183"/>
      <c r="F27" s="3"/>
      <c r="G27" s="3"/>
      <c r="H27" s="3"/>
      <c r="I27" s="3"/>
      <c r="J27" s="3"/>
      <c r="K27" s="3"/>
      <c r="L27" s="3"/>
      <c r="M27" s="3"/>
    </row>
    <row r="28" spans="2:13" ht="18">
      <c r="B28" s="328" t="s">
        <v>6</v>
      </c>
      <c r="C28" s="328"/>
      <c r="D28" s="3"/>
      <c r="E28" s="183"/>
      <c r="F28" s="3"/>
      <c r="G28" s="3"/>
      <c r="H28" s="3"/>
      <c r="I28" s="3"/>
      <c r="J28" s="3"/>
      <c r="K28" s="3"/>
      <c r="L28" s="3"/>
      <c r="M28" s="3"/>
    </row>
    <row r="29" spans="2:13">
      <c r="B29" s="10" t="s">
        <v>7</v>
      </c>
      <c r="C29" s="11" t="s">
        <v>8</v>
      </c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2:13">
      <c r="B30" s="12" t="s">
        <v>9</v>
      </c>
      <c r="C30" s="175">
        <v>276961520</v>
      </c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2:13" ht="30">
      <c r="B31" s="8" t="s">
        <v>10</v>
      </c>
      <c r="C31" s="1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2:13">
      <c r="B32" s="12" t="s">
        <v>11</v>
      </c>
      <c r="C32" s="175">
        <v>276961520</v>
      </c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2:13">
      <c r="B33" s="14" t="s">
        <v>12</v>
      </c>
      <c r="C33" s="175">
        <v>0</v>
      </c>
      <c r="D33" s="3"/>
      <c r="E33" s="3"/>
      <c r="F33" s="3"/>
      <c r="G33" s="3"/>
      <c r="H33" s="3"/>
      <c r="I33" s="3"/>
      <c r="J33" s="3"/>
      <c r="K33" s="3"/>
      <c r="L33" s="3"/>
      <c r="M33" s="3"/>
    </row>
  </sheetData>
  <mergeCells count="8">
    <mergeCell ref="B8:J8"/>
    <mergeCell ref="B10:C10"/>
    <mergeCell ref="B28:C28"/>
    <mergeCell ref="B2:C2"/>
    <mergeCell ref="B4:C4"/>
    <mergeCell ref="B5:M5"/>
    <mergeCell ref="B6:E6"/>
    <mergeCell ref="B7:C7"/>
  </mergeCells>
  <pageMargins left="0.7" right="0.7" top="0.75" bottom="0.75" header="0.3" footer="0.3"/>
  <pageSetup paperSize="9" firstPageNumber="429496729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66CC"/>
  </sheetPr>
  <dimension ref="A2:DU44"/>
  <sheetViews>
    <sheetView zoomScale="85" workbookViewId="0">
      <pane xSplit="4" ySplit="12" topLeftCell="E30" activePane="bottomRight" state="frozen"/>
      <selection activeCell="G33" sqref="G33"/>
      <selection pane="topRight"/>
      <selection pane="bottomLeft"/>
      <selection pane="bottomRight" activeCell="F30" sqref="F30:DU30"/>
    </sheetView>
  </sheetViews>
  <sheetFormatPr baseColWidth="10" defaultColWidth="8.83203125" defaultRowHeight="15"/>
  <cols>
    <col min="3" max="3" width="34.6640625" customWidth="1"/>
    <col min="4" max="4" width="12.33203125" customWidth="1"/>
    <col min="5" max="5" width="12.6640625" customWidth="1"/>
    <col min="6" max="123" width="14.33203125" customWidth="1"/>
    <col min="124" max="124" width="16.6640625" customWidth="1"/>
    <col min="125" max="125" width="14.33203125" customWidth="1"/>
  </cols>
  <sheetData>
    <row r="2" spans="3:125" ht="22.25" customHeight="1">
      <c r="C2" s="343" t="s">
        <v>13</v>
      </c>
      <c r="D2" s="343"/>
      <c r="E2" s="343"/>
    </row>
    <row r="3" spans="3:125">
      <c r="C3" s="15"/>
      <c r="D3" s="3"/>
    </row>
    <row r="4" spans="3:125" ht="29.75" customHeight="1">
      <c r="C4" s="16" t="s">
        <v>14</v>
      </c>
      <c r="D4" s="344" t="s">
        <v>15</v>
      </c>
      <c r="E4" s="344"/>
    </row>
    <row r="5" spans="3:125" ht="16">
      <c r="C5" s="17" t="s">
        <v>16</v>
      </c>
      <c r="D5" s="345" t="s">
        <v>17</v>
      </c>
      <c r="E5" s="345"/>
    </row>
    <row r="6" spans="3:125">
      <c r="C6" s="18"/>
      <c r="D6" s="18"/>
    </row>
    <row r="7" spans="3:125">
      <c r="C7" s="4" t="s">
        <v>18</v>
      </c>
      <c r="D7" s="4" t="s">
        <v>5</v>
      </c>
    </row>
    <row r="8" spans="3:125">
      <c r="C8" s="4" t="s">
        <v>19</v>
      </c>
      <c r="D8" s="4" t="s">
        <v>20</v>
      </c>
    </row>
    <row r="9" spans="3:125" ht="16" thickBot="1">
      <c r="C9" s="4" t="s">
        <v>21</v>
      </c>
      <c r="D9" s="4" t="s">
        <v>22</v>
      </c>
    </row>
    <row r="10" spans="3:125" ht="17" thickBot="1">
      <c r="F10" s="333" t="s">
        <v>23</v>
      </c>
      <c r="G10" s="334"/>
      <c r="H10" s="334"/>
      <c r="I10" s="334"/>
      <c r="J10" s="334"/>
      <c r="K10" s="334"/>
      <c r="L10" s="334"/>
      <c r="M10" s="334"/>
      <c r="N10" s="334"/>
      <c r="O10" s="334"/>
      <c r="P10" s="334"/>
      <c r="Q10" s="336"/>
      <c r="R10" s="333" t="s">
        <v>24</v>
      </c>
      <c r="S10" s="334"/>
      <c r="T10" s="334"/>
      <c r="U10" s="334"/>
      <c r="V10" s="334"/>
      <c r="W10" s="334"/>
      <c r="X10" s="334"/>
      <c r="Y10" s="334"/>
      <c r="Z10" s="334"/>
      <c r="AA10" s="334"/>
      <c r="AB10" s="334"/>
      <c r="AC10" s="336"/>
      <c r="AD10" s="333" t="s">
        <v>25</v>
      </c>
      <c r="AE10" s="334"/>
      <c r="AF10" s="334"/>
      <c r="AG10" s="334"/>
      <c r="AH10" s="334"/>
      <c r="AI10" s="334"/>
      <c r="AJ10" s="334"/>
      <c r="AK10" s="334"/>
      <c r="AL10" s="334"/>
      <c r="AM10" s="334"/>
      <c r="AN10" s="334"/>
      <c r="AO10" s="335"/>
      <c r="AP10" s="333" t="s">
        <v>346</v>
      </c>
      <c r="AQ10" s="334"/>
      <c r="AR10" s="334"/>
      <c r="AS10" s="334"/>
      <c r="AT10" s="334"/>
      <c r="AU10" s="334"/>
      <c r="AV10" s="334"/>
      <c r="AW10" s="334"/>
      <c r="AX10" s="334"/>
      <c r="AY10" s="334"/>
      <c r="AZ10" s="334"/>
      <c r="BA10" s="336"/>
      <c r="BB10" s="333" t="s">
        <v>347</v>
      </c>
      <c r="BC10" s="334"/>
      <c r="BD10" s="334"/>
      <c r="BE10" s="334"/>
      <c r="BF10" s="334"/>
      <c r="BG10" s="334"/>
      <c r="BH10" s="334"/>
      <c r="BI10" s="334"/>
      <c r="BJ10" s="334"/>
      <c r="BK10" s="334"/>
      <c r="BL10" s="334"/>
      <c r="BM10" s="336"/>
      <c r="BN10" s="333" t="s">
        <v>348</v>
      </c>
      <c r="BO10" s="334"/>
      <c r="BP10" s="334"/>
      <c r="BQ10" s="334"/>
      <c r="BR10" s="334"/>
      <c r="BS10" s="334"/>
      <c r="BT10" s="334"/>
      <c r="BU10" s="334"/>
      <c r="BV10" s="334"/>
      <c r="BW10" s="334"/>
      <c r="BX10" s="334"/>
      <c r="BY10" s="335"/>
      <c r="BZ10" s="333" t="s">
        <v>349</v>
      </c>
      <c r="CA10" s="334"/>
      <c r="CB10" s="334"/>
      <c r="CC10" s="334"/>
      <c r="CD10" s="334"/>
      <c r="CE10" s="334"/>
      <c r="CF10" s="334"/>
      <c r="CG10" s="334"/>
      <c r="CH10" s="334"/>
      <c r="CI10" s="334"/>
      <c r="CJ10" s="334"/>
      <c r="CK10" s="336"/>
      <c r="CL10" s="333" t="s">
        <v>350</v>
      </c>
      <c r="CM10" s="334"/>
      <c r="CN10" s="334"/>
      <c r="CO10" s="334"/>
      <c r="CP10" s="334"/>
      <c r="CQ10" s="334"/>
      <c r="CR10" s="334"/>
      <c r="CS10" s="334"/>
      <c r="CT10" s="334"/>
      <c r="CU10" s="334"/>
      <c r="CV10" s="334"/>
      <c r="CW10" s="336"/>
      <c r="CX10" s="333" t="s">
        <v>351</v>
      </c>
      <c r="CY10" s="334"/>
      <c r="CZ10" s="334"/>
      <c r="DA10" s="334"/>
      <c r="DB10" s="334"/>
      <c r="DC10" s="334"/>
      <c r="DD10" s="334"/>
      <c r="DE10" s="334"/>
      <c r="DF10" s="334"/>
      <c r="DG10" s="334"/>
      <c r="DH10" s="334"/>
      <c r="DI10" s="335"/>
      <c r="DJ10" s="333" t="s">
        <v>352</v>
      </c>
      <c r="DK10" s="334"/>
      <c r="DL10" s="334"/>
      <c r="DM10" s="334"/>
      <c r="DN10" s="334"/>
      <c r="DO10" s="334"/>
      <c r="DP10" s="334"/>
      <c r="DQ10" s="334"/>
      <c r="DR10" s="334"/>
      <c r="DS10" s="334"/>
      <c r="DT10" s="334"/>
      <c r="DU10" s="336"/>
    </row>
    <row r="11" spans="3:125" ht="28.25" customHeight="1">
      <c r="C11" s="337" t="s">
        <v>4</v>
      </c>
      <c r="D11" s="339" t="s">
        <v>26</v>
      </c>
      <c r="E11" s="341" t="s">
        <v>27</v>
      </c>
      <c r="F11" s="19">
        <v>1</v>
      </c>
      <c r="G11" s="19">
        <v>2</v>
      </c>
      <c r="H11" s="19">
        <v>3</v>
      </c>
      <c r="I11" s="19">
        <v>4</v>
      </c>
      <c r="J11" s="19">
        <v>5</v>
      </c>
      <c r="K11" s="19">
        <v>6</v>
      </c>
      <c r="L11" s="19">
        <v>7</v>
      </c>
      <c r="M11" s="19">
        <v>8</v>
      </c>
      <c r="N11" s="19">
        <v>9</v>
      </c>
      <c r="O11" s="19">
        <v>10</v>
      </c>
      <c r="P11" s="19">
        <v>11</v>
      </c>
      <c r="Q11" s="19">
        <v>12</v>
      </c>
      <c r="R11" s="19">
        <v>1</v>
      </c>
      <c r="S11" s="19">
        <v>2</v>
      </c>
      <c r="T11" s="19">
        <v>3</v>
      </c>
      <c r="U11" s="19">
        <v>4</v>
      </c>
      <c r="V11" s="19">
        <v>5</v>
      </c>
      <c r="W11" s="19">
        <v>6</v>
      </c>
      <c r="X11" s="19">
        <v>7</v>
      </c>
      <c r="Y11" s="19">
        <v>8</v>
      </c>
      <c r="Z11" s="19">
        <v>9</v>
      </c>
      <c r="AA11" s="19">
        <v>10</v>
      </c>
      <c r="AB11" s="19">
        <v>11</v>
      </c>
      <c r="AC11" s="19">
        <v>12</v>
      </c>
      <c r="AD11" s="19">
        <v>1</v>
      </c>
      <c r="AE11" s="19">
        <v>2</v>
      </c>
      <c r="AF11" s="19">
        <v>3</v>
      </c>
      <c r="AG11" s="19">
        <v>4</v>
      </c>
      <c r="AH11" s="19">
        <v>5</v>
      </c>
      <c r="AI11" s="19">
        <v>6</v>
      </c>
      <c r="AJ11" s="19">
        <v>7</v>
      </c>
      <c r="AK11" s="19">
        <v>8</v>
      </c>
      <c r="AL11" s="19">
        <v>9</v>
      </c>
      <c r="AM11" s="19">
        <v>10</v>
      </c>
      <c r="AN11" s="19">
        <v>11</v>
      </c>
      <c r="AO11" s="20">
        <v>12</v>
      </c>
      <c r="AP11" s="19">
        <v>1</v>
      </c>
      <c r="AQ11" s="19">
        <v>2</v>
      </c>
      <c r="AR11" s="19">
        <v>3</v>
      </c>
      <c r="AS11" s="19">
        <v>4</v>
      </c>
      <c r="AT11" s="19">
        <v>5</v>
      </c>
      <c r="AU11" s="19">
        <v>6</v>
      </c>
      <c r="AV11" s="19">
        <v>7</v>
      </c>
      <c r="AW11" s="19">
        <v>8</v>
      </c>
      <c r="AX11" s="19">
        <v>9</v>
      </c>
      <c r="AY11" s="19">
        <v>10</v>
      </c>
      <c r="AZ11" s="19">
        <v>11</v>
      </c>
      <c r="BA11" s="19">
        <v>12</v>
      </c>
      <c r="BB11" s="19">
        <v>1</v>
      </c>
      <c r="BC11" s="19">
        <v>2</v>
      </c>
      <c r="BD11" s="19">
        <v>3</v>
      </c>
      <c r="BE11" s="19">
        <v>4</v>
      </c>
      <c r="BF11" s="19">
        <v>5</v>
      </c>
      <c r="BG11" s="19">
        <v>6</v>
      </c>
      <c r="BH11" s="19">
        <v>7</v>
      </c>
      <c r="BI11" s="19">
        <v>8</v>
      </c>
      <c r="BJ11" s="19">
        <v>9</v>
      </c>
      <c r="BK11" s="19">
        <v>10</v>
      </c>
      <c r="BL11" s="19">
        <v>11</v>
      </c>
      <c r="BM11" s="19">
        <v>12</v>
      </c>
      <c r="BN11" s="19">
        <v>1</v>
      </c>
      <c r="BO11" s="19">
        <v>2</v>
      </c>
      <c r="BP11" s="19">
        <v>3</v>
      </c>
      <c r="BQ11" s="19">
        <v>4</v>
      </c>
      <c r="BR11" s="19">
        <v>5</v>
      </c>
      <c r="BS11" s="19">
        <v>6</v>
      </c>
      <c r="BT11" s="19">
        <v>7</v>
      </c>
      <c r="BU11" s="19">
        <v>8</v>
      </c>
      <c r="BV11" s="19">
        <v>9</v>
      </c>
      <c r="BW11" s="19">
        <v>10</v>
      </c>
      <c r="BX11" s="19">
        <v>11</v>
      </c>
      <c r="BY11" s="20">
        <v>12</v>
      </c>
      <c r="BZ11" s="19">
        <v>1</v>
      </c>
      <c r="CA11" s="19">
        <v>2</v>
      </c>
      <c r="CB11" s="19">
        <v>3</v>
      </c>
      <c r="CC11" s="19">
        <v>4</v>
      </c>
      <c r="CD11" s="19">
        <v>5</v>
      </c>
      <c r="CE11" s="19">
        <v>6</v>
      </c>
      <c r="CF11" s="19">
        <v>7</v>
      </c>
      <c r="CG11" s="19">
        <v>8</v>
      </c>
      <c r="CH11" s="19">
        <v>9</v>
      </c>
      <c r="CI11" s="19">
        <v>10</v>
      </c>
      <c r="CJ11" s="19">
        <v>11</v>
      </c>
      <c r="CK11" s="19">
        <v>12</v>
      </c>
      <c r="CL11" s="19">
        <v>1</v>
      </c>
      <c r="CM11" s="19">
        <v>2</v>
      </c>
      <c r="CN11" s="19">
        <v>3</v>
      </c>
      <c r="CO11" s="19">
        <v>4</v>
      </c>
      <c r="CP11" s="19">
        <v>5</v>
      </c>
      <c r="CQ11" s="19">
        <v>6</v>
      </c>
      <c r="CR11" s="19">
        <v>7</v>
      </c>
      <c r="CS11" s="19">
        <v>8</v>
      </c>
      <c r="CT11" s="19">
        <v>9</v>
      </c>
      <c r="CU11" s="19">
        <v>10</v>
      </c>
      <c r="CV11" s="19">
        <v>11</v>
      </c>
      <c r="CW11" s="19">
        <v>12</v>
      </c>
      <c r="CX11" s="19">
        <v>1</v>
      </c>
      <c r="CY11" s="19">
        <v>2</v>
      </c>
      <c r="CZ11" s="19">
        <v>3</v>
      </c>
      <c r="DA11" s="19">
        <v>4</v>
      </c>
      <c r="DB11" s="19">
        <v>5</v>
      </c>
      <c r="DC11" s="19">
        <v>6</v>
      </c>
      <c r="DD11" s="19">
        <v>7</v>
      </c>
      <c r="DE11" s="19">
        <v>8</v>
      </c>
      <c r="DF11" s="19">
        <v>9</v>
      </c>
      <c r="DG11" s="19">
        <v>10</v>
      </c>
      <c r="DH11" s="19">
        <v>11</v>
      </c>
      <c r="DI11" s="20">
        <v>12</v>
      </c>
      <c r="DJ11" s="19">
        <v>1</v>
      </c>
      <c r="DK11" s="19">
        <v>2</v>
      </c>
      <c r="DL11" s="19">
        <v>3</v>
      </c>
      <c r="DM11" s="19">
        <v>4</v>
      </c>
      <c r="DN11" s="19">
        <v>5</v>
      </c>
      <c r="DO11" s="19">
        <v>6</v>
      </c>
      <c r="DP11" s="19">
        <v>7</v>
      </c>
      <c r="DQ11" s="19">
        <v>8</v>
      </c>
      <c r="DR11" s="19">
        <v>9</v>
      </c>
      <c r="DS11" s="19">
        <v>10</v>
      </c>
      <c r="DT11" s="19">
        <v>11</v>
      </c>
      <c r="DU11" s="19">
        <v>12</v>
      </c>
    </row>
    <row r="12" spans="3:125">
      <c r="C12" s="338"/>
      <c r="D12" s="340"/>
      <c r="E12" s="342"/>
      <c r="F12" s="21">
        <v>1</v>
      </c>
      <c r="G12" s="21">
        <v>2</v>
      </c>
      <c r="H12" s="21">
        <v>3</v>
      </c>
      <c r="I12" s="21">
        <v>4</v>
      </c>
      <c r="J12" s="21">
        <v>5</v>
      </c>
      <c r="K12" s="21">
        <v>6</v>
      </c>
      <c r="L12" s="21">
        <v>7</v>
      </c>
      <c r="M12" s="21">
        <v>8</v>
      </c>
      <c r="N12" s="21">
        <v>9</v>
      </c>
      <c r="O12" s="21">
        <v>10</v>
      </c>
      <c r="P12" s="21">
        <v>11</v>
      </c>
      <c r="Q12" s="21">
        <v>12</v>
      </c>
      <c r="R12" s="21">
        <v>13</v>
      </c>
      <c r="S12" s="21">
        <v>14</v>
      </c>
      <c r="T12" s="21">
        <v>15</v>
      </c>
      <c r="U12" s="21">
        <v>16</v>
      </c>
      <c r="V12" s="21">
        <v>17</v>
      </c>
      <c r="W12" s="21">
        <v>18</v>
      </c>
      <c r="X12" s="21">
        <v>19</v>
      </c>
      <c r="Y12" s="21">
        <v>20</v>
      </c>
      <c r="Z12" s="21">
        <v>21</v>
      </c>
      <c r="AA12" s="21">
        <v>22</v>
      </c>
      <c r="AB12" s="21">
        <v>23</v>
      </c>
      <c r="AC12" s="21">
        <v>24</v>
      </c>
      <c r="AD12" s="21">
        <v>25</v>
      </c>
      <c r="AE12" s="21">
        <v>26</v>
      </c>
      <c r="AF12" s="21">
        <v>27</v>
      </c>
      <c r="AG12" s="21">
        <v>28</v>
      </c>
      <c r="AH12" s="21">
        <v>29</v>
      </c>
      <c r="AI12" s="21">
        <v>30</v>
      </c>
      <c r="AJ12" s="21">
        <v>31</v>
      </c>
      <c r="AK12" s="21">
        <v>32</v>
      </c>
      <c r="AL12" s="21">
        <v>33</v>
      </c>
      <c r="AM12" s="21">
        <v>34</v>
      </c>
      <c r="AN12" s="21">
        <v>35</v>
      </c>
      <c r="AO12" s="21">
        <v>36</v>
      </c>
      <c r="AP12" s="21">
        <v>37</v>
      </c>
      <c r="AQ12" s="21">
        <f>AP12+1</f>
        <v>38</v>
      </c>
      <c r="AR12" s="21">
        <f t="shared" ref="AR12:DC12" si="0">AQ12+1</f>
        <v>39</v>
      </c>
      <c r="AS12" s="21">
        <f t="shared" si="0"/>
        <v>40</v>
      </c>
      <c r="AT12" s="21">
        <f t="shared" si="0"/>
        <v>41</v>
      </c>
      <c r="AU12" s="21">
        <f t="shared" si="0"/>
        <v>42</v>
      </c>
      <c r="AV12" s="21">
        <f t="shared" si="0"/>
        <v>43</v>
      </c>
      <c r="AW12" s="21">
        <f t="shared" si="0"/>
        <v>44</v>
      </c>
      <c r="AX12" s="21">
        <f t="shared" si="0"/>
        <v>45</v>
      </c>
      <c r="AY12" s="21">
        <f t="shared" si="0"/>
        <v>46</v>
      </c>
      <c r="AZ12" s="21">
        <f t="shared" si="0"/>
        <v>47</v>
      </c>
      <c r="BA12" s="21">
        <f t="shared" si="0"/>
        <v>48</v>
      </c>
      <c r="BB12" s="21">
        <f t="shared" si="0"/>
        <v>49</v>
      </c>
      <c r="BC12" s="21">
        <f t="shared" si="0"/>
        <v>50</v>
      </c>
      <c r="BD12" s="21">
        <f t="shared" si="0"/>
        <v>51</v>
      </c>
      <c r="BE12" s="21">
        <f t="shared" si="0"/>
        <v>52</v>
      </c>
      <c r="BF12" s="21">
        <f t="shared" si="0"/>
        <v>53</v>
      </c>
      <c r="BG12" s="21">
        <f t="shared" si="0"/>
        <v>54</v>
      </c>
      <c r="BH12" s="21">
        <f t="shared" si="0"/>
        <v>55</v>
      </c>
      <c r="BI12" s="21">
        <f t="shared" si="0"/>
        <v>56</v>
      </c>
      <c r="BJ12" s="21">
        <f t="shared" si="0"/>
        <v>57</v>
      </c>
      <c r="BK12" s="21">
        <f t="shared" si="0"/>
        <v>58</v>
      </c>
      <c r="BL12" s="21">
        <f t="shared" si="0"/>
        <v>59</v>
      </c>
      <c r="BM12" s="21">
        <f t="shared" si="0"/>
        <v>60</v>
      </c>
      <c r="BN12" s="21">
        <f t="shared" si="0"/>
        <v>61</v>
      </c>
      <c r="BO12" s="21">
        <f t="shared" si="0"/>
        <v>62</v>
      </c>
      <c r="BP12" s="21">
        <f t="shared" si="0"/>
        <v>63</v>
      </c>
      <c r="BQ12" s="21">
        <f t="shared" si="0"/>
        <v>64</v>
      </c>
      <c r="BR12" s="21">
        <f t="shared" si="0"/>
        <v>65</v>
      </c>
      <c r="BS12" s="21">
        <f t="shared" si="0"/>
        <v>66</v>
      </c>
      <c r="BT12" s="21">
        <f t="shared" si="0"/>
        <v>67</v>
      </c>
      <c r="BU12" s="21">
        <f t="shared" si="0"/>
        <v>68</v>
      </c>
      <c r="BV12" s="21">
        <f t="shared" si="0"/>
        <v>69</v>
      </c>
      <c r="BW12" s="21">
        <f t="shared" si="0"/>
        <v>70</v>
      </c>
      <c r="BX12" s="21">
        <f t="shared" si="0"/>
        <v>71</v>
      </c>
      <c r="BY12" s="21">
        <f t="shared" si="0"/>
        <v>72</v>
      </c>
      <c r="BZ12" s="21">
        <f t="shared" si="0"/>
        <v>73</v>
      </c>
      <c r="CA12" s="21">
        <f t="shared" si="0"/>
        <v>74</v>
      </c>
      <c r="CB12" s="21">
        <f t="shared" si="0"/>
        <v>75</v>
      </c>
      <c r="CC12" s="21">
        <f t="shared" si="0"/>
        <v>76</v>
      </c>
      <c r="CD12" s="21">
        <f t="shared" si="0"/>
        <v>77</v>
      </c>
      <c r="CE12" s="21">
        <f t="shared" si="0"/>
        <v>78</v>
      </c>
      <c r="CF12" s="21">
        <f t="shared" si="0"/>
        <v>79</v>
      </c>
      <c r="CG12" s="21">
        <f t="shared" si="0"/>
        <v>80</v>
      </c>
      <c r="CH12" s="21">
        <f t="shared" si="0"/>
        <v>81</v>
      </c>
      <c r="CI12" s="21">
        <f t="shared" si="0"/>
        <v>82</v>
      </c>
      <c r="CJ12" s="21">
        <f t="shared" si="0"/>
        <v>83</v>
      </c>
      <c r="CK12" s="21">
        <f t="shared" si="0"/>
        <v>84</v>
      </c>
      <c r="CL12" s="21">
        <f t="shared" si="0"/>
        <v>85</v>
      </c>
      <c r="CM12" s="21">
        <f t="shared" si="0"/>
        <v>86</v>
      </c>
      <c r="CN12" s="21">
        <f t="shared" si="0"/>
        <v>87</v>
      </c>
      <c r="CO12" s="21">
        <f t="shared" si="0"/>
        <v>88</v>
      </c>
      <c r="CP12" s="21">
        <f t="shared" si="0"/>
        <v>89</v>
      </c>
      <c r="CQ12" s="21">
        <f t="shared" si="0"/>
        <v>90</v>
      </c>
      <c r="CR12" s="21">
        <f t="shared" si="0"/>
        <v>91</v>
      </c>
      <c r="CS12" s="21">
        <f t="shared" si="0"/>
        <v>92</v>
      </c>
      <c r="CT12" s="21">
        <f t="shared" si="0"/>
        <v>93</v>
      </c>
      <c r="CU12" s="21">
        <f t="shared" si="0"/>
        <v>94</v>
      </c>
      <c r="CV12" s="21">
        <f t="shared" si="0"/>
        <v>95</v>
      </c>
      <c r="CW12" s="21">
        <f t="shared" si="0"/>
        <v>96</v>
      </c>
      <c r="CX12" s="21">
        <f t="shared" si="0"/>
        <v>97</v>
      </c>
      <c r="CY12" s="21">
        <f t="shared" si="0"/>
        <v>98</v>
      </c>
      <c r="CZ12" s="21">
        <f t="shared" si="0"/>
        <v>99</v>
      </c>
      <c r="DA12" s="21">
        <f t="shared" si="0"/>
        <v>100</v>
      </c>
      <c r="DB12" s="21">
        <f t="shared" si="0"/>
        <v>101</v>
      </c>
      <c r="DC12" s="21">
        <f t="shared" si="0"/>
        <v>102</v>
      </c>
      <c r="DD12" s="21">
        <f t="shared" ref="DD12:DU12" si="1">DC12+1</f>
        <v>103</v>
      </c>
      <c r="DE12" s="21">
        <f t="shared" si="1"/>
        <v>104</v>
      </c>
      <c r="DF12" s="21">
        <f t="shared" si="1"/>
        <v>105</v>
      </c>
      <c r="DG12" s="21">
        <f t="shared" si="1"/>
        <v>106</v>
      </c>
      <c r="DH12" s="21">
        <f t="shared" si="1"/>
        <v>107</v>
      </c>
      <c r="DI12" s="21">
        <f t="shared" si="1"/>
        <v>108</v>
      </c>
      <c r="DJ12" s="21">
        <f t="shared" si="1"/>
        <v>109</v>
      </c>
      <c r="DK12" s="21">
        <f t="shared" si="1"/>
        <v>110</v>
      </c>
      <c r="DL12" s="21">
        <f t="shared" si="1"/>
        <v>111</v>
      </c>
      <c r="DM12" s="21">
        <f t="shared" si="1"/>
        <v>112</v>
      </c>
      <c r="DN12" s="21">
        <f t="shared" si="1"/>
        <v>113</v>
      </c>
      <c r="DO12" s="21">
        <f t="shared" si="1"/>
        <v>114</v>
      </c>
      <c r="DP12" s="21">
        <f t="shared" si="1"/>
        <v>115</v>
      </c>
      <c r="DQ12" s="21">
        <f t="shared" si="1"/>
        <v>116</v>
      </c>
      <c r="DR12" s="21">
        <f t="shared" si="1"/>
        <v>117</v>
      </c>
      <c r="DS12" s="21">
        <f t="shared" si="1"/>
        <v>118</v>
      </c>
      <c r="DT12" s="21">
        <f t="shared" si="1"/>
        <v>119</v>
      </c>
      <c r="DU12" s="21">
        <f t="shared" si="1"/>
        <v>120</v>
      </c>
    </row>
    <row r="13" spans="3:125" ht="16">
      <c r="C13" s="22" t="s">
        <v>28</v>
      </c>
      <c r="D13" s="23"/>
      <c r="E13" s="24"/>
    </row>
    <row r="14" spans="3:125" ht="30.5" customHeight="1">
      <c r="C14" s="25" t="s">
        <v>354</v>
      </c>
      <c r="D14" s="26" t="s">
        <v>29</v>
      </c>
      <c r="E14" s="27">
        <v>0.05</v>
      </c>
      <c r="F14" s="28">
        <v>0.05</v>
      </c>
      <c r="G14" s="28">
        <v>0.05</v>
      </c>
      <c r="H14" s="28">
        <v>0.05</v>
      </c>
      <c r="I14" s="28">
        <v>0.05</v>
      </c>
      <c r="J14" s="28">
        <v>0.05</v>
      </c>
      <c r="K14" s="28">
        <v>0.05</v>
      </c>
      <c r="L14" s="28">
        <v>0.05</v>
      </c>
      <c r="M14" s="28">
        <v>0.05</v>
      </c>
      <c r="N14" s="28">
        <v>0.05</v>
      </c>
      <c r="O14" s="28">
        <v>0.05</v>
      </c>
      <c r="P14" s="28">
        <v>0.05</v>
      </c>
      <c r="Q14" s="28">
        <v>0.05</v>
      </c>
      <c r="R14" s="28">
        <v>0.05</v>
      </c>
      <c r="S14" s="28">
        <v>0.05</v>
      </c>
      <c r="T14" s="28">
        <v>0.05</v>
      </c>
      <c r="U14" s="28">
        <v>0.05</v>
      </c>
      <c r="V14" s="28">
        <v>0.05</v>
      </c>
      <c r="W14" s="28">
        <v>0.05</v>
      </c>
      <c r="X14" s="28">
        <v>0.05</v>
      </c>
      <c r="Y14" s="28">
        <v>0.05</v>
      </c>
      <c r="Z14" s="28">
        <v>0.05</v>
      </c>
      <c r="AA14" s="28">
        <v>0.05</v>
      </c>
      <c r="AB14" s="28">
        <v>0.05</v>
      </c>
      <c r="AC14" s="28">
        <v>0.05</v>
      </c>
      <c r="AD14" s="28">
        <v>0.05</v>
      </c>
      <c r="AE14" s="28">
        <v>0.05</v>
      </c>
      <c r="AF14" s="28">
        <v>0.05</v>
      </c>
      <c r="AG14" s="28">
        <v>0.05</v>
      </c>
      <c r="AH14" s="28">
        <v>0.05</v>
      </c>
      <c r="AI14" s="28">
        <v>0.05</v>
      </c>
      <c r="AJ14" s="28">
        <v>0.05</v>
      </c>
      <c r="AK14" s="28">
        <v>0.05</v>
      </c>
      <c r="AL14" s="28">
        <v>0.05</v>
      </c>
      <c r="AM14" s="28">
        <v>0.05</v>
      </c>
      <c r="AN14" s="28">
        <v>0.05</v>
      </c>
      <c r="AO14" s="28">
        <v>0.05</v>
      </c>
      <c r="AP14" s="28">
        <v>0.05</v>
      </c>
      <c r="AQ14" s="28">
        <v>0.05</v>
      </c>
      <c r="AR14" s="28">
        <v>0.05</v>
      </c>
      <c r="AS14" s="28">
        <v>0.05</v>
      </c>
      <c r="AT14" s="28">
        <v>0.05</v>
      </c>
      <c r="AU14" s="28">
        <v>0.05</v>
      </c>
      <c r="AV14" s="28">
        <v>0.05</v>
      </c>
      <c r="AW14" s="28">
        <v>0.05</v>
      </c>
      <c r="AX14" s="28">
        <v>0.05</v>
      </c>
      <c r="AY14" s="28">
        <v>0.05</v>
      </c>
      <c r="AZ14" s="28">
        <v>0.05</v>
      </c>
      <c r="BA14" s="28">
        <v>0.05</v>
      </c>
      <c r="BB14" s="28">
        <v>0.05</v>
      </c>
      <c r="BC14" s="28">
        <v>0.05</v>
      </c>
      <c r="BD14" s="28">
        <v>0.05</v>
      </c>
      <c r="BE14" s="28">
        <v>0.05</v>
      </c>
      <c r="BF14" s="28">
        <v>0.05</v>
      </c>
      <c r="BG14" s="28">
        <v>0.05</v>
      </c>
      <c r="BH14" s="28">
        <v>0.05</v>
      </c>
      <c r="BI14" s="28">
        <v>0.05</v>
      </c>
      <c r="BJ14" s="28">
        <v>0.05</v>
      </c>
      <c r="BK14" s="28">
        <v>0.05</v>
      </c>
      <c r="BL14" s="28">
        <v>0.05</v>
      </c>
      <c r="BM14" s="28">
        <v>0.05</v>
      </c>
      <c r="BN14" s="28">
        <v>0.05</v>
      </c>
      <c r="BO14" s="28">
        <v>0.05</v>
      </c>
      <c r="BP14" s="28">
        <v>0.05</v>
      </c>
      <c r="BQ14" s="28">
        <v>0.05</v>
      </c>
      <c r="BR14" s="28">
        <v>0.05</v>
      </c>
      <c r="BS14" s="28">
        <v>0.05</v>
      </c>
      <c r="BT14" s="28">
        <v>0.05</v>
      </c>
      <c r="BU14" s="28">
        <v>0.05</v>
      </c>
      <c r="BV14" s="28">
        <v>0.05</v>
      </c>
      <c r="BW14" s="28">
        <v>0.05</v>
      </c>
      <c r="BX14" s="28">
        <v>0.05</v>
      </c>
      <c r="BY14" s="28">
        <v>0.05</v>
      </c>
      <c r="BZ14" s="28">
        <v>0.05</v>
      </c>
      <c r="CA14" s="28">
        <v>0.05</v>
      </c>
      <c r="CB14" s="28">
        <v>0.05</v>
      </c>
      <c r="CC14" s="28">
        <v>0.05</v>
      </c>
      <c r="CD14" s="28">
        <v>0.05</v>
      </c>
      <c r="CE14" s="28">
        <v>0.05</v>
      </c>
      <c r="CF14" s="28">
        <v>0.05</v>
      </c>
      <c r="CG14" s="28">
        <v>0.05</v>
      </c>
      <c r="CH14" s="28">
        <v>0.05</v>
      </c>
      <c r="CI14" s="28">
        <v>0.05</v>
      </c>
      <c r="CJ14" s="28">
        <v>0.05</v>
      </c>
      <c r="CK14" s="28">
        <v>0.05</v>
      </c>
      <c r="CL14" s="28">
        <v>0.05</v>
      </c>
      <c r="CM14" s="28">
        <v>0.05</v>
      </c>
      <c r="CN14" s="28">
        <v>0.05</v>
      </c>
      <c r="CO14" s="28">
        <v>0.05</v>
      </c>
      <c r="CP14" s="28">
        <v>0.05</v>
      </c>
      <c r="CQ14" s="28">
        <v>0.05</v>
      </c>
      <c r="CR14" s="28">
        <v>0.05</v>
      </c>
      <c r="CS14" s="28">
        <v>0.05</v>
      </c>
      <c r="CT14" s="28">
        <v>0.05</v>
      </c>
      <c r="CU14" s="28">
        <v>0.05</v>
      </c>
      <c r="CV14" s="28">
        <v>0.05</v>
      </c>
      <c r="CW14" s="28">
        <v>0.05</v>
      </c>
      <c r="CX14" s="28">
        <v>0.05</v>
      </c>
      <c r="CY14" s="28">
        <v>0.05</v>
      </c>
      <c r="CZ14" s="28">
        <v>0.05</v>
      </c>
      <c r="DA14" s="28">
        <v>0.05</v>
      </c>
      <c r="DB14" s="28">
        <v>0.05</v>
      </c>
      <c r="DC14" s="28">
        <v>0.05</v>
      </c>
      <c r="DD14" s="28">
        <v>0.05</v>
      </c>
      <c r="DE14" s="28">
        <v>0.05</v>
      </c>
      <c r="DF14" s="28">
        <v>0.05</v>
      </c>
      <c r="DG14" s="28">
        <v>0.05</v>
      </c>
      <c r="DH14" s="28">
        <v>0.05</v>
      </c>
      <c r="DI14" s="28">
        <v>0.05</v>
      </c>
      <c r="DJ14" s="28">
        <v>0.05</v>
      </c>
      <c r="DK14" s="28">
        <v>0.05</v>
      </c>
      <c r="DL14" s="28">
        <v>0.05</v>
      </c>
      <c r="DM14" s="28">
        <v>0.05</v>
      </c>
      <c r="DN14" s="28">
        <v>0.05</v>
      </c>
      <c r="DO14" s="28">
        <v>0.05</v>
      </c>
      <c r="DP14" s="28">
        <v>0.05</v>
      </c>
      <c r="DQ14" s="28">
        <v>0.05</v>
      </c>
      <c r="DR14" s="28">
        <v>0.05</v>
      </c>
      <c r="DS14" s="28">
        <v>0.05</v>
      </c>
      <c r="DT14" s="28">
        <v>0.05</v>
      </c>
      <c r="DU14" s="28">
        <v>0.05</v>
      </c>
    </row>
    <row r="15" spans="3:125" ht="30.5" customHeight="1">
      <c r="C15" s="25" t="s">
        <v>450</v>
      </c>
      <c r="D15" s="26" t="s">
        <v>29</v>
      </c>
      <c r="E15" s="27">
        <v>2.5000000000000001E-2</v>
      </c>
      <c r="F15" s="28">
        <v>2.0799999999999998E-3</v>
      </c>
      <c r="G15" s="28">
        <v>2.0799999999999998E-3</v>
      </c>
      <c r="H15" s="28">
        <v>2.0799999999999998E-3</v>
      </c>
      <c r="I15" s="28">
        <v>2.0799999999999998E-3</v>
      </c>
      <c r="J15" s="28">
        <v>2.0799999999999998E-3</v>
      </c>
      <c r="K15" s="28">
        <v>2.0799999999999998E-3</v>
      </c>
      <c r="L15" s="28">
        <v>2.0799999999999998E-3</v>
      </c>
      <c r="M15" s="28">
        <v>2.0799999999999998E-3</v>
      </c>
      <c r="N15" s="28">
        <v>2.0799999999999998E-3</v>
      </c>
      <c r="O15" s="28">
        <v>2.0799999999999998E-3</v>
      </c>
      <c r="P15" s="28">
        <v>2.0799999999999998E-3</v>
      </c>
      <c r="Q15" s="28">
        <v>2.0799999999999998E-3</v>
      </c>
      <c r="R15" s="28">
        <v>2.0799999999999998E-3</v>
      </c>
      <c r="S15" s="28">
        <v>2.0799999999999998E-3</v>
      </c>
      <c r="T15" s="28">
        <v>2.0799999999999998E-3</v>
      </c>
      <c r="U15" s="28">
        <v>2.0799999999999998E-3</v>
      </c>
      <c r="V15" s="28">
        <v>2.0799999999999998E-3</v>
      </c>
      <c r="W15" s="28">
        <v>2.0799999999999998E-3</v>
      </c>
      <c r="X15" s="28">
        <v>2.0799999999999998E-3</v>
      </c>
      <c r="Y15" s="28">
        <v>2.0799999999999998E-3</v>
      </c>
      <c r="Z15" s="28">
        <v>2.0799999999999998E-3</v>
      </c>
      <c r="AA15" s="28">
        <v>2.0799999999999998E-3</v>
      </c>
      <c r="AB15" s="28">
        <v>2.0799999999999998E-3</v>
      </c>
      <c r="AC15" s="28">
        <v>2.0799999999999998E-3</v>
      </c>
      <c r="AD15" s="28">
        <v>2.0799999999999998E-3</v>
      </c>
      <c r="AE15" s="28">
        <v>2.0799999999999998E-3</v>
      </c>
      <c r="AF15" s="28">
        <v>2.0799999999999998E-3</v>
      </c>
      <c r="AG15" s="28">
        <v>2.0799999999999998E-3</v>
      </c>
      <c r="AH15" s="28">
        <v>2.0799999999999998E-3</v>
      </c>
      <c r="AI15" s="28">
        <v>2.0799999999999998E-3</v>
      </c>
      <c r="AJ15" s="28">
        <v>2.0799999999999998E-3</v>
      </c>
      <c r="AK15" s="28">
        <v>2.0799999999999998E-3</v>
      </c>
      <c r="AL15" s="28">
        <v>2.0799999999999998E-3</v>
      </c>
      <c r="AM15" s="28">
        <v>2.0799999999999998E-3</v>
      </c>
      <c r="AN15" s="28">
        <v>2.0799999999999998E-3</v>
      </c>
      <c r="AO15" s="28">
        <v>2.0799999999999998E-3</v>
      </c>
      <c r="AP15" s="28">
        <v>2.0799999999999998E-3</v>
      </c>
      <c r="AQ15" s="28">
        <v>2.0799999999999998E-3</v>
      </c>
      <c r="AR15" s="28">
        <v>2.0799999999999998E-3</v>
      </c>
      <c r="AS15" s="28">
        <v>2.0799999999999998E-3</v>
      </c>
      <c r="AT15" s="28">
        <v>2.0799999999999998E-3</v>
      </c>
      <c r="AU15" s="28">
        <v>2.0799999999999998E-3</v>
      </c>
      <c r="AV15" s="28">
        <v>2.0799999999999998E-3</v>
      </c>
      <c r="AW15" s="28">
        <v>2.0799999999999998E-3</v>
      </c>
      <c r="AX15" s="28">
        <v>2.0799999999999998E-3</v>
      </c>
      <c r="AY15" s="28">
        <v>2.0799999999999998E-3</v>
      </c>
      <c r="AZ15" s="28">
        <v>2.0799999999999998E-3</v>
      </c>
      <c r="BA15" s="28">
        <v>2.0799999999999998E-3</v>
      </c>
      <c r="BB15" s="28">
        <v>2.0799999999999998E-3</v>
      </c>
      <c r="BC15" s="28">
        <v>2.0799999999999998E-3</v>
      </c>
      <c r="BD15" s="28">
        <v>2.0799999999999998E-3</v>
      </c>
      <c r="BE15" s="28">
        <v>2.0799999999999998E-3</v>
      </c>
      <c r="BF15" s="28">
        <v>2.0799999999999998E-3</v>
      </c>
      <c r="BG15" s="28">
        <v>2.0799999999999998E-3</v>
      </c>
      <c r="BH15" s="28">
        <v>2.0799999999999998E-3</v>
      </c>
      <c r="BI15" s="28">
        <v>2.0799999999999998E-3</v>
      </c>
      <c r="BJ15" s="28">
        <v>2.0799999999999998E-3</v>
      </c>
      <c r="BK15" s="28">
        <v>2.0799999999999998E-3</v>
      </c>
      <c r="BL15" s="28">
        <v>2.0799999999999998E-3</v>
      </c>
      <c r="BM15" s="28">
        <v>2.0799999999999998E-3</v>
      </c>
      <c r="BN15" s="28">
        <v>2.0799999999999998E-3</v>
      </c>
      <c r="BO15" s="28">
        <v>2.0799999999999998E-3</v>
      </c>
      <c r="BP15" s="28">
        <v>2.0799999999999998E-3</v>
      </c>
      <c r="BQ15" s="28">
        <v>2.0799999999999998E-3</v>
      </c>
      <c r="BR15" s="28">
        <v>2.0799999999999998E-3</v>
      </c>
      <c r="BS15" s="28">
        <v>2.0799999999999998E-3</v>
      </c>
      <c r="BT15" s="28">
        <v>2.0799999999999998E-3</v>
      </c>
      <c r="BU15" s="28">
        <v>2.0799999999999998E-3</v>
      </c>
      <c r="BV15" s="28">
        <v>2.0799999999999998E-3</v>
      </c>
      <c r="BW15" s="28">
        <v>2.0799999999999998E-3</v>
      </c>
      <c r="BX15" s="28">
        <v>2.0799999999999998E-3</v>
      </c>
      <c r="BY15" s="28">
        <v>2.0799999999999998E-3</v>
      </c>
      <c r="BZ15" s="28">
        <v>2.0799999999999998E-3</v>
      </c>
      <c r="CA15" s="28">
        <v>2.0799999999999998E-3</v>
      </c>
      <c r="CB15" s="28">
        <v>2.0799999999999998E-3</v>
      </c>
      <c r="CC15" s="28">
        <v>2.0799999999999998E-3</v>
      </c>
      <c r="CD15" s="28">
        <v>2.0799999999999998E-3</v>
      </c>
      <c r="CE15" s="28">
        <v>2.0799999999999998E-3</v>
      </c>
      <c r="CF15" s="28">
        <v>2.0799999999999998E-3</v>
      </c>
      <c r="CG15" s="28">
        <v>2.0799999999999998E-3</v>
      </c>
      <c r="CH15" s="28">
        <v>2.0799999999999998E-3</v>
      </c>
      <c r="CI15" s="28">
        <v>2.0799999999999998E-3</v>
      </c>
      <c r="CJ15" s="28">
        <v>2.0799999999999998E-3</v>
      </c>
      <c r="CK15" s="28">
        <v>2.0799999999999998E-3</v>
      </c>
      <c r="CL15" s="28">
        <v>2.0799999999999998E-3</v>
      </c>
      <c r="CM15" s="28">
        <v>2.0799999999999998E-3</v>
      </c>
      <c r="CN15" s="28">
        <v>2.0799999999999998E-3</v>
      </c>
      <c r="CO15" s="28">
        <v>2.0799999999999998E-3</v>
      </c>
      <c r="CP15" s="28">
        <v>2.0799999999999998E-3</v>
      </c>
      <c r="CQ15" s="28">
        <v>2.0799999999999998E-3</v>
      </c>
      <c r="CR15" s="28">
        <v>2.0799999999999998E-3</v>
      </c>
      <c r="CS15" s="28">
        <v>2.0799999999999998E-3</v>
      </c>
      <c r="CT15" s="28">
        <v>2.0799999999999998E-3</v>
      </c>
      <c r="CU15" s="28">
        <v>2.0799999999999998E-3</v>
      </c>
      <c r="CV15" s="28">
        <v>2.0799999999999998E-3</v>
      </c>
      <c r="CW15" s="28">
        <v>2.0799999999999998E-3</v>
      </c>
      <c r="CX15" s="28">
        <v>2.0799999999999998E-3</v>
      </c>
      <c r="CY15" s="28">
        <v>2.0799999999999998E-3</v>
      </c>
      <c r="CZ15" s="28">
        <v>2.0799999999999998E-3</v>
      </c>
      <c r="DA15" s="28">
        <v>2.0799999999999998E-3</v>
      </c>
      <c r="DB15" s="28">
        <v>2.0799999999999998E-3</v>
      </c>
      <c r="DC15" s="28">
        <v>2.0799999999999998E-3</v>
      </c>
      <c r="DD15" s="28">
        <v>2.0799999999999998E-3</v>
      </c>
      <c r="DE15" s="28">
        <v>2.0799999999999998E-3</v>
      </c>
      <c r="DF15" s="28">
        <v>2.0799999999999998E-3</v>
      </c>
      <c r="DG15" s="28">
        <v>2.0799999999999998E-3</v>
      </c>
      <c r="DH15" s="28">
        <v>2.0799999999999998E-3</v>
      </c>
      <c r="DI15" s="28">
        <v>2.0799999999999998E-3</v>
      </c>
      <c r="DJ15" s="28">
        <v>2.0799999999999998E-3</v>
      </c>
      <c r="DK15" s="28">
        <v>2.0799999999999998E-3</v>
      </c>
      <c r="DL15" s="28">
        <v>2.0799999999999998E-3</v>
      </c>
      <c r="DM15" s="28">
        <v>2.0799999999999998E-3</v>
      </c>
      <c r="DN15" s="28">
        <v>2.0799999999999998E-3</v>
      </c>
      <c r="DO15" s="28">
        <v>2.0799999999999998E-3</v>
      </c>
      <c r="DP15" s="28">
        <v>2.0799999999999998E-3</v>
      </c>
      <c r="DQ15" s="28">
        <v>2.0799999999999998E-3</v>
      </c>
      <c r="DR15" s="28">
        <v>2.0799999999999998E-3</v>
      </c>
      <c r="DS15" s="28">
        <v>2.0799999999999998E-3</v>
      </c>
      <c r="DT15" s="28">
        <v>2.0799999999999998E-3</v>
      </c>
      <c r="DU15" s="28">
        <v>2.0799999999999998E-3</v>
      </c>
    </row>
    <row r="16" spans="3:125" ht="31">
      <c r="C16" s="29" t="s">
        <v>355</v>
      </c>
      <c r="D16" s="26" t="s">
        <v>29</v>
      </c>
      <c r="E16" s="27">
        <v>0.13</v>
      </c>
      <c r="F16" s="28">
        <v>0.13</v>
      </c>
      <c r="G16" s="28">
        <v>0.13</v>
      </c>
      <c r="H16" s="28">
        <v>0.13</v>
      </c>
      <c r="I16" s="28">
        <v>0.13</v>
      </c>
      <c r="J16" s="28">
        <v>0.13</v>
      </c>
      <c r="K16" s="28">
        <v>0.13</v>
      </c>
      <c r="L16" s="28">
        <v>0.13</v>
      </c>
      <c r="M16" s="28">
        <v>0.13</v>
      </c>
      <c r="N16" s="28">
        <v>0.13</v>
      </c>
      <c r="O16" s="28">
        <v>0.13</v>
      </c>
      <c r="P16" s="28">
        <v>0.13</v>
      </c>
      <c r="Q16" s="28">
        <v>0.13</v>
      </c>
      <c r="R16" s="28">
        <v>0.13</v>
      </c>
      <c r="S16" s="28">
        <v>0.13</v>
      </c>
      <c r="T16" s="28">
        <v>0.13</v>
      </c>
      <c r="U16" s="28">
        <v>0.13</v>
      </c>
      <c r="V16" s="28">
        <v>0.13</v>
      </c>
      <c r="W16" s="28">
        <v>0.13</v>
      </c>
      <c r="X16" s="28">
        <v>0.13</v>
      </c>
      <c r="Y16" s="28">
        <v>0.13</v>
      </c>
      <c r="Z16" s="28">
        <v>0.13</v>
      </c>
      <c r="AA16" s="28">
        <v>0.13</v>
      </c>
      <c r="AB16" s="28">
        <v>0.13</v>
      </c>
      <c r="AC16" s="28">
        <v>0.13</v>
      </c>
      <c r="AD16" s="28">
        <v>0.13</v>
      </c>
      <c r="AE16" s="28">
        <v>0.13</v>
      </c>
      <c r="AF16" s="28">
        <v>0.13</v>
      </c>
      <c r="AG16" s="28">
        <v>0.13</v>
      </c>
      <c r="AH16" s="28">
        <v>0.13</v>
      </c>
      <c r="AI16" s="28">
        <v>0.13</v>
      </c>
      <c r="AJ16" s="28">
        <v>0.13</v>
      </c>
      <c r="AK16" s="28">
        <v>0.13</v>
      </c>
      <c r="AL16" s="28">
        <v>0.13</v>
      </c>
      <c r="AM16" s="28">
        <v>0.13</v>
      </c>
      <c r="AN16" s="28">
        <v>0.13</v>
      </c>
      <c r="AO16" s="28">
        <v>0.13</v>
      </c>
      <c r="AP16" s="28">
        <v>0.13</v>
      </c>
      <c r="AQ16" s="28">
        <v>0.13</v>
      </c>
      <c r="AR16" s="28">
        <v>0.13</v>
      </c>
      <c r="AS16" s="28">
        <v>0.13</v>
      </c>
      <c r="AT16" s="28">
        <v>0.13</v>
      </c>
      <c r="AU16" s="28">
        <v>0.13</v>
      </c>
      <c r="AV16" s="28">
        <v>0.13</v>
      </c>
      <c r="AW16" s="28">
        <v>0.13</v>
      </c>
      <c r="AX16" s="28">
        <v>0.13</v>
      </c>
      <c r="AY16" s="28">
        <v>0.13</v>
      </c>
      <c r="AZ16" s="28">
        <v>0.13</v>
      </c>
      <c r="BA16" s="28">
        <v>0.13</v>
      </c>
      <c r="BB16" s="28">
        <v>0.13</v>
      </c>
      <c r="BC16" s="28">
        <v>0.13</v>
      </c>
      <c r="BD16" s="28">
        <v>0.13</v>
      </c>
      <c r="BE16" s="28">
        <v>0.13</v>
      </c>
      <c r="BF16" s="28">
        <v>0.13</v>
      </c>
      <c r="BG16" s="28">
        <v>0.13</v>
      </c>
      <c r="BH16" s="28">
        <v>0.13</v>
      </c>
      <c r="BI16" s="28">
        <v>0.13</v>
      </c>
      <c r="BJ16" s="28">
        <v>0.13</v>
      </c>
      <c r="BK16" s="28">
        <v>0.13</v>
      </c>
      <c r="BL16" s="28">
        <v>0.13</v>
      </c>
      <c r="BM16" s="28">
        <v>0.13</v>
      </c>
      <c r="BN16" s="28">
        <v>0.13</v>
      </c>
      <c r="BO16" s="28">
        <v>0.13</v>
      </c>
      <c r="BP16" s="28">
        <v>0.13</v>
      </c>
      <c r="BQ16" s="28">
        <v>0.13</v>
      </c>
      <c r="BR16" s="28">
        <v>0.13</v>
      </c>
      <c r="BS16" s="28">
        <v>0.13</v>
      </c>
      <c r="BT16" s="28">
        <v>0.13</v>
      </c>
      <c r="BU16" s="28">
        <v>0.13</v>
      </c>
      <c r="BV16" s="28">
        <v>0.13</v>
      </c>
      <c r="BW16" s="28">
        <v>0.13</v>
      </c>
      <c r="BX16" s="28">
        <v>0.13</v>
      </c>
      <c r="BY16" s="28">
        <v>0.13</v>
      </c>
      <c r="BZ16" s="28">
        <v>0.13</v>
      </c>
      <c r="CA16" s="28">
        <v>0.13</v>
      </c>
      <c r="CB16" s="28">
        <v>0.13</v>
      </c>
      <c r="CC16" s="28">
        <v>0.13</v>
      </c>
      <c r="CD16" s="28">
        <v>0.13</v>
      </c>
      <c r="CE16" s="28">
        <v>0.13</v>
      </c>
      <c r="CF16" s="28">
        <v>0.13</v>
      </c>
      <c r="CG16" s="28">
        <v>0.13</v>
      </c>
      <c r="CH16" s="28">
        <v>0.13</v>
      </c>
      <c r="CI16" s="28">
        <v>0.13</v>
      </c>
      <c r="CJ16" s="28">
        <v>0.13</v>
      </c>
      <c r="CK16" s="28">
        <v>0.13</v>
      </c>
      <c r="CL16" s="28">
        <v>0.13</v>
      </c>
      <c r="CM16" s="28">
        <v>0.13</v>
      </c>
      <c r="CN16" s="28">
        <v>0.13</v>
      </c>
      <c r="CO16" s="28">
        <v>0.13</v>
      </c>
      <c r="CP16" s="28">
        <v>0.13</v>
      </c>
      <c r="CQ16" s="28">
        <v>0.13</v>
      </c>
      <c r="CR16" s="28">
        <v>0.13</v>
      </c>
      <c r="CS16" s="28">
        <v>0.13</v>
      </c>
      <c r="CT16" s="28">
        <v>0.13</v>
      </c>
      <c r="CU16" s="28">
        <v>0.13</v>
      </c>
      <c r="CV16" s="28">
        <v>0.13</v>
      </c>
      <c r="CW16" s="28">
        <v>0.13</v>
      </c>
      <c r="CX16" s="28">
        <v>0.13</v>
      </c>
      <c r="CY16" s="28">
        <v>0.13</v>
      </c>
      <c r="CZ16" s="28">
        <v>0.13</v>
      </c>
      <c r="DA16" s="28">
        <v>0.13</v>
      </c>
      <c r="DB16" s="28">
        <v>0.13</v>
      </c>
      <c r="DC16" s="28">
        <v>0.13</v>
      </c>
      <c r="DD16" s="28">
        <v>0.13</v>
      </c>
      <c r="DE16" s="28">
        <v>0.13</v>
      </c>
      <c r="DF16" s="28">
        <v>0.13</v>
      </c>
      <c r="DG16" s="28">
        <v>0.13</v>
      </c>
      <c r="DH16" s="28">
        <v>0.13</v>
      </c>
      <c r="DI16" s="28">
        <v>0.13</v>
      </c>
      <c r="DJ16" s="28">
        <v>0.13</v>
      </c>
      <c r="DK16" s="28">
        <v>0.13</v>
      </c>
      <c r="DL16" s="28">
        <v>0.13</v>
      </c>
      <c r="DM16" s="28">
        <v>0.13</v>
      </c>
      <c r="DN16" s="28">
        <v>0.13</v>
      </c>
      <c r="DO16" s="28">
        <v>0.13</v>
      </c>
      <c r="DP16" s="28">
        <v>0.13</v>
      </c>
      <c r="DQ16" s="28">
        <v>0.13</v>
      </c>
      <c r="DR16" s="28">
        <v>0.13</v>
      </c>
      <c r="DS16" s="28">
        <v>0.13</v>
      </c>
      <c r="DT16" s="28">
        <v>0.13</v>
      </c>
      <c r="DU16" s="28">
        <v>0.13</v>
      </c>
    </row>
    <row r="17" spans="1:125" ht="16">
      <c r="C17" s="29" t="s">
        <v>353</v>
      </c>
      <c r="D17" s="26" t="s">
        <v>29</v>
      </c>
      <c r="E17" s="27">
        <v>0.18</v>
      </c>
      <c r="F17" s="28">
        <v>0.18</v>
      </c>
      <c r="G17" s="28">
        <v>0.18</v>
      </c>
      <c r="H17" s="28">
        <v>0.18</v>
      </c>
      <c r="I17" s="28">
        <v>0.18</v>
      </c>
      <c r="J17" s="28">
        <v>0.18</v>
      </c>
      <c r="K17" s="28">
        <v>0.18</v>
      </c>
      <c r="L17" s="28">
        <v>0.18</v>
      </c>
      <c r="M17" s="28">
        <v>0.18</v>
      </c>
      <c r="N17" s="28">
        <v>0.18</v>
      </c>
      <c r="O17" s="28">
        <v>0.18</v>
      </c>
      <c r="P17" s="28">
        <v>0.18</v>
      </c>
      <c r="Q17" s="28">
        <v>0.18</v>
      </c>
      <c r="R17" s="28">
        <v>0.18</v>
      </c>
      <c r="S17" s="28">
        <v>0.18</v>
      </c>
      <c r="T17" s="28">
        <v>0.18</v>
      </c>
      <c r="U17" s="28">
        <v>0.18</v>
      </c>
      <c r="V17" s="28">
        <v>0.18</v>
      </c>
      <c r="W17" s="28">
        <v>0.18</v>
      </c>
      <c r="X17" s="28">
        <v>0.18</v>
      </c>
      <c r="Y17" s="28">
        <v>0.18</v>
      </c>
      <c r="Z17" s="28">
        <v>0.18</v>
      </c>
      <c r="AA17" s="28">
        <v>0.18</v>
      </c>
      <c r="AB17" s="28">
        <v>0.18</v>
      </c>
      <c r="AC17" s="28">
        <v>0.18</v>
      </c>
      <c r="AD17" s="28">
        <v>0.18</v>
      </c>
      <c r="AE17" s="28">
        <v>0.18</v>
      </c>
      <c r="AF17" s="28">
        <v>0.18</v>
      </c>
      <c r="AG17" s="28">
        <v>0.18</v>
      </c>
      <c r="AH17" s="28">
        <v>0.18</v>
      </c>
      <c r="AI17" s="28">
        <v>0.18</v>
      </c>
      <c r="AJ17" s="28">
        <v>0.18</v>
      </c>
      <c r="AK17" s="28">
        <v>0.18</v>
      </c>
      <c r="AL17" s="28">
        <v>0.18</v>
      </c>
      <c r="AM17" s="28">
        <v>0.18</v>
      </c>
      <c r="AN17" s="28">
        <v>0.18</v>
      </c>
      <c r="AO17" s="28">
        <v>0.18</v>
      </c>
      <c r="AP17" s="28">
        <v>0.18</v>
      </c>
      <c r="AQ17" s="28">
        <v>0.18</v>
      </c>
      <c r="AR17" s="28">
        <v>0.18</v>
      </c>
      <c r="AS17" s="28">
        <v>0.18</v>
      </c>
      <c r="AT17" s="28">
        <v>0.18</v>
      </c>
      <c r="AU17" s="28">
        <v>0.18</v>
      </c>
      <c r="AV17" s="28">
        <v>0.18</v>
      </c>
      <c r="AW17" s="28">
        <v>0.18</v>
      </c>
      <c r="AX17" s="28">
        <v>0.18</v>
      </c>
      <c r="AY17" s="28">
        <v>0.18</v>
      </c>
      <c r="AZ17" s="28">
        <v>0.18</v>
      </c>
      <c r="BA17" s="28">
        <v>0.18</v>
      </c>
      <c r="BB17" s="28">
        <v>0.18</v>
      </c>
      <c r="BC17" s="28">
        <v>0.18</v>
      </c>
      <c r="BD17" s="28">
        <v>0.18</v>
      </c>
      <c r="BE17" s="28">
        <v>0.18</v>
      </c>
      <c r="BF17" s="28">
        <v>0.18</v>
      </c>
      <c r="BG17" s="28">
        <v>0.18</v>
      </c>
      <c r="BH17" s="28">
        <v>0.18</v>
      </c>
      <c r="BI17" s="28">
        <v>0.18</v>
      </c>
      <c r="BJ17" s="28">
        <v>0.18</v>
      </c>
      <c r="BK17" s="28">
        <v>0.18</v>
      </c>
      <c r="BL17" s="28">
        <v>0.18</v>
      </c>
      <c r="BM17" s="28">
        <v>0.18</v>
      </c>
      <c r="BN17" s="28">
        <v>0.18</v>
      </c>
      <c r="BO17" s="28">
        <v>0.18</v>
      </c>
      <c r="BP17" s="28">
        <v>0.18</v>
      </c>
      <c r="BQ17" s="28">
        <v>0.18</v>
      </c>
      <c r="BR17" s="28">
        <v>0.18</v>
      </c>
      <c r="BS17" s="28">
        <v>0.18</v>
      </c>
      <c r="BT17" s="28">
        <v>0.18</v>
      </c>
      <c r="BU17" s="28">
        <v>0.18</v>
      </c>
      <c r="BV17" s="28">
        <v>0.18</v>
      </c>
      <c r="BW17" s="28">
        <v>0.18</v>
      </c>
      <c r="BX17" s="28">
        <v>0.18</v>
      </c>
      <c r="BY17" s="28">
        <v>0.18</v>
      </c>
      <c r="BZ17" s="28">
        <v>0.18</v>
      </c>
      <c r="CA17" s="28">
        <v>0.18</v>
      </c>
      <c r="CB17" s="28">
        <v>0.18</v>
      </c>
      <c r="CC17" s="28">
        <v>0.18</v>
      </c>
      <c r="CD17" s="28">
        <v>0.18</v>
      </c>
      <c r="CE17" s="28">
        <v>0.18</v>
      </c>
      <c r="CF17" s="28">
        <v>0.18</v>
      </c>
      <c r="CG17" s="28">
        <v>0.18</v>
      </c>
      <c r="CH17" s="28">
        <v>0.18</v>
      </c>
      <c r="CI17" s="28">
        <v>0.18</v>
      </c>
      <c r="CJ17" s="28">
        <v>0.18</v>
      </c>
      <c r="CK17" s="28">
        <v>0.18</v>
      </c>
      <c r="CL17" s="28">
        <v>0.18</v>
      </c>
      <c r="CM17" s="28">
        <v>0.18</v>
      </c>
      <c r="CN17" s="28">
        <v>0.18</v>
      </c>
      <c r="CO17" s="28">
        <v>0.18</v>
      </c>
      <c r="CP17" s="28">
        <v>0.18</v>
      </c>
      <c r="CQ17" s="28">
        <v>0.18</v>
      </c>
      <c r="CR17" s="28">
        <v>0.18</v>
      </c>
      <c r="CS17" s="28">
        <v>0.18</v>
      </c>
      <c r="CT17" s="28">
        <v>0.18</v>
      </c>
      <c r="CU17" s="28">
        <v>0.18</v>
      </c>
      <c r="CV17" s="28">
        <v>0.18</v>
      </c>
      <c r="CW17" s="28">
        <v>0.18</v>
      </c>
      <c r="CX17" s="28">
        <v>0.18</v>
      </c>
      <c r="CY17" s="28">
        <v>0.18</v>
      </c>
      <c r="CZ17" s="28">
        <v>0.18</v>
      </c>
      <c r="DA17" s="28">
        <v>0.18</v>
      </c>
      <c r="DB17" s="28">
        <v>0.18</v>
      </c>
      <c r="DC17" s="28">
        <v>0.18</v>
      </c>
      <c r="DD17" s="28">
        <v>0.18</v>
      </c>
      <c r="DE17" s="28">
        <v>0.18</v>
      </c>
      <c r="DF17" s="28">
        <v>0.18</v>
      </c>
      <c r="DG17" s="28">
        <v>0.18</v>
      </c>
      <c r="DH17" s="28">
        <v>0.18</v>
      </c>
      <c r="DI17" s="28">
        <v>0.18</v>
      </c>
      <c r="DJ17" s="28">
        <v>0.18</v>
      </c>
      <c r="DK17" s="28">
        <v>0.18</v>
      </c>
      <c r="DL17" s="28">
        <v>0.18</v>
      </c>
      <c r="DM17" s="28">
        <v>0.18</v>
      </c>
      <c r="DN17" s="28">
        <v>0.18</v>
      </c>
      <c r="DO17" s="28">
        <v>0.18</v>
      </c>
      <c r="DP17" s="28">
        <v>0.18</v>
      </c>
      <c r="DQ17" s="28">
        <v>0.18</v>
      </c>
      <c r="DR17" s="28">
        <v>0.18</v>
      </c>
      <c r="DS17" s="28">
        <v>0.18</v>
      </c>
      <c r="DT17" s="28">
        <v>0.18</v>
      </c>
      <c r="DU17" s="28">
        <v>0.18</v>
      </c>
    </row>
    <row r="18" spans="1:125">
      <c r="C18" s="30" t="s">
        <v>30</v>
      </c>
      <c r="D18" s="31">
        <v>7.6</v>
      </c>
      <c r="E18" s="32">
        <v>7.6</v>
      </c>
      <c r="F18" s="33">
        <v>7.6</v>
      </c>
      <c r="G18" s="33">
        <v>7.6</v>
      </c>
      <c r="H18" s="33">
        <v>7.6</v>
      </c>
      <c r="I18" s="33">
        <v>7.6</v>
      </c>
      <c r="J18" s="33">
        <v>7.6</v>
      </c>
      <c r="K18" s="33">
        <v>7.6</v>
      </c>
      <c r="L18" s="33">
        <v>7.6</v>
      </c>
      <c r="M18" s="33">
        <v>7.6</v>
      </c>
      <c r="N18" s="33">
        <v>7.6</v>
      </c>
      <c r="O18" s="33">
        <v>7.6</v>
      </c>
      <c r="P18" s="33">
        <v>7.6</v>
      </c>
      <c r="Q18" s="33">
        <v>7.6</v>
      </c>
      <c r="R18" s="33">
        <v>7.6</v>
      </c>
      <c r="S18" s="33">
        <v>7.6</v>
      </c>
      <c r="T18" s="33">
        <v>7.6</v>
      </c>
      <c r="U18" s="33">
        <v>7.6</v>
      </c>
      <c r="V18" s="33">
        <v>7.6</v>
      </c>
      <c r="W18" s="33">
        <v>7.6</v>
      </c>
      <c r="X18" s="33">
        <v>7.6</v>
      </c>
      <c r="Y18" s="33">
        <v>7.6</v>
      </c>
      <c r="Z18" s="33">
        <v>7.6</v>
      </c>
      <c r="AA18" s="33">
        <v>7.6</v>
      </c>
      <c r="AB18" s="33">
        <v>7.6</v>
      </c>
      <c r="AC18" s="33">
        <v>7.6</v>
      </c>
      <c r="AD18" s="33">
        <v>7.6</v>
      </c>
      <c r="AE18" s="33">
        <v>7.6</v>
      </c>
      <c r="AF18" s="33">
        <v>7.6</v>
      </c>
      <c r="AG18" s="33">
        <v>7.6</v>
      </c>
      <c r="AH18" s="33">
        <v>7.6</v>
      </c>
      <c r="AI18" s="33">
        <v>7.6</v>
      </c>
      <c r="AJ18" s="33">
        <v>7.6</v>
      </c>
      <c r="AK18" s="33">
        <v>7.6</v>
      </c>
      <c r="AL18" s="33">
        <v>7.6</v>
      </c>
      <c r="AM18" s="33">
        <v>7.6</v>
      </c>
      <c r="AN18" s="33">
        <v>7.6</v>
      </c>
      <c r="AO18" s="33">
        <v>7.6</v>
      </c>
      <c r="AP18" s="33">
        <v>7.6</v>
      </c>
      <c r="AQ18" s="33">
        <v>7.6</v>
      </c>
      <c r="AR18" s="33">
        <v>7.6</v>
      </c>
      <c r="AS18" s="33">
        <v>7.6</v>
      </c>
      <c r="AT18" s="33">
        <v>7.6</v>
      </c>
      <c r="AU18" s="33">
        <v>7.6</v>
      </c>
      <c r="AV18" s="33">
        <v>7.6</v>
      </c>
      <c r="AW18" s="33">
        <v>7.6</v>
      </c>
      <c r="AX18" s="33">
        <v>7.6</v>
      </c>
      <c r="AY18" s="33">
        <v>7.6</v>
      </c>
      <c r="AZ18" s="33">
        <v>7.6</v>
      </c>
      <c r="BA18" s="33">
        <v>7.6</v>
      </c>
      <c r="BB18" s="33">
        <v>7.6</v>
      </c>
      <c r="BC18" s="33">
        <v>7.6</v>
      </c>
      <c r="BD18" s="33">
        <v>7.6</v>
      </c>
      <c r="BE18" s="33">
        <v>7.6</v>
      </c>
      <c r="BF18" s="33">
        <v>7.6</v>
      </c>
      <c r="BG18" s="33">
        <v>7.6</v>
      </c>
      <c r="BH18" s="33">
        <v>7.6</v>
      </c>
      <c r="BI18" s="33">
        <v>7.6</v>
      </c>
      <c r="BJ18" s="33">
        <v>7.6</v>
      </c>
      <c r="BK18" s="33">
        <v>7.6</v>
      </c>
      <c r="BL18" s="33">
        <v>7.6</v>
      </c>
      <c r="BM18" s="33">
        <v>7.6</v>
      </c>
      <c r="BN18" s="33">
        <v>7.6</v>
      </c>
      <c r="BO18" s="33">
        <v>7.6</v>
      </c>
      <c r="BP18" s="33">
        <v>7.6</v>
      </c>
      <c r="BQ18" s="33">
        <v>7.6</v>
      </c>
      <c r="BR18" s="33">
        <v>7.6</v>
      </c>
      <c r="BS18" s="33">
        <v>7.6</v>
      </c>
      <c r="BT18" s="33">
        <v>7.6</v>
      </c>
      <c r="BU18" s="33">
        <v>7.6</v>
      </c>
      <c r="BV18" s="33">
        <v>7.6</v>
      </c>
      <c r="BW18" s="33">
        <v>7.6</v>
      </c>
      <c r="BX18" s="33">
        <v>7.6</v>
      </c>
      <c r="BY18" s="33">
        <v>7.6</v>
      </c>
      <c r="BZ18" s="33">
        <v>7.6</v>
      </c>
      <c r="CA18" s="33">
        <v>7.6</v>
      </c>
      <c r="CB18" s="33">
        <v>7.6</v>
      </c>
      <c r="CC18" s="33">
        <v>7.6</v>
      </c>
      <c r="CD18" s="33">
        <v>7.6</v>
      </c>
      <c r="CE18" s="33">
        <v>7.6</v>
      </c>
      <c r="CF18" s="33">
        <v>7.6</v>
      </c>
      <c r="CG18" s="33">
        <v>7.6</v>
      </c>
      <c r="CH18" s="33">
        <v>7.6</v>
      </c>
      <c r="CI18" s="33">
        <v>7.6</v>
      </c>
      <c r="CJ18" s="33">
        <v>7.6</v>
      </c>
      <c r="CK18" s="33">
        <v>7.6</v>
      </c>
      <c r="CL18" s="33">
        <v>7.6</v>
      </c>
      <c r="CM18" s="33">
        <v>7.6</v>
      </c>
      <c r="CN18" s="33">
        <v>7.6</v>
      </c>
      <c r="CO18" s="33">
        <v>7.6</v>
      </c>
      <c r="CP18" s="33">
        <v>7.6</v>
      </c>
      <c r="CQ18" s="33">
        <v>7.6</v>
      </c>
      <c r="CR18" s="33">
        <v>7.6</v>
      </c>
      <c r="CS18" s="33">
        <v>7.6</v>
      </c>
      <c r="CT18" s="33">
        <v>7.6</v>
      </c>
      <c r="CU18" s="33">
        <v>7.6</v>
      </c>
      <c r="CV18" s="33">
        <v>7.6</v>
      </c>
      <c r="CW18" s="33">
        <v>7.6</v>
      </c>
      <c r="CX18" s="33">
        <v>7.6</v>
      </c>
      <c r="CY18" s="33">
        <v>7.6</v>
      </c>
      <c r="CZ18" s="33">
        <v>7.6</v>
      </c>
      <c r="DA18" s="33">
        <v>7.6</v>
      </c>
      <c r="DB18" s="33">
        <v>7.6</v>
      </c>
      <c r="DC18" s="33">
        <v>7.6</v>
      </c>
      <c r="DD18" s="33">
        <v>7.6</v>
      </c>
      <c r="DE18" s="33">
        <v>7.6</v>
      </c>
      <c r="DF18" s="33">
        <v>7.6</v>
      </c>
      <c r="DG18" s="33">
        <v>7.6</v>
      </c>
      <c r="DH18" s="33">
        <v>7.6</v>
      </c>
      <c r="DI18" s="33">
        <v>7.6</v>
      </c>
      <c r="DJ18" s="33">
        <v>7.6</v>
      </c>
      <c r="DK18" s="33">
        <v>7.6</v>
      </c>
      <c r="DL18" s="33">
        <v>7.6</v>
      </c>
      <c r="DM18" s="33">
        <v>7.6</v>
      </c>
      <c r="DN18" s="33">
        <v>7.6</v>
      </c>
      <c r="DO18" s="33">
        <v>7.6</v>
      </c>
      <c r="DP18" s="33">
        <v>7.6</v>
      </c>
      <c r="DQ18" s="33">
        <v>7.6</v>
      </c>
      <c r="DR18" s="33">
        <v>7.6</v>
      </c>
      <c r="DS18" s="33">
        <v>7.6</v>
      </c>
      <c r="DT18" s="33">
        <v>7.6</v>
      </c>
      <c r="DU18" s="33">
        <v>7.6</v>
      </c>
    </row>
    <row r="19" spans="1:125" ht="16">
      <c r="C19" s="34" t="s">
        <v>31</v>
      </c>
      <c r="D19" s="35" t="s">
        <v>29</v>
      </c>
      <c r="E19" s="36">
        <v>0.06</v>
      </c>
      <c r="F19" s="37">
        <v>0.06</v>
      </c>
      <c r="G19" s="37">
        <v>0.06</v>
      </c>
      <c r="H19" s="37">
        <v>0.06</v>
      </c>
      <c r="I19" s="37">
        <v>0.06</v>
      </c>
      <c r="J19" s="37">
        <v>0.06</v>
      </c>
      <c r="K19" s="37">
        <v>0.06</v>
      </c>
      <c r="L19" s="37">
        <v>0.06</v>
      </c>
      <c r="M19" s="37">
        <v>0.06</v>
      </c>
      <c r="N19" s="37">
        <v>0.06</v>
      </c>
      <c r="O19" s="37">
        <v>0.06</v>
      </c>
      <c r="P19" s="37">
        <v>0.06</v>
      </c>
      <c r="Q19" s="37">
        <v>0.06</v>
      </c>
      <c r="R19" s="37">
        <v>0.06</v>
      </c>
      <c r="S19" s="37">
        <v>0.06</v>
      </c>
      <c r="T19" s="37">
        <v>0.06</v>
      </c>
      <c r="U19" s="37">
        <v>0.06</v>
      </c>
      <c r="V19" s="37">
        <v>0.06</v>
      </c>
      <c r="W19" s="37">
        <v>0.06</v>
      </c>
      <c r="X19" s="37">
        <v>0.06</v>
      </c>
      <c r="Y19" s="37">
        <v>0.06</v>
      </c>
      <c r="Z19" s="37">
        <v>0.06</v>
      </c>
      <c r="AA19" s="37">
        <v>0.06</v>
      </c>
      <c r="AB19" s="37">
        <v>0.06</v>
      </c>
      <c r="AC19" s="37">
        <v>0.06</v>
      </c>
      <c r="AD19" s="37">
        <v>0.06</v>
      </c>
      <c r="AE19" s="37">
        <v>0.06</v>
      </c>
      <c r="AF19" s="37">
        <v>0.06</v>
      </c>
      <c r="AG19" s="37">
        <v>0.06</v>
      </c>
      <c r="AH19" s="37">
        <v>0.06</v>
      </c>
      <c r="AI19" s="37">
        <v>0.06</v>
      </c>
      <c r="AJ19" s="37">
        <v>0.06</v>
      </c>
      <c r="AK19" s="37">
        <v>0.06</v>
      </c>
      <c r="AL19" s="37">
        <v>0.06</v>
      </c>
      <c r="AM19" s="37">
        <v>0.06</v>
      </c>
      <c r="AN19" s="37">
        <v>0.06</v>
      </c>
      <c r="AO19" s="37">
        <v>0.06</v>
      </c>
      <c r="AP19" s="37">
        <v>0.06</v>
      </c>
      <c r="AQ19" s="37">
        <v>0.06</v>
      </c>
      <c r="AR19" s="37">
        <v>0.06</v>
      </c>
      <c r="AS19" s="37">
        <v>0.06</v>
      </c>
      <c r="AT19" s="37">
        <v>0.06</v>
      </c>
      <c r="AU19" s="37">
        <v>0.06</v>
      </c>
      <c r="AV19" s="37">
        <v>0.06</v>
      </c>
      <c r="AW19" s="37">
        <v>0.06</v>
      </c>
      <c r="AX19" s="37">
        <v>0.06</v>
      </c>
      <c r="AY19" s="37">
        <v>0.06</v>
      </c>
      <c r="AZ19" s="37">
        <v>0.06</v>
      </c>
      <c r="BA19" s="37">
        <v>0.06</v>
      </c>
      <c r="BB19" s="37">
        <v>0.06</v>
      </c>
      <c r="BC19" s="37">
        <v>0.06</v>
      </c>
      <c r="BD19" s="37">
        <v>0.06</v>
      </c>
      <c r="BE19" s="37">
        <v>0.06</v>
      </c>
      <c r="BF19" s="37">
        <v>0.06</v>
      </c>
      <c r="BG19" s="37">
        <v>0.06</v>
      </c>
      <c r="BH19" s="37">
        <v>0.06</v>
      </c>
      <c r="BI19" s="37">
        <v>0.06</v>
      </c>
      <c r="BJ19" s="37">
        <v>0.06</v>
      </c>
      <c r="BK19" s="37">
        <v>0.06</v>
      </c>
      <c r="BL19" s="37">
        <v>0.06</v>
      </c>
      <c r="BM19" s="37">
        <v>0.06</v>
      </c>
      <c r="BN19" s="37">
        <v>0.06</v>
      </c>
      <c r="BO19" s="37">
        <v>0.06</v>
      </c>
      <c r="BP19" s="37">
        <v>0.06</v>
      </c>
      <c r="BQ19" s="37">
        <v>0.06</v>
      </c>
      <c r="BR19" s="37">
        <v>0.06</v>
      </c>
      <c r="BS19" s="37">
        <v>0.06</v>
      </c>
      <c r="BT19" s="37">
        <v>0.06</v>
      </c>
      <c r="BU19" s="37">
        <v>0.06</v>
      </c>
      <c r="BV19" s="37">
        <v>0.06</v>
      </c>
      <c r="BW19" s="37">
        <v>0.06</v>
      </c>
      <c r="BX19" s="37">
        <v>0.06</v>
      </c>
      <c r="BY19" s="37">
        <v>0.06</v>
      </c>
      <c r="BZ19" s="37">
        <v>0.06</v>
      </c>
      <c r="CA19" s="37">
        <v>0.06</v>
      </c>
      <c r="CB19" s="37">
        <v>0.06</v>
      </c>
      <c r="CC19" s="37">
        <v>0.06</v>
      </c>
      <c r="CD19" s="37">
        <v>0.06</v>
      </c>
      <c r="CE19" s="37">
        <v>0.06</v>
      </c>
      <c r="CF19" s="37">
        <v>0.06</v>
      </c>
      <c r="CG19" s="37">
        <v>0.06</v>
      </c>
      <c r="CH19" s="37">
        <v>0.06</v>
      </c>
      <c r="CI19" s="37">
        <v>0.06</v>
      </c>
      <c r="CJ19" s="37">
        <v>0.06</v>
      </c>
      <c r="CK19" s="37">
        <v>0.06</v>
      </c>
      <c r="CL19" s="37">
        <v>0.06</v>
      </c>
      <c r="CM19" s="37">
        <v>0.06</v>
      </c>
      <c r="CN19" s="37">
        <v>0.06</v>
      </c>
      <c r="CO19" s="37">
        <v>0.06</v>
      </c>
      <c r="CP19" s="37">
        <v>0.06</v>
      </c>
      <c r="CQ19" s="37">
        <v>0.06</v>
      </c>
      <c r="CR19" s="37">
        <v>0.06</v>
      </c>
      <c r="CS19" s="37">
        <v>0.06</v>
      </c>
      <c r="CT19" s="37">
        <v>0.06</v>
      </c>
      <c r="CU19" s="37">
        <v>0.06</v>
      </c>
      <c r="CV19" s="37">
        <v>0.06</v>
      </c>
      <c r="CW19" s="37">
        <v>0.06</v>
      </c>
      <c r="CX19" s="37">
        <v>0.06</v>
      </c>
      <c r="CY19" s="37">
        <v>0.06</v>
      </c>
      <c r="CZ19" s="37">
        <v>0.06</v>
      </c>
      <c r="DA19" s="37">
        <v>0.06</v>
      </c>
      <c r="DB19" s="37">
        <v>0.06</v>
      </c>
      <c r="DC19" s="37">
        <v>0.06</v>
      </c>
      <c r="DD19" s="37">
        <v>0.06</v>
      </c>
      <c r="DE19" s="37">
        <v>0.06</v>
      </c>
      <c r="DF19" s="37">
        <v>0.06</v>
      </c>
      <c r="DG19" s="37">
        <v>0.06</v>
      </c>
      <c r="DH19" s="37">
        <v>0.06</v>
      </c>
      <c r="DI19" s="37">
        <v>0.06</v>
      </c>
      <c r="DJ19" s="37">
        <v>0.06</v>
      </c>
      <c r="DK19" s="37">
        <v>0.06</v>
      </c>
      <c r="DL19" s="37">
        <v>0.06</v>
      </c>
      <c r="DM19" s="37">
        <v>0.06</v>
      </c>
      <c r="DN19" s="37">
        <v>0.06</v>
      </c>
      <c r="DO19" s="37">
        <v>0.06</v>
      </c>
      <c r="DP19" s="37">
        <v>0.06</v>
      </c>
      <c r="DQ19" s="37">
        <v>0.06</v>
      </c>
      <c r="DR19" s="37">
        <v>0.06</v>
      </c>
      <c r="DS19" s="37">
        <v>0.06</v>
      </c>
      <c r="DT19" s="37">
        <v>0.06</v>
      </c>
      <c r="DU19" s="37">
        <v>0.06</v>
      </c>
    </row>
    <row r="20" spans="1:125">
      <c r="C20" s="38" t="s">
        <v>32</v>
      </c>
      <c r="D20" s="35" t="s">
        <v>29</v>
      </c>
      <c r="E20" s="36">
        <v>1.4999999999999999E-2</v>
      </c>
      <c r="F20" s="37">
        <v>1.4999999999999999E-2</v>
      </c>
      <c r="G20" s="37">
        <v>1.4999999999999999E-2</v>
      </c>
      <c r="H20" s="37">
        <v>1.4999999999999999E-2</v>
      </c>
      <c r="I20" s="37">
        <v>1.4999999999999999E-2</v>
      </c>
      <c r="J20" s="37">
        <v>1.4999999999999999E-2</v>
      </c>
      <c r="K20" s="37">
        <v>1.4999999999999999E-2</v>
      </c>
      <c r="L20" s="37">
        <v>1.4999999999999999E-2</v>
      </c>
      <c r="M20" s="37">
        <v>1.4999999999999999E-2</v>
      </c>
      <c r="N20" s="37">
        <v>1.4999999999999999E-2</v>
      </c>
      <c r="O20" s="37">
        <v>1.4999999999999999E-2</v>
      </c>
      <c r="P20" s="37">
        <v>1.4999999999999999E-2</v>
      </c>
      <c r="Q20" s="37">
        <v>1.4999999999999999E-2</v>
      </c>
      <c r="R20" s="37">
        <v>1.4999999999999999E-2</v>
      </c>
      <c r="S20" s="37">
        <v>1.4999999999999999E-2</v>
      </c>
      <c r="T20" s="37">
        <v>1.4999999999999999E-2</v>
      </c>
      <c r="U20" s="37">
        <v>1.4999999999999999E-2</v>
      </c>
      <c r="V20" s="37">
        <v>1.4999999999999999E-2</v>
      </c>
      <c r="W20" s="37">
        <v>1.4999999999999999E-2</v>
      </c>
      <c r="X20" s="37">
        <v>1.4999999999999999E-2</v>
      </c>
      <c r="Y20" s="37">
        <v>1.4999999999999999E-2</v>
      </c>
      <c r="Z20" s="37">
        <v>1.4999999999999999E-2</v>
      </c>
      <c r="AA20" s="37">
        <v>1.4999999999999999E-2</v>
      </c>
      <c r="AB20" s="37">
        <v>1.4999999999999999E-2</v>
      </c>
      <c r="AC20" s="37">
        <v>1.4999999999999999E-2</v>
      </c>
      <c r="AD20" s="37">
        <v>1.4999999999999999E-2</v>
      </c>
      <c r="AE20" s="37">
        <v>1.4999999999999999E-2</v>
      </c>
      <c r="AF20" s="37">
        <v>1.4999999999999999E-2</v>
      </c>
      <c r="AG20" s="37">
        <v>1.4999999999999999E-2</v>
      </c>
      <c r="AH20" s="37">
        <v>1.4999999999999999E-2</v>
      </c>
      <c r="AI20" s="37">
        <v>1.4999999999999999E-2</v>
      </c>
      <c r="AJ20" s="37">
        <v>1.4999999999999999E-2</v>
      </c>
      <c r="AK20" s="37">
        <v>1.4999999999999999E-2</v>
      </c>
      <c r="AL20" s="37">
        <v>1.4999999999999999E-2</v>
      </c>
      <c r="AM20" s="37">
        <v>1.4999999999999999E-2</v>
      </c>
      <c r="AN20" s="37">
        <v>1.4999999999999999E-2</v>
      </c>
      <c r="AO20" s="37">
        <v>1.4999999999999999E-2</v>
      </c>
      <c r="AP20" s="37">
        <v>1.4999999999999999E-2</v>
      </c>
      <c r="AQ20" s="37">
        <v>1.4999999999999999E-2</v>
      </c>
      <c r="AR20" s="37">
        <v>1.4999999999999999E-2</v>
      </c>
      <c r="AS20" s="37">
        <v>1.4999999999999999E-2</v>
      </c>
      <c r="AT20" s="37">
        <v>1.4999999999999999E-2</v>
      </c>
      <c r="AU20" s="37">
        <v>1.4999999999999999E-2</v>
      </c>
      <c r="AV20" s="37">
        <v>1.4999999999999999E-2</v>
      </c>
      <c r="AW20" s="37">
        <v>1.4999999999999999E-2</v>
      </c>
      <c r="AX20" s="37">
        <v>1.4999999999999999E-2</v>
      </c>
      <c r="AY20" s="37">
        <v>1.4999999999999999E-2</v>
      </c>
      <c r="AZ20" s="37">
        <v>1.4999999999999999E-2</v>
      </c>
      <c r="BA20" s="37">
        <v>1.4999999999999999E-2</v>
      </c>
      <c r="BB20" s="37">
        <v>1.4999999999999999E-2</v>
      </c>
      <c r="BC20" s="37">
        <v>1.4999999999999999E-2</v>
      </c>
      <c r="BD20" s="37">
        <v>1.4999999999999999E-2</v>
      </c>
      <c r="BE20" s="37">
        <v>1.4999999999999999E-2</v>
      </c>
      <c r="BF20" s="37">
        <v>1.4999999999999999E-2</v>
      </c>
      <c r="BG20" s="37">
        <v>1.4999999999999999E-2</v>
      </c>
      <c r="BH20" s="37">
        <v>1.4999999999999999E-2</v>
      </c>
      <c r="BI20" s="37">
        <v>1.4999999999999999E-2</v>
      </c>
      <c r="BJ20" s="37">
        <v>1.4999999999999999E-2</v>
      </c>
      <c r="BK20" s="37">
        <v>1.4999999999999999E-2</v>
      </c>
      <c r="BL20" s="37">
        <v>1.4999999999999999E-2</v>
      </c>
      <c r="BM20" s="37">
        <v>1.4999999999999999E-2</v>
      </c>
      <c r="BN20" s="37">
        <v>1.4999999999999999E-2</v>
      </c>
      <c r="BO20" s="37">
        <v>1.4999999999999999E-2</v>
      </c>
      <c r="BP20" s="37">
        <v>1.4999999999999999E-2</v>
      </c>
      <c r="BQ20" s="37">
        <v>1.4999999999999999E-2</v>
      </c>
      <c r="BR20" s="37">
        <v>1.4999999999999999E-2</v>
      </c>
      <c r="BS20" s="37">
        <v>1.4999999999999999E-2</v>
      </c>
      <c r="BT20" s="37">
        <v>1.4999999999999999E-2</v>
      </c>
      <c r="BU20" s="37">
        <v>1.4999999999999999E-2</v>
      </c>
      <c r="BV20" s="37">
        <v>1.4999999999999999E-2</v>
      </c>
      <c r="BW20" s="37">
        <v>1.4999999999999999E-2</v>
      </c>
      <c r="BX20" s="37">
        <v>1.4999999999999999E-2</v>
      </c>
      <c r="BY20" s="37">
        <v>1.4999999999999999E-2</v>
      </c>
      <c r="BZ20" s="37">
        <v>1.4999999999999999E-2</v>
      </c>
      <c r="CA20" s="37">
        <v>1.4999999999999999E-2</v>
      </c>
      <c r="CB20" s="37">
        <v>1.4999999999999999E-2</v>
      </c>
      <c r="CC20" s="37">
        <v>1.4999999999999999E-2</v>
      </c>
      <c r="CD20" s="37">
        <v>1.4999999999999999E-2</v>
      </c>
      <c r="CE20" s="37">
        <v>1.4999999999999999E-2</v>
      </c>
      <c r="CF20" s="37">
        <v>1.4999999999999999E-2</v>
      </c>
      <c r="CG20" s="37">
        <v>1.4999999999999999E-2</v>
      </c>
      <c r="CH20" s="37">
        <v>1.4999999999999999E-2</v>
      </c>
      <c r="CI20" s="37">
        <v>1.4999999999999999E-2</v>
      </c>
      <c r="CJ20" s="37">
        <v>1.4999999999999999E-2</v>
      </c>
      <c r="CK20" s="37">
        <v>1.4999999999999999E-2</v>
      </c>
      <c r="CL20" s="37">
        <v>1.4999999999999999E-2</v>
      </c>
      <c r="CM20" s="37">
        <v>1.4999999999999999E-2</v>
      </c>
      <c r="CN20" s="37">
        <v>1.4999999999999999E-2</v>
      </c>
      <c r="CO20" s="37">
        <v>1.4999999999999999E-2</v>
      </c>
      <c r="CP20" s="37">
        <v>1.4999999999999999E-2</v>
      </c>
      <c r="CQ20" s="37">
        <v>1.4999999999999999E-2</v>
      </c>
      <c r="CR20" s="37">
        <v>1.4999999999999999E-2</v>
      </c>
      <c r="CS20" s="37">
        <v>1.4999999999999999E-2</v>
      </c>
      <c r="CT20" s="37">
        <v>1.4999999999999999E-2</v>
      </c>
      <c r="CU20" s="37">
        <v>1.4999999999999999E-2</v>
      </c>
      <c r="CV20" s="37">
        <v>1.4999999999999999E-2</v>
      </c>
      <c r="CW20" s="37">
        <v>1.4999999999999999E-2</v>
      </c>
      <c r="CX20" s="37">
        <v>1.4999999999999999E-2</v>
      </c>
      <c r="CY20" s="37">
        <v>1.4999999999999999E-2</v>
      </c>
      <c r="CZ20" s="37">
        <v>1.4999999999999999E-2</v>
      </c>
      <c r="DA20" s="37">
        <v>1.4999999999999999E-2</v>
      </c>
      <c r="DB20" s="37">
        <v>1.4999999999999999E-2</v>
      </c>
      <c r="DC20" s="37">
        <v>1.4999999999999999E-2</v>
      </c>
      <c r="DD20" s="37">
        <v>1.4999999999999999E-2</v>
      </c>
      <c r="DE20" s="37">
        <v>1.4999999999999999E-2</v>
      </c>
      <c r="DF20" s="37">
        <v>1.4999999999999999E-2</v>
      </c>
      <c r="DG20" s="37">
        <v>1.4999999999999999E-2</v>
      </c>
      <c r="DH20" s="37">
        <v>1.4999999999999999E-2</v>
      </c>
      <c r="DI20" s="37">
        <v>1.4999999999999999E-2</v>
      </c>
      <c r="DJ20" s="37">
        <v>1.4999999999999999E-2</v>
      </c>
      <c r="DK20" s="37">
        <v>1.4999999999999999E-2</v>
      </c>
      <c r="DL20" s="37">
        <v>1.4999999999999999E-2</v>
      </c>
      <c r="DM20" s="37">
        <v>1.4999999999999999E-2</v>
      </c>
      <c r="DN20" s="37">
        <v>1.4999999999999999E-2</v>
      </c>
      <c r="DO20" s="37">
        <v>1.4999999999999999E-2</v>
      </c>
      <c r="DP20" s="37">
        <v>1.4999999999999999E-2</v>
      </c>
      <c r="DQ20" s="37">
        <v>1.4999999999999999E-2</v>
      </c>
      <c r="DR20" s="37">
        <v>1.4999999999999999E-2</v>
      </c>
      <c r="DS20" s="37">
        <v>1.4999999999999999E-2</v>
      </c>
      <c r="DT20" s="37">
        <v>1.4999999999999999E-2</v>
      </c>
      <c r="DU20" s="37">
        <v>1.4999999999999999E-2</v>
      </c>
    </row>
    <row r="21" spans="1:125" ht="30">
      <c r="C21" s="38" t="s">
        <v>33</v>
      </c>
      <c r="D21" s="35" t="s">
        <v>29</v>
      </c>
      <c r="E21" s="36">
        <v>1E-3</v>
      </c>
      <c r="F21" s="37">
        <v>1E-3</v>
      </c>
      <c r="G21" s="37">
        <v>1E-3</v>
      </c>
      <c r="H21" s="37">
        <v>1E-3</v>
      </c>
      <c r="I21" s="37">
        <v>1E-3</v>
      </c>
      <c r="J21" s="37">
        <v>1E-3</v>
      </c>
      <c r="K21" s="37">
        <v>1E-3</v>
      </c>
      <c r="L21" s="37">
        <v>1E-3</v>
      </c>
      <c r="M21" s="37">
        <v>1E-3</v>
      </c>
      <c r="N21" s="37">
        <v>1E-3</v>
      </c>
      <c r="O21" s="37">
        <v>1E-3</v>
      </c>
      <c r="P21" s="37">
        <v>1E-3</v>
      </c>
      <c r="Q21" s="37">
        <v>1E-3</v>
      </c>
      <c r="R21" s="37">
        <v>1E-3</v>
      </c>
      <c r="S21" s="37">
        <v>1E-3</v>
      </c>
      <c r="T21" s="37">
        <v>1E-3</v>
      </c>
      <c r="U21" s="37">
        <v>1E-3</v>
      </c>
      <c r="V21" s="37">
        <v>1E-3</v>
      </c>
      <c r="W21" s="37">
        <v>1E-3</v>
      </c>
      <c r="X21" s="37">
        <v>1E-3</v>
      </c>
      <c r="Y21" s="37">
        <v>1E-3</v>
      </c>
      <c r="Z21" s="37">
        <v>1E-3</v>
      </c>
      <c r="AA21" s="37">
        <v>1E-3</v>
      </c>
      <c r="AB21" s="37">
        <v>1E-3</v>
      </c>
      <c r="AC21" s="37">
        <v>1E-3</v>
      </c>
      <c r="AD21" s="37">
        <v>1E-3</v>
      </c>
      <c r="AE21" s="37">
        <v>1E-3</v>
      </c>
      <c r="AF21" s="37">
        <v>1E-3</v>
      </c>
      <c r="AG21" s="37">
        <v>1E-3</v>
      </c>
      <c r="AH21" s="37">
        <v>1E-3</v>
      </c>
      <c r="AI21" s="37">
        <v>1E-3</v>
      </c>
      <c r="AJ21" s="37">
        <v>1E-3</v>
      </c>
      <c r="AK21" s="37">
        <v>1E-3</v>
      </c>
      <c r="AL21" s="37">
        <v>1E-3</v>
      </c>
      <c r="AM21" s="37">
        <v>1E-3</v>
      </c>
      <c r="AN21" s="37">
        <v>1E-3</v>
      </c>
      <c r="AO21" s="37">
        <v>1E-3</v>
      </c>
      <c r="AP21" s="37">
        <v>1E-3</v>
      </c>
      <c r="AQ21" s="37">
        <v>1E-3</v>
      </c>
      <c r="AR21" s="37">
        <v>1E-3</v>
      </c>
      <c r="AS21" s="37">
        <v>1E-3</v>
      </c>
      <c r="AT21" s="37">
        <v>1E-3</v>
      </c>
      <c r="AU21" s="37">
        <v>1E-3</v>
      </c>
      <c r="AV21" s="37">
        <v>1E-3</v>
      </c>
      <c r="AW21" s="37">
        <v>1E-3</v>
      </c>
      <c r="AX21" s="37">
        <v>1E-3</v>
      </c>
      <c r="AY21" s="37">
        <v>1E-3</v>
      </c>
      <c r="AZ21" s="37">
        <v>1E-3</v>
      </c>
      <c r="BA21" s="37">
        <v>1E-3</v>
      </c>
      <c r="BB21" s="37">
        <v>1E-3</v>
      </c>
      <c r="BC21" s="37">
        <v>1E-3</v>
      </c>
      <c r="BD21" s="37">
        <v>1E-3</v>
      </c>
      <c r="BE21" s="37">
        <v>1E-3</v>
      </c>
      <c r="BF21" s="37">
        <v>1E-3</v>
      </c>
      <c r="BG21" s="37">
        <v>1E-3</v>
      </c>
      <c r="BH21" s="37">
        <v>1E-3</v>
      </c>
      <c r="BI21" s="37">
        <v>1E-3</v>
      </c>
      <c r="BJ21" s="37">
        <v>1E-3</v>
      </c>
      <c r="BK21" s="37">
        <v>1E-3</v>
      </c>
      <c r="BL21" s="37">
        <v>1E-3</v>
      </c>
      <c r="BM21" s="37">
        <v>1E-3</v>
      </c>
      <c r="BN21" s="37">
        <v>1E-3</v>
      </c>
      <c r="BO21" s="37">
        <v>1E-3</v>
      </c>
      <c r="BP21" s="37">
        <v>1E-3</v>
      </c>
      <c r="BQ21" s="37">
        <v>1E-3</v>
      </c>
      <c r="BR21" s="37">
        <v>1E-3</v>
      </c>
      <c r="BS21" s="37">
        <v>1E-3</v>
      </c>
      <c r="BT21" s="37">
        <v>1E-3</v>
      </c>
      <c r="BU21" s="37">
        <v>1E-3</v>
      </c>
      <c r="BV21" s="37">
        <v>1E-3</v>
      </c>
      <c r="BW21" s="37">
        <v>1E-3</v>
      </c>
      <c r="BX21" s="37">
        <v>1E-3</v>
      </c>
      <c r="BY21" s="37">
        <v>1E-3</v>
      </c>
      <c r="BZ21" s="37">
        <v>1E-3</v>
      </c>
      <c r="CA21" s="37">
        <v>1E-3</v>
      </c>
      <c r="CB21" s="37">
        <v>1E-3</v>
      </c>
      <c r="CC21" s="37">
        <v>1E-3</v>
      </c>
      <c r="CD21" s="37">
        <v>1E-3</v>
      </c>
      <c r="CE21" s="37">
        <v>1E-3</v>
      </c>
      <c r="CF21" s="37">
        <v>1E-3</v>
      </c>
      <c r="CG21" s="37">
        <v>1E-3</v>
      </c>
      <c r="CH21" s="37">
        <v>1E-3</v>
      </c>
      <c r="CI21" s="37">
        <v>1E-3</v>
      </c>
      <c r="CJ21" s="37">
        <v>1E-3</v>
      </c>
      <c r="CK21" s="37">
        <v>1E-3</v>
      </c>
      <c r="CL21" s="37">
        <v>1E-3</v>
      </c>
      <c r="CM21" s="37">
        <v>1E-3</v>
      </c>
      <c r="CN21" s="37">
        <v>1E-3</v>
      </c>
      <c r="CO21" s="37">
        <v>1E-3</v>
      </c>
      <c r="CP21" s="37">
        <v>1E-3</v>
      </c>
      <c r="CQ21" s="37">
        <v>1E-3</v>
      </c>
      <c r="CR21" s="37">
        <v>1E-3</v>
      </c>
      <c r="CS21" s="37">
        <v>1E-3</v>
      </c>
      <c r="CT21" s="37">
        <v>1E-3</v>
      </c>
      <c r="CU21" s="37">
        <v>1E-3</v>
      </c>
      <c r="CV21" s="37">
        <v>1E-3</v>
      </c>
      <c r="CW21" s="37">
        <v>1E-3</v>
      </c>
      <c r="CX21" s="37">
        <v>1E-3</v>
      </c>
      <c r="CY21" s="37">
        <v>1E-3</v>
      </c>
      <c r="CZ21" s="37">
        <v>1E-3</v>
      </c>
      <c r="DA21" s="37">
        <v>1E-3</v>
      </c>
      <c r="DB21" s="37">
        <v>1E-3</v>
      </c>
      <c r="DC21" s="37">
        <v>1E-3</v>
      </c>
      <c r="DD21" s="37">
        <v>1E-3</v>
      </c>
      <c r="DE21" s="37">
        <v>1E-3</v>
      </c>
      <c r="DF21" s="37">
        <v>1E-3</v>
      </c>
      <c r="DG21" s="37">
        <v>1E-3</v>
      </c>
      <c r="DH21" s="37">
        <v>1E-3</v>
      </c>
      <c r="DI21" s="37">
        <v>1E-3</v>
      </c>
      <c r="DJ21" s="37">
        <v>1E-3</v>
      </c>
      <c r="DK21" s="37">
        <v>1E-3</v>
      </c>
      <c r="DL21" s="37">
        <v>1E-3</v>
      </c>
      <c r="DM21" s="37">
        <v>1E-3</v>
      </c>
      <c r="DN21" s="37">
        <v>1E-3</v>
      </c>
      <c r="DO21" s="37">
        <v>1E-3</v>
      </c>
      <c r="DP21" s="37">
        <v>1E-3</v>
      </c>
      <c r="DQ21" s="37">
        <v>1E-3</v>
      </c>
      <c r="DR21" s="37">
        <v>1E-3</v>
      </c>
      <c r="DS21" s="37">
        <v>1E-3</v>
      </c>
      <c r="DT21" s="37">
        <v>1E-3</v>
      </c>
      <c r="DU21" s="37">
        <v>1E-3</v>
      </c>
    </row>
    <row r="22" spans="1:125" ht="16">
      <c r="A22" s="176"/>
      <c r="C22" s="39" t="s">
        <v>34</v>
      </c>
      <c r="D22" s="31" t="s">
        <v>35</v>
      </c>
      <c r="E22" s="40">
        <f>SUM(F22:DU22)</f>
        <v>5472156559.3920002</v>
      </c>
      <c r="F22" s="40">
        <f>SUM(F23:F25)</f>
        <v>45613046.616000004</v>
      </c>
      <c r="G22" s="40">
        <f t="shared" ref="G22:BR22" si="2">SUM(G23:G25)</f>
        <v>45613046.616000004</v>
      </c>
      <c r="H22" s="40">
        <f t="shared" si="2"/>
        <v>45613046.616000004</v>
      </c>
      <c r="I22" s="40">
        <f t="shared" si="2"/>
        <v>45613046.616000004</v>
      </c>
      <c r="J22" s="40">
        <f t="shared" si="2"/>
        <v>45613046.616000004</v>
      </c>
      <c r="K22" s="40">
        <f t="shared" si="2"/>
        <v>45613046.616000004</v>
      </c>
      <c r="L22" s="40">
        <f t="shared" si="2"/>
        <v>45613046.616000004</v>
      </c>
      <c r="M22" s="40">
        <f t="shared" si="2"/>
        <v>45613046.616000004</v>
      </c>
      <c r="N22" s="40">
        <f t="shared" si="2"/>
        <v>45613046.616000004</v>
      </c>
      <c r="O22" s="40">
        <f t="shared" si="2"/>
        <v>45613046.616000004</v>
      </c>
      <c r="P22" s="40">
        <f t="shared" si="2"/>
        <v>45613046.616000004</v>
      </c>
      <c r="Q22" s="40">
        <f t="shared" si="2"/>
        <v>45613046.616000004</v>
      </c>
      <c r="R22" s="40">
        <f t="shared" si="2"/>
        <v>45600000</v>
      </c>
      <c r="S22" s="40">
        <f t="shared" si="2"/>
        <v>45600000</v>
      </c>
      <c r="T22" s="40">
        <f t="shared" si="2"/>
        <v>45600000</v>
      </c>
      <c r="U22" s="40">
        <f t="shared" si="2"/>
        <v>45600000</v>
      </c>
      <c r="V22" s="40">
        <f t="shared" si="2"/>
        <v>45600000</v>
      </c>
      <c r="W22" s="40">
        <f t="shared" si="2"/>
        <v>45600000</v>
      </c>
      <c r="X22" s="40">
        <f t="shared" si="2"/>
        <v>45600000</v>
      </c>
      <c r="Y22" s="40">
        <f t="shared" si="2"/>
        <v>45600000</v>
      </c>
      <c r="Z22" s="40">
        <f t="shared" si="2"/>
        <v>45600000</v>
      </c>
      <c r="AA22" s="40">
        <f t="shared" si="2"/>
        <v>45600000</v>
      </c>
      <c r="AB22" s="40">
        <f t="shared" si="2"/>
        <v>45600000</v>
      </c>
      <c r="AC22" s="40">
        <f t="shared" si="2"/>
        <v>45600000</v>
      </c>
      <c r="AD22" s="40">
        <f t="shared" si="2"/>
        <v>45600000</v>
      </c>
      <c r="AE22" s="40">
        <f t="shared" si="2"/>
        <v>45600000</v>
      </c>
      <c r="AF22" s="40">
        <f t="shared" si="2"/>
        <v>45600000</v>
      </c>
      <c r="AG22" s="40">
        <f t="shared" si="2"/>
        <v>45600000</v>
      </c>
      <c r="AH22" s="40">
        <f t="shared" si="2"/>
        <v>45600000</v>
      </c>
      <c r="AI22" s="40">
        <f t="shared" si="2"/>
        <v>45600000</v>
      </c>
      <c r="AJ22" s="40">
        <f t="shared" si="2"/>
        <v>45600000</v>
      </c>
      <c r="AK22" s="40">
        <f t="shared" si="2"/>
        <v>45600000</v>
      </c>
      <c r="AL22" s="40">
        <f t="shared" si="2"/>
        <v>45600000</v>
      </c>
      <c r="AM22" s="40">
        <f t="shared" si="2"/>
        <v>45600000</v>
      </c>
      <c r="AN22" s="40">
        <f t="shared" si="2"/>
        <v>45600000</v>
      </c>
      <c r="AO22" s="40">
        <f t="shared" si="2"/>
        <v>45600000</v>
      </c>
      <c r="AP22" s="40">
        <f t="shared" si="2"/>
        <v>45600000</v>
      </c>
      <c r="AQ22" s="40">
        <f t="shared" si="2"/>
        <v>45600000</v>
      </c>
      <c r="AR22" s="40">
        <f t="shared" si="2"/>
        <v>45600000</v>
      </c>
      <c r="AS22" s="40">
        <f t="shared" si="2"/>
        <v>45600000</v>
      </c>
      <c r="AT22" s="40">
        <f t="shared" si="2"/>
        <v>45600000</v>
      </c>
      <c r="AU22" s="40">
        <f t="shared" si="2"/>
        <v>45600000</v>
      </c>
      <c r="AV22" s="40">
        <f t="shared" si="2"/>
        <v>45600000</v>
      </c>
      <c r="AW22" s="40">
        <f t="shared" si="2"/>
        <v>45600000</v>
      </c>
      <c r="AX22" s="40">
        <f t="shared" si="2"/>
        <v>45600000</v>
      </c>
      <c r="AY22" s="40">
        <f t="shared" si="2"/>
        <v>45600000</v>
      </c>
      <c r="AZ22" s="40">
        <f t="shared" si="2"/>
        <v>45600000</v>
      </c>
      <c r="BA22" s="40">
        <f t="shared" si="2"/>
        <v>45600000</v>
      </c>
      <c r="BB22" s="40">
        <f t="shared" si="2"/>
        <v>45600000</v>
      </c>
      <c r="BC22" s="40">
        <f t="shared" si="2"/>
        <v>45600000</v>
      </c>
      <c r="BD22" s="40">
        <f t="shared" si="2"/>
        <v>45600000</v>
      </c>
      <c r="BE22" s="40">
        <f t="shared" si="2"/>
        <v>45600000</v>
      </c>
      <c r="BF22" s="40">
        <f t="shared" si="2"/>
        <v>45600000</v>
      </c>
      <c r="BG22" s="40">
        <f t="shared" si="2"/>
        <v>45600000</v>
      </c>
      <c r="BH22" s="40">
        <f t="shared" si="2"/>
        <v>45600000</v>
      </c>
      <c r="BI22" s="40">
        <f t="shared" si="2"/>
        <v>45600000</v>
      </c>
      <c r="BJ22" s="40">
        <f t="shared" si="2"/>
        <v>45600000</v>
      </c>
      <c r="BK22" s="40">
        <f t="shared" si="2"/>
        <v>45600000</v>
      </c>
      <c r="BL22" s="40">
        <f t="shared" si="2"/>
        <v>45600000</v>
      </c>
      <c r="BM22" s="40">
        <f t="shared" si="2"/>
        <v>45600000</v>
      </c>
      <c r="BN22" s="40">
        <f t="shared" si="2"/>
        <v>45600000</v>
      </c>
      <c r="BO22" s="40">
        <f t="shared" si="2"/>
        <v>45600000</v>
      </c>
      <c r="BP22" s="40">
        <f t="shared" si="2"/>
        <v>45600000</v>
      </c>
      <c r="BQ22" s="40">
        <f t="shared" si="2"/>
        <v>45600000</v>
      </c>
      <c r="BR22" s="40">
        <f t="shared" si="2"/>
        <v>45600000</v>
      </c>
      <c r="BS22" s="40">
        <f t="shared" ref="BS22:DU22" si="3">SUM(BS23:BS25)</f>
        <v>45600000</v>
      </c>
      <c r="BT22" s="40">
        <f t="shared" si="3"/>
        <v>45600000</v>
      </c>
      <c r="BU22" s="40">
        <f t="shared" si="3"/>
        <v>45600000</v>
      </c>
      <c r="BV22" s="40">
        <f t="shared" si="3"/>
        <v>45600000</v>
      </c>
      <c r="BW22" s="40">
        <f t="shared" si="3"/>
        <v>45600000</v>
      </c>
      <c r="BX22" s="40">
        <f t="shared" si="3"/>
        <v>45600000</v>
      </c>
      <c r="BY22" s="40">
        <f t="shared" si="3"/>
        <v>45600000</v>
      </c>
      <c r="BZ22" s="40">
        <f t="shared" si="3"/>
        <v>45600000</v>
      </c>
      <c r="CA22" s="40">
        <f t="shared" si="3"/>
        <v>45600000</v>
      </c>
      <c r="CB22" s="40">
        <f t="shared" si="3"/>
        <v>45600000</v>
      </c>
      <c r="CC22" s="40">
        <f t="shared" si="3"/>
        <v>45600000</v>
      </c>
      <c r="CD22" s="40">
        <f t="shared" si="3"/>
        <v>45600000</v>
      </c>
      <c r="CE22" s="40">
        <f t="shared" si="3"/>
        <v>45600000</v>
      </c>
      <c r="CF22" s="40">
        <f t="shared" si="3"/>
        <v>45600000</v>
      </c>
      <c r="CG22" s="40">
        <f t="shared" si="3"/>
        <v>45600000</v>
      </c>
      <c r="CH22" s="40">
        <f t="shared" si="3"/>
        <v>45600000</v>
      </c>
      <c r="CI22" s="40">
        <f t="shared" si="3"/>
        <v>45600000</v>
      </c>
      <c r="CJ22" s="40">
        <f t="shared" si="3"/>
        <v>45600000</v>
      </c>
      <c r="CK22" s="40">
        <f t="shared" si="3"/>
        <v>45600000</v>
      </c>
      <c r="CL22" s="40">
        <f t="shared" si="3"/>
        <v>45600000</v>
      </c>
      <c r="CM22" s="40">
        <f t="shared" si="3"/>
        <v>45600000</v>
      </c>
      <c r="CN22" s="40">
        <f t="shared" si="3"/>
        <v>45600000</v>
      </c>
      <c r="CO22" s="40">
        <f t="shared" si="3"/>
        <v>45600000</v>
      </c>
      <c r="CP22" s="40">
        <f t="shared" si="3"/>
        <v>45600000</v>
      </c>
      <c r="CQ22" s="40">
        <f t="shared" si="3"/>
        <v>45600000</v>
      </c>
      <c r="CR22" s="40">
        <f t="shared" si="3"/>
        <v>45600000</v>
      </c>
      <c r="CS22" s="40">
        <f t="shared" si="3"/>
        <v>45600000</v>
      </c>
      <c r="CT22" s="40">
        <f t="shared" si="3"/>
        <v>45600000</v>
      </c>
      <c r="CU22" s="40">
        <f t="shared" si="3"/>
        <v>45600000</v>
      </c>
      <c r="CV22" s="40">
        <f t="shared" si="3"/>
        <v>45600000</v>
      </c>
      <c r="CW22" s="40">
        <f t="shared" si="3"/>
        <v>45600000</v>
      </c>
      <c r="CX22" s="40">
        <f t="shared" si="3"/>
        <v>45600000</v>
      </c>
      <c r="CY22" s="40">
        <f t="shared" si="3"/>
        <v>45600000</v>
      </c>
      <c r="CZ22" s="40">
        <f t="shared" si="3"/>
        <v>45600000</v>
      </c>
      <c r="DA22" s="40">
        <f t="shared" si="3"/>
        <v>45600000</v>
      </c>
      <c r="DB22" s="40">
        <f t="shared" si="3"/>
        <v>45600000</v>
      </c>
      <c r="DC22" s="40">
        <f t="shared" si="3"/>
        <v>45600000</v>
      </c>
      <c r="DD22" s="40">
        <f t="shared" si="3"/>
        <v>45600000</v>
      </c>
      <c r="DE22" s="40">
        <f t="shared" si="3"/>
        <v>45600000</v>
      </c>
      <c r="DF22" s="40">
        <f t="shared" si="3"/>
        <v>45600000</v>
      </c>
      <c r="DG22" s="40">
        <f t="shared" si="3"/>
        <v>45600000</v>
      </c>
      <c r="DH22" s="40">
        <f t="shared" si="3"/>
        <v>45600000</v>
      </c>
      <c r="DI22" s="40">
        <f t="shared" si="3"/>
        <v>45600000</v>
      </c>
      <c r="DJ22" s="40">
        <f t="shared" si="3"/>
        <v>45600000</v>
      </c>
      <c r="DK22" s="40">
        <f t="shared" si="3"/>
        <v>45600000</v>
      </c>
      <c r="DL22" s="40">
        <f t="shared" si="3"/>
        <v>45600000</v>
      </c>
      <c r="DM22" s="40">
        <f t="shared" si="3"/>
        <v>45600000</v>
      </c>
      <c r="DN22" s="40">
        <f t="shared" si="3"/>
        <v>45600000</v>
      </c>
      <c r="DO22" s="40">
        <f t="shared" si="3"/>
        <v>45600000</v>
      </c>
      <c r="DP22" s="40">
        <f t="shared" si="3"/>
        <v>45600000</v>
      </c>
      <c r="DQ22" s="40">
        <f t="shared" si="3"/>
        <v>45600000</v>
      </c>
      <c r="DR22" s="40">
        <f t="shared" si="3"/>
        <v>45600000</v>
      </c>
      <c r="DS22" s="40">
        <f t="shared" si="3"/>
        <v>45600000</v>
      </c>
      <c r="DT22" s="40">
        <f t="shared" si="3"/>
        <v>45600000</v>
      </c>
      <c r="DU22" s="40">
        <f t="shared" si="3"/>
        <v>45600000</v>
      </c>
    </row>
    <row r="23" spans="1:125" ht="16">
      <c r="C23" s="34" t="s">
        <v>31</v>
      </c>
      <c r="D23" s="35" t="s">
        <v>35</v>
      </c>
      <c r="E23" s="41">
        <f>SUM(F23:DU23)</f>
        <v>4320123599.5200005</v>
      </c>
      <c r="F23" s="42">
        <f>F33*F19</f>
        <v>36010299.960000001</v>
      </c>
      <c r="G23" s="42">
        <f t="shared" ref="G23:BR23" si="4">G33*G19</f>
        <v>36010299.960000001</v>
      </c>
      <c r="H23" s="42">
        <f t="shared" si="4"/>
        <v>36010299.960000001</v>
      </c>
      <c r="I23" s="42">
        <f t="shared" si="4"/>
        <v>36010299.960000001</v>
      </c>
      <c r="J23" s="42">
        <f t="shared" si="4"/>
        <v>36010299.960000001</v>
      </c>
      <c r="K23" s="42">
        <f t="shared" si="4"/>
        <v>36010299.960000001</v>
      </c>
      <c r="L23" s="42">
        <f t="shared" si="4"/>
        <v>36010299.960000001</v>
      </c>
      <c r="M23" s="42">
        <f t="shared" si="4"/>
        <v>36010299.960000001</v>
      </c>
      <c r="N23" s="42">
        <f t="shared" si="4"/>
        <v>36010299.960000001</v>
      </c>
      <c r="O23" s="42">
        <f t="shared" si="4"/>
        <v>36010299.960000001</v>
      </c>
      <c r="P23" s="42">
        <f t="shared" si="4"/>
        <v>36010299.960000001</v>
      </c>
      <c r="Q23" s="42">
        <f t="shared" si="4"/>
        <v>36010299.960000001</v>
      </c>
      <c r="R23" s="42">
        <f t="shared" si="4"/>
        <v>36000000</v>
      </c>
      <c r="S23" s="42">
        <f t="shared" si="4"/>
        <v>36000000</v>
      </c>
      <c r="T23" s="42">
        <f t="shared" si="4"/>
        <v>36000000</v>
      </c>
      <c r="U23" s="42">
        <f t="shared" si="4"/>
        <v>36000000</v>
      </c>
      <c r="V23" s="42">
        <f t="shared" si="4"/>
        <v>36000000</v>
      </c>
      <c r="W23" s="42">
        <f t="shared" si="4"/>
        <v>36000000</v>
      </c>
      <c r="X23" s="42">
        <f t="shared" si="4"/>
        <v>36000000</v>
      </c>
      <c r="Y23" s="42">
        <f t="shared" si="4"/>
        <v>36000000</v>
      </c>
      <c r="Z23" s="42">
        <f t="shared" si="4"/>
        <v>36000000</v>
      </c>
      <c r="AA23" s="42">
        <f t="shared" si="4"/>
        <v>36000000</v>
      </c>
      <c r="AB23" s="42">
        <f t="shared" si="4"/>
        <v>36000000</v>
      </c>
      <c r="AC23" s="42">
        <f t="shared" si="4"/>
        <v>36000000</v>
      </c>
      <c r="AD23" s="42">
        <f t="shared" si="4"/>
        <v>36000000</v>
      </c>
      <c r="AE23" s="42">
        <f t="shared" si="4"/>
        <v>36000000</v>
      </c>
      <c r="AF23" s="42">
        <f t="shared" si="4"/>
        <v>36000000</v>
      </c>
      <c r="AG23" s="42">
        <f t="shared" si="4"/>
        <v>36000000</v>
      </c>
      <c r="AH23" s="42">
        <f t="shared" si="4"/>
        <v>36000000</v>
      </c>
      <c r="AI23" s="42">
        <f t="shared" si="4"/>
        <v>36000000</v>
      </c>
      <c r="AJ23" s="42">
        <f t="shared" si="4"/>
        <v>36000000</v>
      </c>
      <c r="AK23" s="42">
        <f t="shared" si="4"/>
        <v>36000000</v>
      </c>
      <c r="AL23" s="42">
        <f t="shared" si="4"/>
        <v>36000000</v>
      </c>
      <c r="AM23" s="42">
        <f t="shared" si="4"/>
        <v>36000000</v>
      </c>
      <c r="AN23" s="42">
        <f t="shared" si="4"/>
        <v>36000000</v>
      </c>
      <c r="AO23" s="42">
        <f t="shared" si="4"/>
        <v>36000000</v>
      </c>
      <c r="AP23" s="42">
        <f t="shared" si="4"/>
        <v>36000000</v>
      </c>
      <c r="AQ23" s="42">
        <f t="shared" si="4"/>
        <v>36000000</v>
      </c>
      <c r="AR23" s="42">
        <f t="shared" si="4"/>
        <v>36000000</v>
      </c>
      <c r="AS23" s="42">
        <f t="shared" si="4"/>
        <v>36000000</v>
      </c>
      <c r="AT23" s="42">
        <f t="shared" si="4"/>
        <v>36000000</v>
      </c>
      <c r="AU23" s="42">
        <f t="shared" si="4"/>
        <v>36000000</v>
      </c>
      <c r="AV23" s="42">
        <f t="shared" si="4"/>
        <v>36000000</v>
      </c>
      <c r="AW23" s="42">
        <f t="shared" si="4"/>
        <v>36000000</v>
      </c>
      <c r="AX23" s="42">
        <f t="shared" si="4"/>
        <v>36000000</v>
      </c>
      <c r="AY23" s="42">
        <f t="shared" si="4"/>
        <v>36000000</v>
      </c>
      <c r="AZ23" s="42">
        <f t="shared" si="4"/>
        <v>36000000</v>
      </c>
      <c r="BA23" s="42">
        <f t="shared" si="4"/>
        <v>36000000</v>
      </c>
      <c r="BB23" s="42">
        <f t="shared" si="4"/>
        <v>36000000</v>
      </c>
      <c r="BC23" s="42">
        <f t="shared" si="4"/>
        <v>36000000</v>
      </c>
      <c r="BD23" s="42">
        <f t="shared" si="4"/>
        <v>36000000</v>
      </c>
      <c r="BE23" s="42">
        <f t="shared" si="4"/>
        <v>36000000</v>
      </c>
      <c r="BF23" s="42">
        <f t="shared" si="4"/>
        <v>36000000</v>
      </c>
      <c r="BG23" s="42">
        <f t="shared" si="4"/>
        <v>36000000</v>
      </c>
      <c r="BH23" s="42">
        <f t="shared" si="4"/>
        <v>36000000</v>
      </c>
      <c r="BI23" s="42">
        <f t="shared" si="4"/>
        <v>36000000</v>
      </c>
      <c r="BJ23" s="42">
        <f t="shared" si="4"/>
        <v>36000000</v>
      </c>
      <c r="BK23" s="42">
        <f t="shared" si="4"/>
        <v>36000000</v>
      </c>
      <c r="BL23" s="42">
        <f t="shared" si="4"/>
        <v>36000000</v>
      </c>
      <c r="BM23" s="42">
        <f t="shared" si="4"/>
        <v>36000000</v>
      </c>
      <c r="BN23" s="42">
        <f t="shared" si="4"/>
        <v>36000000</v>
      </c>
      <c r="BO23" s="42">
        <f t="shared" si="4"/>
        <v>36000000</v>
      </c>
      <c r="BP23" s="42">
        <f t="shared" si="4"/>
        <v>36000000</v>
      </c>
      <c r="BQ23" s="42">
        <f t="shared" si="4"/>
        <v>36000000</v>
      </c>
      <c r="BR23" s="42">
        <f t="shared" si="4"/>
        <v>36000000</v>
      </c>
      <c r="BS23" s="42">
        <f t="shared" ref="BS23:DU23" si="5">BS33*BS19</f>
        <v>36000000</v>
      </c>
      <c r="BT23" s="42">
        <f t="shared" si="5"/>
        <v>36000000</v>
      </c>
      <c r="BU23" s="42">
        <f t="shared" si="5"/>
        <v>36000000</v>
      </c>
      <c r="BV23" s="42">
        <f t="shared" si="5"/>
        <v>36000000</v>
      </c>
      <c r="BW23" s="42">
        <f t="shared" si="5"/>
        <v>36000000</v>
      </c>
      <c r="BX23" s="42">
        <f t="shared" si="5"/>
        <v>36000000</v>
      </c>
      <c r="BY23" s="42">
        <f t="shared" si="5"/>
        <v>36000000</v>
      </c>
      <c r="BZ23" s="42">
        <f t="shared" si="5"/>
        <v>36000000</v>
      </c>
      <c r="CA23" s="42">
        <f t="shared" si="5"/>
        <v>36000000</v>
      </c>
      <c r="CB23" s="42">
        <f t="shared" si="5"/>
        <v>36000000</v>
      </c>
      <c r="CC23" s="42">
        <f t="shared" si="5"/>
        <v>36000000</v>
      </c>
      <c r="CD23" s="42">
        <f t="shared" si="5"/>
        <v>36000000</v>
      </c>
      <c r="CE23" s="42">
        <f t="shared" si="5"/>
        <v>36000000</v>
      </c>
      <c r="CF23" s="42">
        <f t="shared" si="5"/>
        <v>36000000</v>
      </c>
      <c r="CG23" s="42">
        <f t="shared" si="5"/>
        <v>36000000</v>
      </c>
      <c r="CH23" s="42">
        <f t="shared" si="5"/>
        <v>36000000</v>
      </c>
      <c r="CI23" s="42">
        <f t="shared" si="5"/>
        <v>36000000</v>
      </c>
      <c r="CJ23" s="42">
        <f t="shared" si="5"/>
        <v>36000000</v>
      </c>
      <c r="CK23" s="42">
        <f t="shared" si="5"/>
        <v>36000000</v>
      </c>
      <c r="CL23" s="42">
        <f t="shared" si="5"/>
        <v>36000000</v>
      </c>
      <c r="CM23" s="42">
        <f t="shared" si="5"/>
        <v>36000000</v>
      </c>
      <c r="CN23" s="42">
        <f t="shared" si="5"/>
        <v>36000000</v>
      </c>
      <c r="CO23" s="42">
        <f t="shared" si="5"/>
        <v>36000000</v>
      </c>
      <c r="CP23" s="42">
        <f t="shared" si="5"/>
        <v>36000000</v>
      </c>
      <c r="CQ23" s="42">
        <f t="shared" si="5"/>
        <v>36000000</v>
      </c>
      <c r="CR23" s="42">
        <f t="shared" si="5"/>
        <v>36000000</v>
      </c>
      <c r="CS23" s="42">
        <f t="shared" si="5"/>
        <v>36000000</v>
      </c>
      <c r="CT23" s="42">
        <f t="shared" si="5"/>
        <v>36000000</v>
      </c>
      <c r="CU23" s="42">
        <f t="shared" si="5"/>
        <v>36000000</v>
      </c>
      <c r="CV23" s="42">
        <f t="shared" si="5"/>
        <v>36000000</v>
      </c>
      <c r="CW23" s="42">
        <f t="shared" si="5"/>
        <v>36000000</v>
      </c>
      <c r="CX23" s="42">
        <f t="shared" si="5"/>
        <v>36000000</v>
      </c>
      <c r="CY23" s="42">
        <f t="shared" si="5"/>
        <v>36000000</v>
      </c>
      <c r="CZ23" s="42">
        <f t="shared" si="5"/>
        <v>36000000</v>
      </c>
      <c r="DA23" s="42">
        <f t="shared" si="5"/>
        <v>36000000</v>
      </c>
      <c r="DB23" s="42">
        <f t="shared" si="5"/>
        <v>36000000</v>
      </c>
      <c r="DC23" s="42">
        <f t="shared" si="5"/>
        <v>36000000</v>
      </c>
      <c r="DD23" s="42">
        <f t="shared" si="5"/>
        <v>36000000</v>
      </c>
      <c r="DE23" s="42">
        <f t="shared" si="5"/>
        <v>36000000</v>
      </c>
      <c r="DF23" s="42">
        <f t="shared" si="5"/>
        <v>36000000</v>
      </c>
      <c r="DG23" s="42">
        <f t="shared" si="5"/>
        <v>36000000</v>
      </c>
      <c r="DH23" s="42">
        <f t="shared" si="5"/>
        <v>36000000</v>
      </c>
      <c r="DI23" s="42">
        <f t="shared" si="5"/>
        <v>36000000</v>
      </c>
      <c r="DJ23" s="42">
        <f t="shared" si="5"/>
        <v>36000000</v>
      </c>
      <c r="DK23" s="42">
        <f t="shared" si="5"/>
        <v>36000000</v>
      </c>
      <c r="DL23" s="42">
        <f t="shared" si="5"/>
        <v>36000000</v>
      </c>
      <c r="DM23" s="42">
        <f t="shared" si="5"/>
        <v>36000000</v>
      </c>
      <c r="DN23" s="42">
        <f t="shared" si="5"/>
        <v>36000000</v>
      </c>
      <c r="DO23" s="42">
        <f t="shared" si="5"/>
        <v>36000000</v>
      </c>
      <c r="DP23" s="42">
        <f t="shared" si="5"/>
        <v>36000000</v>
      </c>
      <c r="DQ23" s="42">
        <f t="shared" si="5"/>
        <v>36000000</v>
      </c>
      <c r="DR23" s="42">
        <f t="shared" si="5"/>
        <v>36000000</v>
      </c>
      <c r="DS23" s="42">
        <f t="shared" si="5"/>
        <v>36000000</v>
      </c>
      <c r="DT23" s="42">
        <f t="shared" si="5"/>
        <v>36000000</v>
      </c>
      <c r="DU23" s="42">
        <f t="shared" si="5"/>
        <v>36000000</v>
      </c>
    </row>
    <row r="24" spans="1:125" ht="30">
      <c r="C24" s="38" t="s">
        <v>33</v>
      </c>
      <c r="D24" s="35" t="s">
        <v>35</v>
      </c>
      <c r="E24" s="41">
        <f t="shared" ref="E24:E25" si="6">SUM(F24:DU24)</f>
        <v>1080030899.8800001</v>
      </c>
      <c r="F24" s="42">
        <f>F33*F20</f>
        <v>9002574.9900000002</v>
      </c>
      <c r="G24" s="42">
        <f t="shared" ref="G24:BR24" si="7">G33*G20</f>
        <v>9002574.9900000002</v>
      </c>
      <c r="H24" s="42">
        <f t="shared" si="7"/>
        <v>9002574.9900000002</v>
      </c>
      <c r="I24" s="42">
        <f t="shared" si="7"/>
        <v>9002574.9900000002</v>
      </c>
      <c r="J24" s="42">
        <f t="shared" si="7"/>
        <v>9002574.9900000002</v>
      </c>
      <c r="K24" s="42">
        <f t="shared" si="7"/>
        <v>9002574.9900000002</v>
      </c>
      <c r="L24" s="42">
        <f t="shared" si="7"/>
        <v>9002574.9900000002</v>
      </c>
      <c r="M24" s="42">
        <f t="shared" si="7"/>
        <v>9002574.9900000002</v>
      </c>
      <c r="N24" s="42">
        <f t="shared" si="7"/>
        <v>9002574.9900000002</v>
      </c>
      <c r="O24" s="42">
        <f t="shared" si="7"/>
        <v>9002574.9900000002</v>
      </c>
      <c r="P24" s="42">
        <f t="shared" si="7"/>
        <v>9002574.9900000002</v>
      </c>
      <c r="Q24" s="42">
        <f t="shared" si="7"/>
        <v>9002574.9900000002</v>
      </c>
      <c r="R24" s="42">
        <f t="shared" si="7"/>
        <v>9000000</v>
      </c>
      <c r="S24" s="42">
        <f t="shared" si="7"/>
        <v>9000000</v>
      </c>
      <c r="T24" s="42">
        <f t="shared" si="7"/>
        <v>9000000</v>
      </c>
      <c r="U24" s="42">
        <f t="shared" si="7"/>
        <v>9000000</v>
      </c>
      <c r="V24" s="42">
        <f t="shared" si="7"/>
        <v>9000000</v>
      </c>
      <c r="W24" s="42">
        <f t="shared" si="7"/>
        <v>9000000</v>
      </c>
      <c r="X24" s="42">
        <f t="shared" si="7"/>
        <v>9000000</v>
      </c>
      <c r="Y24" s="42">
        <f t="shared" si="7"/>
        <v>9000000</v>
      </c>
      <c r="Z24" s="42">
        <f t="shared" si="7"/>
        <v>9000000</v>
      </c>
      <c r="AA24" s="42">
        <f t="shared" si="7"/>
        <v>9000000</v>
      </c>
      <c r="AB24" s="42">
        <f t="shared" si="7"/>
        <v>9000000</v>
      </c>
      <c r="AC24" s="42">
        <f t="shared" si="7"/>
        <v>9000000</v>
      </c>
      <c r="AD24" s="42">
        <f t="shared" si="7"/>
        <v>9000000</v>
      </c>
      <c r="AE24" s="42">
        <f t="shared" si="7"/>
        <v>9000000</v>
      </c>
      <c r="AF24" s="42">
        <f t="shared" si="7"/>
        <v>9000000</v>
      </c>
      <c r="AG24" s="42">
        <f t="shared" si="7"/>
        <v>9000000</v>
      </c>
      <c r="AH24" s="42">
        <f t="shared" si="7"/>
        <v>9000000</v>
      </c>
      <c r="AI24" s="42">
        <f t="shared" si="7"/>
        <v>9000000</v>
      </c>
      <c r="AJ24" s="42">
        <f t="shared" si="7"/>
        <v>9000000</v>
      </c>
      <c r="AK24" s="42">
        <f t="shared" si="7"/>
        <v>9000000</v>
      </c>
      <c r="AL24" s="42">
        <f t="shared" si="7"/>
        <v>9000000</v>
      </c>
      <c r="AM24" s="42">
        <f t="shared" si="7"/>
        <v>9000000</v>
      </c>
      <c r="AN24" s="42">
        <f t="shared" si="7"/>
        <v>9000000</v>
      </c>
      <c r="AO24" s="42">
        <f t="shared" si="7"/>
        <v>9000000</v>
      </c>
      <c r="AP24" s="42">
        <f t="shared" si="7"/>
        <v>9000000</v>
      </c>
      <c r="AQ24" s="42">
        <f t="shared" si="7"/>
        <v>9000000</v>
      </c>
      <c r="AR24" s="42">
        <f t="shared" si="7"/>
        <v>9000000</v>
      </c>
      <c r="AS24" s="42">
        <f t="shared" si="7"/>
        <v>9000000</v>
      </c>
      <c r="AT24" s="42">
        <f t="shared" si="7"/>
        <v>9000000</v>
      </c>
      <c r="AU24" s="42">
        <f t="shared" si="7"/>
        <v>9000000</v>
      </c>
      <c r="AV24" s="42">
        <f t="shared" si="7"/>
        <v>9000000</v>
      </c>
      <c r="AW24" s="42">
        <f t="shared" si="7"/>
        <v>9000000</v>
      </c>
      <c r="AX24" s="42">
        <f t="shared" si="7"/>
        <v>9000000</v>
      </c>
      <c r="AY24" s="42">
        <f t="shared" si="7"/>
        <v>9000000</v>
      </c>
      <c r="AZ24" s="42">
        <f t="shared" si="7"/>
        <v>9000000</v>
      </c>
      <c r="BA24" s="42">
        <f t="shared" si="7"/>
        <v>9000000</v>
      </c>
      <c r="BB24" s="42">
        <f t="shared" si="7"/>
        <v>9000000</v>
      </c>
      <c r="BC24" s="42">
        <f t="shared" si="7"/>
        <v>9000000</v>
      </c>
      <c r="BD24" s="42">
        <f t="shared" si="7"/>
        <v>9000000</v>
      </c>
      <c r="BE24" s="42">
        <f t="shared" si="7"/>
        <v>9000000</v>
      </c>
      <c r="BF24" s="42">
        <f t="shared" si="7"/>
        <v>9000000</v>
      </c>
      <c r="BG24" s="42">
        <f t="shared" si="7"/>
        <v>9000000</v>
      </c>
      <c r="BH24" s="42">
        <f t="shared" si="7"/>
        <v>9000000</v>
      </c>
      <c r="BI24" s="42">
        <f t="shared" si="7"/>
        <v>9000000</v>
      </c>
      <c r="BJ24" s="42">
        <f t="shared" si="7"/>
        <v>9000000</v>
      </c>
      <c r="BK24" s="42">
        <f t="shared" si="7"/>
        <v>9000000</v>
      </c>
      <c r="BL24" s="42">
        <f t="shared" si="7"/>
        <v>9000000</v>
      </c>
      <c r="BM24" s="42">
        <f t="shared" si="7"/>
        <v>9000000</v>
      </c>
      <c r="BN24" s="42">
        <f t="shared" si="7"/>
        <v>9000000</v>
      </c>
      <c r="BO24" s="42">
        <f t="shared" si="7"/>
        <v>9000000</v>
      </c>
      <c r="BP24" s="42">
        <f t="shared" si="7"/>
        <v>9000000</v>
      </c>
      <c r="BQ24" s="42">
        <f t="shared" si="7"/>
        <v>9000000</v>
      </c>
      <c r="BR24" s="42">
        <f t="shared" si="7"/>
        <v>9000000</v>
      </c>
      <c r="BS24" s="42">
        <f t="shared" ref="BS24:DU24" si="8">BS33*BS20</f>
        <v>9000000</v>
      </c>
      <c r="BT24" s="42">
        <f t="shared" si="8"/>
        <v>9000000</v>
      </c>
      <c r="BU24" s="42">
        <f t="shared" si="8"/>
        <v>9000000</v>
      </c>
      <c r="BV24" s="42">
        <f t="shared" si="8"/>
        <v>9000000</v>
      </c>
      <c r="BW24" s="42">
        <f t="shared" si="8"/>
        <v>9000000</v>
      </c>
      <c r="BX24" s="42">
        <f t="shared" si="8"/>
        <v>9000000</v>
      </c>
      <c r="BY24" s="42">
        <f t="shared" si="8"/>
        <v>9000000</v>
      </c>
      <c r="BZ24" s="42">
        <f t="shared" si="8"/>
        <v>9000000</v>
      </c>
      <c r="CA24" s="42">
        <f t="shared" si="8"/>
        <v>9000000</v>
      </c>
      <c r="CB24" s="42">
        <f t="shared" si="8"/>
        <v>9000000</v>
      </c>
      <c r="CC24" s="42">
        <f t="shared" si="8"/>
        <v>9000000</v>
      </c>
      <c r="CD24" s="42">
        <f t="shared" si="8"/>
        <v>9000000</v>
      </c>
      <c r="CE24" s="42">
        <f t="shared" si="8"/>
        <v>9000000</v>
      </c>
      <c r="CF24" s="42">
        <f t="shared" si="8"/>
        <v>9000000</v>
      </c>
      <c r="CG24" s="42">
        <f t="shared" si="8"/>
        <v>9000000</v>
      </c>
      <c r="CH24" s="42">
        <f t="shared" si="8"/>
        <v>9000000</v>
      </c>
      <c r="CI24" s="42">
        <f t="shared" si="8"/>
        <v>9000000</v>
      </c>
      <c r="CJ24" s="42">
        <f t="shared" si="8"/>
        <v>9000000</v>
      </c>
      <c r="CK24" s="42">
        <f t="shared" si="8"/>
        <v>9000000</v>
      </c>
      <c r="CL24" s="42">
        <f t="shared" si="8"/>
        <v>9000000</v>
      </c>
      <c r="CM24" s="42">
        <f t="shared" si="8"/>
        <v>9000000</v>
      </c>
      <c r="CN24" s="42">
        <f t="shared" si="8"/>
        <v>9000000</v>
      </c>
      <c r="CO24" s="42">
        <f t="shared" si="8"/>
        <v>9000000</v>
      </c>
      <c r="CP24" s="42">
        <f t="shared" si="8"/>
        <v>9000000</v>
      </c>
      <c r="CQ24" s="42">
        <f t="shared" si="8"/>
        <v>9000000</v>
      </c>
      <c r="CR24" s="42">
        <f t="shared" si="8"/>
        <v>9000000</v>
      </c>
      <c r="CS24" s="42">
        <f t="shared" si="8"/>
        <v>9000000</v>
      </c>
      <c r="CT24" s="42">
        <f t="shared" si="8"/>
        <v>9000000</v>
      </c>
      <c r="CU24" s="42">
        <f t="shared" si="8"/>
        <v>9000000</v>
      </c>
      <c r="CV24" s="42">
        <f t="shared" si="8"/>
        <v>9000000</v>
      </c>
      <c r="CW24" s="42">
        <f t="shared" si="8"/>
        <v>9000000</v>
      </c>
      <c r="CX24" s="42">
        <f t="shared" si="8"/>
        <v>9000000</v>
      </c>
      <c r="CY24" s="42">
        <f t="shared" si="8"/>
        <v>9000000</v>
      </c>
      <c r="CZ24" s="42">
        <f t="shared" si="8"/>
        <v>9000000</v>
      </c>
      <c r="DA24" s="42">
        <f t="shared" si="8"/>
        <v>9000000</v>
      </c>
      <c r="DB24" s="42">
        <f t="shared" si="8"/>
        <v>9000000</v>
      </c>
      <c r="DC24" s="42">
        <f t="shared" si="8"/>
        <v>9000000</v>
      </c>
      <c r="DD24" s="42">
        <f t="shared" si="8"/>
        <v>9000000</v>
      </c>
      <c r="DE24" s="42">
        <f t="shared" si="8"/>
        <v>9000000</v>
      </c>
      <c r="DF24" s="42">
        <f t="shared" si="8"/>
        <v>9000000</v>
      </c>
      <c r="DG24" s="42">
        <f t="shared" si="8"/>
        <v>9000000</v>
      </c>
      <c r="DH24" s="42">
        <f t="shared" si="8"/>
        <v>9000000</v>
      </c>
      <c r="DI24" s="42">
        <f t="shared" si="8"/>
        <v>9000000</v>
      </c>
      <c r="DJ24" s="42">
        <f t="shared" si="8"/>
        <v>9000000</v>
      </c>
      <c r="DK24" s="42">
        <f t="shared" si="8"/>
        <v>9000000</v>
      </c>
      <c r="DL24" s="42">
        <f t="shared" si="8"/>
        <v>9000000</v>
      </c>
      <c r="DM24" s="42">
        <f t="shared" si="8"/>
        <v>9000000</v>
      </c>
      <c r="DN24" s="42">
        <f t="shared" si="8"/>
        <v>9000000</v>
      </c>
      <c r="DO24" s="42">
        <f t="shared" si="8"/>
        <v>9000000</v>
      </c>
      <c r="DP24" s="42">
        <f t="shared" si="8"/>
        <v>9000000</v>
      </c>
      <c r="DQ24" s="42">
        <f t="shared" si="8"/>
        <v>9000000</v>
      </c>
      <c r="DR24" s="42">
        <f t="shared" si="8"/>
        <v>9000000</v>
      </c>
      <c r="DS24" s="42">
        <f t="shared" si="8"/>
        <v>9000000</v>
      </c>
      <c r="DT24" s="42">
        <f t="shared" si="8"/>
        <v>9000000</v>
      </c>
      <c r="DU24" s="42">
        <f t="shared" si="8"/>
        <v>9000000</v>
      </c>
    </row>
    <row r="25" spans="1:125">
      <c r="C25" s="38" t="s">
        <v>36</v>
      </c>
      <c r="D25" s="35" t="s">
        <v>35</v>
      </c>
      <c r="E25" s="41">
        <f t="shared" si="6"/>
        <v>72002059.991999999</v>
      </c>
      <c r="F25" s="42">
        <f>F33*F21</f>
        <v>600171.66599999997</v>
      </c>
      <c r="G25" s="42">
        <f t="shared" ref="G25:BR25" si="9">G33*G21</f>
        <v>600171.66599999997</v>
      </c>
      <c r="H25" s="42">
        <f t="shared" si="9"/>
        <v>600171.66599999997</v>
      </c>
      <c r="I25" s="42">
        <f t="shared" si="9"/>
        <v>600171.66599999997</v>
      </c>
      <c r="J25" s="42">
        <f t="shared" si="9"/>
        <v>600171.66599999997</v>
      </c>
      <c r="K25" s="42">
        <f t="shared" si="9"/>
        <v>600171.66599999997</v>
      </c>
      <c r="L25" s="42">
        <f t="shared" si="9"/>
        <v>600171.66599999997</v>
      </c>
      <c r="M25" s="42">
        <f t="shared" si="9"/>
        <v>600171.66599999997</v>
      </c>
      <c r="N25" s="42">
        <f t="shared" si="9"/>
        <v>600171.66599999997</v>
      </c>
      <c r="O25" s="42">
        <f t="shared" si="9"/>
        <v>600171.66599999997</v>
      </c>
      <c r="P25" s="42">
        <f t="shared" si="9"/>
        <v>600171.66599999997</v>
      </c>
      <c r="Q25" s="42">
        <f t="shared" si="9"/>
        <v>600171.66599999997</v>
      </c>
      <c r="R25" s="42">
        <f t="shared" si="9"/>
        <v>600000</v>
      </c>
      <c r="S25" s="42">
        <f t="shared" si="9"/>
        <v>600000</v>
      </c>
      <c r="T25" s="42">
        <f t="shared" si="9"/>
        <v>600000</v>
      </c>
      <c r="U25" s="42">
        <f t="shared" si="9"/>
        <v>600000</v>
      </c>
      <c r="V25" s="42">
        <f t="shared" si="9"/>
        <v>600000</v>
      </c>
      <c r="W25" s="42">
        <f t="shared" si="9"/>
        <v>600000</v>
      </c>
      <c r="X25" s="42">
        <f t="shared" si="9"/>
        <v>600000</v>
      </c>
      <c r="Y25" s="42">
        <f t="shared" si="9"/>
        <v>600000</v>
      </c>
      <c r="Z25" s="42">
        <f t="shared" si="9"/>
        <v>600000</v>
      </c>
      <c r="AA25" s="42">
        <f t="shared" si="9"/>
        <v>600000</v>
      </c>
      <c r="AB25" s="42">
        <f t="shared" si="9"/>
        <v>600000</v>
      </c>
      <c r="AC25" s="42">
        <f t="shared" si="9"/>
        <v>600000</v>
      </c>
      <c r="AD25" s="42">
        <f t="shared" si="9"/>
        <v>600000</v>
      </c>
      <c r="AE25" s="42">
        <f t="shared" si="9"/>
        <v>600000</v>
      </c>
      <c r="AF25" s="42">
        <f t="shared" si="9"/>
        <v>600000</v>
      </c>
      <c r="AG25" s="42">
        <f t="shared" si="9"/>
        <v>600000</v>
      </c>
      <c r="AH25" s="42">
        <f t="shared" si="9"/>
        <v>600000</v>
      </c>
      <c r="AI25" s="42">
        <f t="shared" si="9"/>
        <v>600000</v>
      </c>
      <c r="AJ25" s="42">
        <f t="shared" si="9"/>
        <v>600000</v>
      </c>
      <c r="AK25" s="42">
        <f t="shared" si="9"/>
        <v>600000</v>
      </c>
      <c r="AL25" s="42">
        <f t="shared" si="9"/>
        <v>600000</v>
      </c>
      <c r="AM25" s="42">
        <f t="shared" si="9"/>
        <v>600000</v>
      </c>
      <c r="AN25" s="42">
        <f t="shared" si="9"/>
        <v>600000</v>
      </c>
      <c r="AO25" s="42">
        <f t="shared" si="9"/>
        <v>600000</v>
      </c>
      <c r="AP25" s="42">
        <f t="shared" si="9"/>
        <v>600000</v>
      </c>
      <c r="AQ25" s="42">
        <f t="shared" si="9"/>
        <v>600000</v>
      </c>
      <c r="AR25" s="42">
        <f t="shared" si="9"/>
        <v>600000</v>
      </c>
      <c r="AS25" s="42">
        <f t="shared" si="9"/>
        <v>600000</v>
      </c>
      <c r="AT25" s="42">
        <f t="shared" si="9"/>
        <v>600000</v>
      </c>
      <c r="AU25" s="42">
        <f t="shared" si="9"/>
        <v>600000</v>
      </c>
      <c r="AV25" s="42">
        <f t="shared" si="9"/>
        <v>600000</v>
      </c>
      <c r="AW25" s="42">
        <f t="shared" si="9"/>
        <v>600000</v>
      </c>
      <c r="AX25" s="42">
        <f t="shared" si="9"/>
        <v>600000</v>
      </c>
      <c r="AY25" s="42">
        <f t="shared" si="9"/>
        <v>600000</v>
      </c>
      <c r="AZ25" s="42">
        <f t="shared" si="9"/>
        <v>600000</v>
      </c>
      <c r="BA25" s="42">
        <f t="shared" si="9"/>
        <v>600000</v>
      </c>
      <c r="BB25" s="42">
        <f t="shared" si="9"/>
        <v>600000</v>
      </c>
      <c r="BC25" s="42">
        <f t="shared" si="9"/>
        <v>600000</v>
      </c>
      <c r="BD25" s="42">
        <f t="shared" si="9"/>
        <v>600000</v>
      </c>
      <c r="BE25" s="42">
        <f t="shared" si="9"/>
        <v>600000</v>
      </c>
      <c r="BF25" s="42">
        <f t="shared" si="9"/>
        <v>600000</v>
      </c>
      <c r="BG25" s="42">
        <f t="shared" si="9"/>
        <v>600000</v>
      </c>
      <c r="BH25" s="42">
        <f t="shared" si="9"/>
        <v>600000</v>
      </c>
      <c r="BI25" s="42">
        <f t="shared" si="9"/>
        <v>600000</v>
      </c>
      <c r="BJ25" s="42">
        <f t="shared" si="9"/>
        <v>600000</v>
      </c>
      <c r="BK25" s="42">
        <f t="shared" si="9"/>
        <v>600000</v>
      </c>
      <c r="BL25" s="42">
        <f t="shared" si="9"/>
        <v>600000</v>
      </c>
      <c r="BM25" s="42">
        <f t="shared" si="9"/>
        <v>600000</v>
      </c>
      <c r="BN25" s="42">
        <f t="shared" si="9"/>
        <v>600000</v>
      </c>
      <c r="BO25" s="42">
        <f t="shared" si="9"/>
        <v>600000</v>
      </c>
      <c r="BP25" s="42">
        <f t="shared" si="9"/>
        <v>600000</v>
      </c>
      <c r="BQ25" s="42">
        <f t="shared" si="9"/>
        <v>600000</v>
      </c>
      <c r="BR25" s="42">
        <f t="shared" si="9"/>
        <v>600000</v>
      </c>
      <c r="BS25" s="42">
        <f t="shared" ref="BS25:DU25" si="10">BS33*BS21</f>
        <v>600000</v>
      </c>
      <c r="BT25" s="42">
        <f t="shared" si="10"/>
        <v>600000</v>
      </c>
      <c r="BU25" s="42">
        <f t="shared" si="10"/>
        <v>600000</v>
      </c>
      <c r="BV25" s="42">
        <f t="shared" si="10"/>
        <v>600000</v>
      </c>
      <c r="BW25" s="42">
        <f t="shared" si="10"/>
        <v>600000</v>
      </c>
      <c r="BX25" s="42">
        <f t="shared" si="10"/>
        <v>600000</v>
      </c>
      <c r="BY25" s="42">
        <f t="shared" si="10"/>
        <v>600000</v>
      </c>
      <c r="BZ25" s="42">
        <f t="shared" si="10"/>
        <v>600000</v>
      </c>
      <c r="CA25" s="42">
        <f t="shared" si="10"/>
        <v>600000</v>
      </c>
      <c r="CB25" s="42">
        <f t="shared" si="10"/>
        <v>600000</v>
      </c>
      <c r="CC25" s="42">
        <f t="shared" si="10"/>
        <v>600000</v>
      </c>
      <c r="CD25" s="42">
        <f t="shared" si="10"/>
        <v>600000</v>
      </c>
      <c r="CE25" s="42">
        <f t="shared" si="10"/>
        <v>600000</v>
      </c>
      <c r="CF25" s="42">
        <f t="shared" si="10"/>
        <v>600000</v>
      </c>
      <c r="CG25" s="42">
        <f t="shared" si="10"/>
        <v>600000</v>
      </c>
      <c r="CH25" s="42">
        <f t="shared" si="10"/>
        <v>600000</v>
      </c>
      <c r="CI25" s="42">
        <f t="shared" si="10"/>
        <v>600000</v>
      </c>
      <c r="CJ25" s="42">
        <f t="shared" si="10"/>
        <v>600000</v>
      </c>
      <c r="CK25" s="42">
        <f t="shared" si="10"/>
        <v>600000</v>
      </c>
      <c r="CL25" s="42">
        <f t="shared" si="10"/>
        <v>600000</v>
      </c>
      <c r="CM25" s="42">
        <f t="shared" si="10"/>
        <v>600000</v>
      </c>
      <c r="CN25" s="42">
        <f t="shared" si="10"/>
        <v>600000</v>
      </c>
      <c r="CO25" s="42">
        <f t="shared" si="10"/>
        <v>600000</v>
      </c>
      <c r="CP25" s="42">
        <f t="shared" si="10"/>
        <v>600000</v>
      </c>
      <c r="CQ25" s="42">
        <f t="shared" si="10"/>
        <v>600000</v>
      </c>
      <c r="CR25" s="42">
        <f t="shared" si="10"/>
        <v>600000</v>
      </c>
      <c r="CS25" s="42">
        <f t="shared" si="10"/>
        <v>600000</v>
      </c>
      <c r="CT25" s="42">
        <f t="shared" si="10"/>
        <v>600000</v>
      </c>
      <c r="CU25" s="42">
        <f t="shared" si="10"/>
        <v>600000</v>
      </c>
      <c r="CV25" s="42">
        <f t="shared" si="10"/>
        <v>600000</v>
      </c>
      <c r="CW25" s="42">
        <f t="shared" si="10"/>
        <v>600000</v>
      </c>
      <c r="CX25" s="42">
        <f t="shared" si="10"/>
        <v>600000</v>
      </c>
      <c r="CY25" s="42">
        <f t="shared" si="10"/>
        <v>600000</v>
      </c>
      <c r="CZ25" s="42">
        <f t="shared" si="10"/>
        <v>600000</v>
      </c>
      <c r="DA25" s="42">
        <f t="shared" si="10"/>
        <v>600000</v>
      </c>
      <c r="DB25" s="42">
        <f t="shared" si="10"/>
        <v>600000</v>
      </c>
      <c r="DC25" s="42">
        <f t="shared" si="10"/>
        <v>600000</v>
      </c>
      <c r="DD25" s="42">
        <f t="shared" si="10"/>
        <v>600000</v>
      </c>
      <c r="DE25" s="42">
        <f t="shared" si="10"/>
        <v>600000</v>
      </c>
      <c r="DF25" s="42">
        <f t="shared" si="10"/>
        <v>600000</v>
      </c>
      <c r="DG25" s="42">
        <f t="shared" si="10"/>
        <v>600000</v>
      </c>
      <c r="DH25" s="42">
        <f t="shared" si="10"/>
        <v>600000</v>
      </c>
      <c r="DI25" s="42">
        <f t="shared" si="10"/>
        <v>600000</v>
      </c>
      <c r="DJ25" s="42">
        <f t="shared" si="10"/>
        <v>600000</v>
      </c>
      <c r="DK25" s="42">
        <f t="shared" si="10"/>
        <v>600000</v>
      </c>
      <c r="DL25" s="42">
        <f t="shared" si="10"/>
        <v>600000</v>
      </c>
      <c r="DM25" s="42">
        <f t="shared" si="10"/>
        <v>600000</v>
      </c>
      <c r="DN25" s="42">
        <f t="shared" si="10"/>
        <v>600000</v>
      </c>
      <c r="DO25" s="42">
        <f t="shared" si="10"/>
        <v>600000</v>
      </c>
      <c r="DP25" s="42">
        <f t="shared" si="10"/>
        <v>600000</v>
      </c>
      <c r="DQ25" s="42">
        <f t="shared" si="10"/>
        <v>600000</v>
      </c>
      <c r="DR25" s="42">
        <f t="shared" si="10"/>
        <v>600000</v>
      </c>
      <c r="DS25" s="42">
        <f t="shared" si="10"/>
        <v>600000</v>
      </c>
      <c r="DT25" s="42">
        <f t="shared" si="10"/>
        <v>600000</v>
      </c>
      <c r="DU25" s="42">
        <f t="shared" si="10"/>
        <v>600000</v>
      </c>
    </row>
    <row r="26" spans="1:125" ht="16">
      <c r="C26" s="22" t="s">
        <v>37</v>
      </c>
      <c r="D26" s="43"/>
      <c r="E26" s="44"/>
    </row>
    <row r="27" spans="1:125">
      <c r="C27" s="45" t="s">
        <v>38</v>
      </c>
      <c r="D27" s="5" t="s">
        <v>29</v>
      </c>
      <c r="E27" s="182">
        <v>14.5</v>
      </c>
    </row>
    <row r="28" spans="1:125">
      <c r="C28" s="45" t="s">
        <v>39</v>
      </c>
      <c r="D28" s="5" t="s">
        <v>29</v>
      </c>
      <c r="E28" s="182">
        <v>23.33</v>
      </c>
    </row>
    <row r="29" spans="1:125" ht="16">
      <c r="C29" s="22" t="s">
        <v>40</v>
      </c>
      <c r="D29" s="43"/>
      <c r="E29" s="46"/>
    </row>
    <row r="30" spans="1:125">
      <c r="C30" s="47" t="s">
        <v>41</v>
      </c>
      <c r="D30" s="48" t="s">
        <v>35</v>
      </c>
      <c r="E30" s="49">
        <f>SUM(F30:DU30)</f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0</v>
      </c>
      <c r="AV30" s="50">
        <v>0</v>
      </c>
      <c r="AW30" s="50">
        <v>0</v>
      </c>
      <c r="AX30" s="50">
        <v>0</v>
      </c>
      <c r="AY30" s="50">
        <v>0</v>
      </c>
      <c r="AZ30" s="50">
        <v>0</v>
      </c>
      <c r="BA30" s="50">
        <v>0</v>
      </c>
      <c r="BB30" s="50">
        <v>0</v>
      </c>
      <c r="BC30" s="50">
        <v>0</v>
      </c>
      <c r="BD30" s="50">
        <v>0</v>
      </c>
      <c r="BE30" s="50">
        <v>0</v>
      </c>
      <c r="BF30" s="50">
        <v>0</v>
      </c>
      <c r="BG30" s="50">
        <v>0</v>
      </c>
      <c r="BH30" s="50">
        <v>0</v>
      </c>
      <c r="BI30" s="50">
        <v>0</v>
      </c>
      <c r="BJ30" s="50">
        <v>0</v>
      </c>
      <c r="BK30" s="50">
        <v>0</v>
      </c>
      <c r="BL30" s="50">
        <v>0</v>
      </c>
      <c r="BM30" s="50">
        <v>0</v>
      </c>
      <c r="BN30" s="50">
        <v>0</v>
      </c>
      <c r="BO30" s="50">
        <v>0</v>
      </c>
      <c r="BP30" s="50">
        <v>0</v>
      </c>
      <c r="BQ30" s="50">
        <v>0</v>
      </c>
      <c r="BR30" s="50">
        <v>0</v>
      </c>
      <c r="BS30" s="50">
        <v>0</v>
      </c>
      <c r="BT30" s="50">
        <v>0</v>
      </c>
      <c r="BU30" s="50">
        <v>0</v>
      </c>
      <c r="BV30" s="50">
        <v>0</v>
      </c>
      <c r="BW30" s="50">
        <v>0</v>
      </c>
      <c r="BX30" s="50">
        <v>0</v>
      </c>
      <c r="BY30" s="50">
        <v>0</v>
      </c>
      <c r="BZ30" s="50">
        <v>0</v>
      </c>
      <c r="CA30" s="50">
        <v>0</v>
      </c>
      <c r="CB30" s="50">
        <v>0</v>
      </c>
      <c r="CC30" s="50">
        <v>0</v>
      </c>
      <c r="CD30" s="50">
        <v>0</v>
      </c>
      <c r="CE30" s="50">
        <v>0</v>
      </c>
      <c r="CF30" s="50">
        <v>0</v>
      </c>
      <c r="CG30" s="50">
        <v>0</v>
      </c>
      <c r="CH30" s="50">
        <v>0</v>
      </c>
      <c r="CI30" s="50">
        <v>0</v>
      </c>
      <c r="CJ30" s="50">
        <v>0</v>
      </c>
      <c r="CK30" s="50">
        <v>0</v>
      </c>
      <c r="CL30" s="50">
        <v>0</v>
      </c>
      <c r="CM30" s="50">
        <v>0</v>
      </c>
      <c r="CN30" s="50">
        <v>0</v>
      </c>
      <c r="CO30" s="50">
        <v>0</v>
      </c>
      <c r="CP30" s="50">
        <v>0</v>
      </c>
      <c r="CQ30" s="50">
        <v>0</v>
      </c>
      <c r="CR30" s="50">
        <v>0</v>
      </c>
      <c r="CS30" s="50">
        <v>0</v>
      </c>
      <c r="CT30" s="50">
        <v>0</v>
      </c>
      <c r="CU30" s="50">
        <v>0</v>
      </c>
      <c r="CV30" s="50">
        <v>0</v>
      </c>
      <c r="CW30" s="50">
        <v>0</v>
      </c>
      <c r="CX30" s="50">
        <v>0</v>
      </c>
      <c r="CY30" s="50">
        <v>0</v>
      </c>
      <c r="CZ30" s="50">
        <v>0</v>
      </c>
      <c r="DA30" s="50">
        <v>0</v>
      </c>
      <c r="DB30" s="50">
        <v>0</v>
      </c>
      <c r="DC30" s="50">
        <v>0</v>
      </c>
      <c r="DD30" s="50">
        <v>0</v>
      </c>
      <c r="DE30" s="50">
        <v>0</v>
      </c>
      <c r="DF30" s="50">
        <v>0</v>
      </c>
      <c r="DG30" s="50">
        <v>0</v>
      </c>
      <c r="DH30" s="50">
        <v>0</v>
      </c>
      <c r="DI30" s="50">
        <v>0</v>
      </c>
      <c r="DJ30" s="50">
        <v>0</v>
      </c>
      <c r="DK30" s="50">
        <v>0</v>
      </c>
      <c r="DL30" s="50">
        <v>0</v>
      </c>
      <c r="DM30" s="50">
        <v>0</v>
      </c>
      <c r="DN30" s="50">
        <v>0</v>
      </c>
      <c r="DO30" s="50">
        <v>0</v>
      </c>
      <c r="DP30" s="50">
        <v>0</v>
      </c>
      <c r="DQ30" s="50">
        <v>0</v>
      </c>
      <c r="DR30" s="50">
        <v>0</v>
      </c>
      <c r="DS30" s="50">
        <v>0</v>
      </c>
      <c r="DT30" s="50">
        <v>0</v>
      </c>
      <c r="DU30" s="50">
        <v>0</v>
      </c>
    </row>
    <row r="31" spans="1:125">
      <c r="C31" s="51" t="s">
        <v>42</v>
      </c>
      <c r="D31" s="52" t="s">
        <v>35</v>
      </c>
      <c r="E31" s="53">
        <f>SUM(E32:E34)</f>
        <v>21604282214.400002</v>
      </c>
      <c r="F31" s="54">
        <f>F32+F33+F34</f>
        <v>600171666</v>
      </c>
      <c r="G31" s="54">
        <f t="shared" ref="G31:BR31" si="11">G32+G33+G34</f>
        <v>600171666</v>
      </c>
      <c r="H31" s="54">
        <f t="shared" si="11"/>
        <v>600171666</v>
      </c>
      <c r="I31" s="54">
        <f t="shared" si="11"/>
        <v>600171666</v>
      </c>
      <c r="J31" s="54">
        <f t="shared" si="11"/>
        <v>600171666</v>
      </c>
      <c r="K31" s="54">
        <f t="shared" si="11"/>
        <v>600171666</v>
      </c>
      <c r="L31" s="54">
        <f t="shared" si="11"/>
        <v>600171666</v>
      </c>
      <c r="M31" s="54">
        <f t="shared" si="11"/>
        <v>600171666</v>
      </c>
      <c r="N31" s="54">
        <f t="shared" si="11"/>
        <v>600171666</v>
      </c>
      <c r="O31" s="54">
        <f t="shared" si="11"/>
        <v>600171666</v>
      </c>
      <c r="P31" s="54">
        <f t="shared" si="11"/>
        <v>600171666</v>
      </c>
      <c r="Q31" s="54">
        <f t="shared" si="11"/>
        <v>600171666</v>
      </c>
      <c r="R31" s="54">
        <f t="shared" si="11"/>
        <v>600092592.60000002</v>
      </c>
      <c r="S31" s="54">
        <f t="shared" si="11"/>
        <v>600092592.60000002</v>
      </c>
      <c r="T31" s="54">
        <f t="shared" si="11"/>
        <v>600092592.60000002</v>
      </c>
      <c r="U31" s="54">
        <f t="shared" si="11"/>
        <v>600092592.60000002</v>
      </c>
      <c r="V31" s="54">
        <f t="shared" si="11"/>
        <v>600092592.60000002</v>
      </c>
      <c r="W31" s="54">
        <f t="shared" si="11"/>
        <v>600092592.60000002</v>
      </c>
      <c r="X31" s="54">
        <f t="shared" si="11"/>
        <v>600092592.60000002</v>
      </c>
      <c r="Y31" s="54">
        <f t="shared" si="11"/>
        <v>600092592.60000002</v>
      </c>
      <c r="Z31" s="54">
        <f t="shared" si="11"/>
        <v>600092592.60000002</v>
      </c>
      <c r="AA31" s="54">
        <f t="shared" si="11"/>
        <v>600092592.60000002</v>
      </c>
      <c r="AB31" s="54">
        <f t="shared" si="11"/>
        <v>600092592.60000002</v>
      </c>
      <c r="AC31" s="54">
        <f t="shared" si="11"/>
        <v>600092592.60000002</v>
      </c>
      <c r="AD31" s="54">
        <f t="shared" si="11"/>
        <v>600092592.60000002</v>
      </c>
      <c r="AE31" s="54">
        <f t="shared" si="11"/>
        <v>600092592.60000002</v>
      </c>
      <c r="AF31" s="54">
        <f t="shared" si="11"/>
        <v>600092592.60000002</v>
      </c>
      <c r="AG31" s="54">
        <f t="shared" si="11"/>
        <v>600092592.60000002</v>
      </c>
      <c r="AH31" s="54">
        <f t="shared" si="11"/>
        <v>600092592.60000002</v>
      </c>
      <c r="AI31" s="54">
        <f t="shared" si="11"/>
        <v>600092592.60000002</v>
      </c>
      <c r="AJ31" s="54">
        <f t="shared" si="11"/>
        <v>600092592.60000002</v>
      </c>
      <c r="AK31" s="54">
        <f t="shared" si="11"/>
        <v>600092592.60000002</v>
      </c>
      <c r="AL31" s="54">
        <f t="shared" si="11"/>
        <v>600092592.60000002</v>
      </c>
      <c r="AM31" s="54">
        <f t="shared" si="11"/>
        <v>600092592.60000002</v>
      </c>
      <c r="AN31" s="54">
        <f t="shared" si="11"/>
        <v>600092592.60000002</v>
      </c>
      <c r="AO31" s="54">
        <f t="shared" si="11"/>
        <v>600092592.60000002</v>
      </c>
      <c r="AP31" s="54">
        <f t="shared" si="11"/>
        <v>600092592.60000002</v>
      </c>
      <c r="AQ31" s="54">
        <f t="shared" si="11"/>
        <v>600092592.60000002</v>
      </c>
      <c r="AR31" s="54">
        <f t="shared" si="11"/>
        <v>600092592.60000002</v>
      </c>
      <c r="AS31" s="54">
        <f t="shared" si="11"/>
        <v>600092592.60000002</v>
      </c>
      <c r="AT31" s="54">
        <f t="shared" si="11"/>
        <v>600092592.60000002</v>
      </c>
      <c r="AU31" s="54">
        <f t="shared" si="11"/>
        <v>600092592.60000002</v>
      </c>
      <c r="AV31" s="54">
        <f t="shared" si="11"/>
        <v>600092592.60000002</v>
      </c>
      <c r="AW31" s="54">
        <f t="shared" si="11"/>
        <v>600092592.60000002</v>
      </c>
      <c r="AX31" s="54">
        <f t="shared" si="11"/>
        <v>600092592.60000002</v>
      </c>
      <c r="AY31" s="54">
        <f t="shared" si="11"/>
        <v>600092592.60000002</v>
      </c>
      <c r="AZ31" s="54">
        <f t="shared" si="11"/>
        <v>600092592.60000002</v>
      </c>
      <c r="BA31" s="54">
        <f t="shared" si="11"/>
        <v>600092592.60000002</v>
      </c>
      <c r="BB31" s="54">
        <f t="shared" si="11"/>
        <v>600092592.60000002</v>
      </c>
      <c r="BC31" s="54">
        <f t="shared" si="11"/>
        <v>600092592.60000002</v>
      </c>
      <c r="BD31" s="54">
        <f t="shared" si="11"/>
        <v>600092592.60000002</v>
      </c>
      <c r="BE31" s="54">
        <f t="shared" si="11"/>
        <v>600092592.60000002</v>
      </c>
      <c r="BF31" s="54">
        <f t="shared" si="11"/>
        <v>600092592.60000002</v>
      </c>
      <c r="BG31" s="54">
        <f t="shared" si="11"/>
        <v>600092592.60000002</v>
      </c>
      <c r="BH31" s="54">
        <f t="shared" si="11"/>
        <v>600092592.60000002</v>
      </c>
      <c r="BI31" s="54">
        <f t="shared" si="11"/>
        <v>600092592.60000002</v>
      </c>
      <c r="BJ31" s="54">
        <f t="shared" si="11"/>
        <v>600092592.60000002</v>
      </c>
      <c r="BK31" s="54">
        <f t="shared" si="11"/>
        <v>600092592.60000002</v>
      </c>
      <c r="BL31" s="54">
        <f t="shared" si="11"/>
        <v>600092592.60000002</v>
      </c>
      <c r="BM31" s="54">
        <f t="shared" si="11"/>
        <v>600092592.60000002</v>
      </c>
      <c r="BN31" s="54">
        <f t="shared" si="11"/>
        <v>600092592.60000002</v>
      </c>
      <c r="BO31" s="54">
        <f t="shared" si="11"/>
        <v>600092592.60000002</v>
      </c>
      <c r="BP31" s="54">
        <f t="shared" si="11"/>
        <v>600092592.60000002</v>
      </c>
      <c r="BQ31" s="54">
        <f t="shared" si="11"/>
        <v>600092592.60000002</v>
      </c>
      <c r="BR31" s="54">
        <f t="shared" si="11"/>
        <v>600092592.60000002</v>
      </c>
      <c r="BS31" s="54">
        <f t="shared" ref="BS31:DU31" si="12">BS32+BS33+BS34</f>
        <v>600092592.60000002</v>
      </c>
      <c r="BT31" s="54">
        <f t="shared" si="12"/>
        <v>600092592.60000002</v>
      </c>
      <c r="BU31" s="54">
        <f t="shared" si="12"/>
        <v>600092592.60000002</v>
      </c>
      <c r="BV31" s="54">
        <f t="shared" si="12"/>
        <v>600092592.60000002</v>
      </c>
      <c r="BW31" s="54">
        <f t="shared" si="12"/>
        <v>600092592.60000002</v>
      </c>
      <c r="BX31" s="54">
        <f t="shared" si="12"/>
        <v>600092592.60000002</v>
      </c>
      <c r="BY31" s="54">
        <f t="shared" si="12"/>
        <v>600092592.60000002</v>
      </c>
      <c r="BZ31" s="54">
        <f t="shared" si="12"/>
        <v>600092592.60000002</v>
      </c>
      <c r="CA31" s="54">
        <f t="shared" si="12"/>
        <v>600092592.60000002</v>
      </c>
      <c r="CB31" s="54">
        <f t="shared" si="12"/>
        <v>600092592.60000002</v>
      </c>
      <c r="CC31" s="54">
        <f t="shared" si="12"/>
        <v>600092592.60000002</v>
      </c>
      <c r="CD31" s="54">
        <f t="shared" si="12"/>
        <v>600092592.60000002</v>
      </c>
      <c r="CE31" s="54">
        <f t="shared" si="12"/>
        <v>600092592.60000002</v>
      </c>
      <c r="CF31" s="54">
        <f t="shared" si="12"/>
        <v>600092592.60000002</v>
      </c>
      <c r="CG31" s="54">
        <f t="shared" si="12"/>
        <v>600092592.60000002</v>
      </c>
      <c r="CH31" s="54">
        <f t="shared" si="12"/>
        <v>600092592.60000002</v>
      </c>
      <c r="CI31" s="54">
        <f t="shared" si="12"/>
        <v>600092592.60000002</v>
      </c>
      <c r="CJ31" s="54">
        <f t="shared" si="12"/>
        <v>600092592.60000002</v>
      </c>
      <c r="CK31" s="54">
        <f t="shared" si="12"/>
        <v>600092592.60000002</v>
      </c>
      <c r="CL31" s="54">
        <f t="shared" si="12"/>
        <v>600092592.60000002</v>
      </c>
      <c r="CM31" s="54">
        <f t="shared" si="12"/>
        <v>600092592.60000002</v>
      </c>
      <c r="CN31" s="54">
        <f t="shared" si="12"/>
        <v>600092592.60000002</v>
      </c>
      <c r="CO31" s="54">
        <f t="shared" si="12"/>
        <v>600092592.60000002</v>
      </c>
      <c r="CP31" s="54">
        <f t="shared" si="12"/>
        <v>600092592.60000002</v>
      </c>
      <c r="CQ31" s="54">
        <f t="shared" si="12"/>
        <v>600092592.60000002</v>
      </c>
      <c r="CR31" s="54">
        <f t="shared" si="12"/>
        <v>600092592.60000002</v>
      </c>
      <c r="CS31" s="54">
        <f t="shared" si="12"/>
        <v>600092592.60000002</v>
      </c>
      <c r="CT31" s="54">
        <f t="shared" si="12"/>
        <v>600092592.60000002</v>
      </c>
      <c r="CU31" s="54">
        <f t="shared" si="12"/>
        <v>600092592.60000002</v>
      </c>
      <c r="CV31" s="54">
        <f t="shared" si="12"/>
        <v>600092592.60000002</v>
      </c>
      <c r="CW31" s="54">
        <f t="shared" si="12"/>
        <v>600092592.60000002</v>
      </c>
      <c r="CX31" s="54">
        <f t="shared" si="12"/>
        <v>600092592.60000002</v>
      </c>
      <c r="CY31" s="54">
        <f t="shared" si="12"/>
        <v>600092592.60000002</v>
      </c>
      <c r="CZ31" s="54">
        <f t="shared" si="12"/>
        <v>600092592.60000002</v>
      </c>
      <c r="DA31" s="54">
        <f t="shared" si="12"/>
        <v>600092592.60000002</v>
      </c>
      <c r="DB31" s="54">
        <f t="shared" si="12"/>
        <v>600092592.60000002</v>
      </c>
      <c r="DC31" s="54">
        <f t="shared" si="12"/>
        <v>600092592.60000002</v>
      </c>
      <c r="DD31" s="54">
        <f t="shared" si="12"/>
        <v>600092592.60000002</v>
      </c>
      <c r="DE31" s="54">
        <f t="shared" si="12"/>
        <v>600092592.60000002</v>
      </c>
      <c r="DF31" s="54">
        <f t="shared" si="12"/>
        <v>600092592.60000002</v>
      </c>
      <c r="DG31" s="54">
        <f t="shared" si="12"/>
        <v>600092592.60000002</v>
      </c>
      <c r="DH31" s="54">
        <f t="shared" si="12"/>
        <v>600092592.60000002</v>
      </c>
      <c r="DI31" s="54">
        <f t="shared" si="12"/>
        <v>600092592.60000002</v>
      </c>
      <c r="DJ31" s="54">
        <f t="shared" si="12"/>
        <v>600092592.60000002</v>
      </c>
      <c r="DK31" s="54">
        <f t="shared" si="12"/>
        <v>600092592.60000002</v>
      </c>
      <c r="DL31" s="54">
        <f t="shared" si="12"/>
        <v>600092592.60000002</v>
      </c>
      <c r="DM31" s="54">
        <f t="shared" si="12"/>
        <v>600092592.60000002</v>
      </c>
      <c r="DN31" s="54">
        <f t="shared" si="12"/>
        <v>600092592.60000002</v>
      </c>
      <c r="DO31" s="54">
        <f t="shared" si="12"/>
        <v>600092592.60000002</v>
      </c>
      <c r="DP31" s="54">
        <f t="shared" si="12"/>
        <v>600092592.60000002</v>
      </c>
      <c r="DQ31" s="54">
        <f t="shared" si="12"/>
        <v>600092592.60000002</v>
      </c>
      <c r="DR31" s="54">
        <f t="shared" si="12"/>
        <v>600092592.60000002</v>
      </c>
      <c r="DS31" s="54">
        <f t="shared" si="12"/>
        <v>600092592.60000002</v>
      </c>
      <c r="DT31" s="54">
        <f t="shared" si="12"/>
        <v>600092592.60000002</v>
      </c>
      <c r="DU31" s="54">
        <f t="shared" si="12"/>
        <v>600092592.60000002</v>
      </c>
    </row>
    <row r="32" spans="1:125">
      <c r="C32" s="55" t="s">
        <v>43</v>
      </c>
      <c r="D32" s="5" t="s">
        <v>35</v>
      </c>
      <c r="E32" s="177">
        <f>SUM(F32:AO32)</f>
        <v>2222222.4000000008</v>
      </c>
      <c r="F32" s="56">
        <f>'Операционные затраты'!E8</f>
        <v>0</v>
      </c>
      <c r="G32" s="56">
        <v>0</v>
      </c>
      <c r="H32" s="56">
        <v>0</v>
      </c>
      <c r="I32" s="56">
        <v>0</v>
      </c>
      <c r="J32" s="56">
        <v>0</v>
      </c>
      <c r="K32" s="56">
        <v>0</v>
      </c>
      <c r="L32" s="56">
        <v>0</v>
      </c>
      <c r="M32" s="56">
        <v>0</v>
      </c>
      <c r="N32" s="56">
        <v>0</v>
      </c>
      <c r="O32" s="56">
        <v>0</v>
      </c>
      <c r="P32" s="56">
        <v>0</v>
      </c>
      <c r="Q32" s="56">
        <v>0</v>
      </c>
      <c r="R32" s="56">
        <v>92592.6</v>
      </c>
      <c r="S32" s="56">
        <v>92592.6</v>
      </c>
      <c r="T32" s="56">
        <v>92592.6</v>
      </c>
      <c r="U32" s="56">
        <v>92592.6</v>
      </c>
      <c r="V32" s="56">
        <v>92592.6</v>
      </c>
      <c r="W32" s="56">
        <v>92592.6</v>
      </c>
      <c r="X32" s="56">
        <v>92592.6</v>
      </c>
      <c r="Y32" s="56">
        <v>92592.6</v>
      </c>
      <c r="Z32" s="56">
        <v>92592.6</v>
      </c>
      <c r="AA32" s="56">
        <v>92592.6</v>
      </c>
      <c r="AB32" s="56">
        <v>92592.6</v>
      </c>
      <c r="AC32" s="56">
        <v>92592.6</v>
      </c>
      <c r="AD32" s="56">
        <v>92592.6</v>
      </c>
      <c r="AE32" s="56">
        <v>92592.6</v>
      </c>
      <c r="AF32" s="56">
        <v>92592.6</v>
      </c>
      <c r="AG32" s="56">
        <v>92592.6</v>
      </c>
      <c r="AH32" s="56">
        <v>92592.6</v>
      </c>
      <c r="AI32" s="56">
        <v>92592.6</v>
      </c>
      <c r="AJ32" s="56">
        <v>92592.6</v>
      </c>
      <c r="AK32" s="56">
        <v>92592.6</v>
      </c>
      <c r="AL32" s="56">
        <v>92592.6</v>
      </c>
      <c r="AM32" s="56">
        <v>92592.6</v>
      </c>
      <c r="AN32" s="56">
        <v>92592.6</v>
      </c>
      <c r="AO32" s="56">
        <v>92592.6</v>
      </c>
      <c r="AP32" s="56">
        <v>92592.6</v>
      </c>
      <c r="AQ32" s="56">
        <v>92592.6</v>
      </c>
      <c r="AR32" s="56">
        <v>92592.6</v>
      </c>
      <c r="AS32" s="56">
        <v>92592.6</v>
      </c>
      <c r="AT32" s="56">
        <v>92592.6</v>
      </c>
      <c r="AU32" s="56">
        <v>92592.6</v>
      </c>
      <c r="AV32" s="56">
        <v>92592.6</v>
      </c>
      <c r="AW32" s="56">
        <v>92592.6</v>
      </c>
      <c r="AX32" s="56">
        <v>92592.6</v>
      </c>
      <c r="AY32" s="56">
        <v>92592.6</v>
      </c>
      <c r="AZ32" s="56">
        <v>92592.6</v>
      </c>
      <c r="BA32" s="56">
        <v>92592.6</v>
      </c>
      <c r="BB32" s="56">
        <v>92592.6</v>
      </c>
      <c r="BC32" s="56">
        <v>92592.6</v>
      </c>
      <c r="BD32" s="56">
        <v>92592.6</v>
      </c>
      <c r="BE32" s="56">
        <v>92592.6</v>
      </c>
      <c r="BF32" s="56">
        <v>92592.6</v>
      </c>
      <c r="BG32" s="56">
        <v>92592.6</v>
      </c>
      <c r="BH32" s="56">
        <v>92592.6</v>
      </c>
      <c r="BI32" s="56">
        <v>92592.6</v>
      </c>
      <c r="BJ32" s="56">
        <v>92592.6</v>
      </c>
      <c r="BK32" s="56">
        <v>92592.6</v>
      </c>
      <c r="BL32" s="56">
        <v>92592.6</v>
      </c>
      <c r="BM32" s="56">
        <v>92592.6</v>
      </c>
      <c r="BN32" s="56">
        <v>92592.6</v>
      </c>
      <c r="BO32" s="56">
        <v>92592.6</v>
      </c>
      <c r="BP32" s="56">
        <v>92592.6</v>
      </c>
      <c r="BQ32" s="56">
        <v>92592.6</v>
      </c>
      <c r="BR32" s="56">
        <v>92592.6</v>
      </c>
      <c r="BS32" s="56">
        <v>92592.6</v>
      </c>
      <c r="BT32" s="56">
        <v>92592.6</v>
      </c>
      <c r="BU32" s="56">
        <v>92592.6</v>
      </c>
      <c r="BV32" s="56">
        <v>92592.6</v>
      </c>
      <c r="BW32" s="56">
        <v>92592.6</v>
      </c>
      <c r="BX32" s="56">
        <v>92592.6</v>
      </c>
      <c r="BY32" s="56">
        <v>92592.6</v>
      </c>
      <c r="BZ32" s="56">
        <v>92592.6</v>
      </c>
      <c r="CA32" s="56">
        <v>92592.6</v>
      </c>
      <c r="CB32" s="56">
        <v>92592.6</v>
      </c>
      <c r="CC32" s="56">
        <v>92592.6</v>
      </c>
      <c r="CD32" s="56">
        <v>92592.6</v>
      </c>
      <c r="CE32" s="56">
        <v>92592.6</v>
      </c>
      <c r="CF32" s="56">
        <v>92592.6</v>
      </c>
      <c r="CG32" s="56">
        <v>92592.6</v>
      </c>
      <c r="CH32" s="56">
        <v>92592.6</v>
      </c>
      <c r="CI32" s="56">
        <v>92592.6</v>
      </c>
      <c r="CJ32" s="56">
        <v>92592.6</v>
      </c>
      <c r="CK32" s="56">
        <v>92592.6</v>
      </c>
      <c r="CL32" s="56">
        <v>92592.6</v>
      </c>
      <c r="CM32" s="56">
        <v>92592.6</v>
      </c>
      <c r="CN32" s="56">
        <v>92592.6</v>
      </c>
      <c r="CO32" s="56">
        <v>92592.6</v>
      </c>
      <c r="CP32" s="56">
        <v>92592.6</v>
      </c>
      <c r="CQ32" s="56">
        <v>92592.6</v>
      </c>
      <c r="CR32" s="56">
        <v>92592.6</v>
      </c>
      <c r="CS32" s="56">
        <v>92592.6</v>
      </c>
      <c r="CT32" s="56">
        <v>92592.6</v>
      </c>
      <c r="CU32" s="56">
        <v>92592.6</v>
      </c>
      <c r="CV32" s="56">
        <v>92592.6</v>
      </c>
      <c r="CW32" s="56">
        <v>92592.6</v>
      </c>
      <c r="CX32" s="56">
        <v>92592.6</v>
      </c>
      <c r="CY32" s="56">
        <v>92592.6</v>
      </c>
      <c r="CZ32" s="56">
        <v>92592.6</v>
      </c>
      <c r="DA32" s="56">
        <v>92592.6</v>
      </c>
      <c r="DB32" s="56">
        <v>92592.6</v>
      </c>
      <c r="DC32" s="56">
        <v>92592.6</v>
      </c>
      <c r="DD32" s="56">
        <v>92592.6</v>
      </c>
      <c r="DE32" s="56">
        <v>92592.6</v>
      </c>
      <c r="DF32" s="56">
        <v>92592.6</v>
      </c>
      <c r="DG32" s="56">
        <v>92592.6</v>
      </c>
      <c r="DH32" s="56">
        <v>92592.6</v>
      </c>
      <c r="DI32" s="56">
        <v>92592.6</v>
      </c>
      <c r="DJ32" s="56">
        <v>92592.6</v>
      </c>
      <c r="DK32" s="56">
        <v>92592.6</v>
      </c>
      <c r="DL32" s="56">
        <v>92592.6</v>
      </c>
      <c r="DM32" s="56">
        <v>92592.6</v>
      </c>
      <c r="DN32" s="56">
        <v>92592.6</v>
      </c>
      <c r="DO32" s="56">
        <v>92592.6</v>
      </c>
      <c r="DP32" s="56">
        <v>92592.6</v>
      </c>
      <c r="DQ32" s="56">
        <v>92592.6</v>
      </c>
      <c r="DR32" s="56">
        <v>92592.6</v>
      </c>
      <c r="DS32" s="56">
        <v>92592.6</v>
      </c>
      <c r="DT32" s="56">
        <v>92592.6</v>
      </c>
      <c r="DU32" s="56">
        <v>92592.6</v>
      </c>
    </row>
    <row r="33" spans="3:125">
      <c r="C33" s="55" t="s">
        <v>44</v>
      </c>
      <c r="D33" s="5" t="s">
        <v>35</v>
      </c>
      <c r="E33" s="177">
        <f>SUM(F33:AO33)</f>
        <v>21602059992</v>
      </c>
      <c r="F33" s="56">
        <f>SUM('Операционные затраты'!E8,'Операционные затраты'!E22,'Операционные затраты'!E24)</f>
        <v>600171666</v>
      </c>
      <c r="G33" s="56">
        <f>SUM('Операционные затраты'!F8,'Операционные затраты'!F22,'Операционные затраты'!F24)</f>
        <v>600171666</v>
      </c>
      <c r="H33" s="56">
        <f>SUM('Операционные затраты'!G8,'Операционные затраты'!G22,'Операционные затраты'!G24)</f>
        <v>600171666</v>
      </c>
      <c r="I33" s="56">
        <f>SUM('Операционные затраты'!H8,'Операционные затраты'!H22,'Операционные затраты'!H24)</f>
        <v>600171666</v>
      </c>
      <c r="J33" s="56">
        <f>SUM('Операционные затраты'!I8,'Операционные затраты'!I22,'Операционные затраты'!I24)</f>
        <v>600171666</v>
      </c>
      <c r="K33" s="56">
        <f>SUM('Операционные затраты'!J8,'Операционные затраты'!J22,'Операционные затраты'!J24)</f>
        <v>600171666</v>
      </c>
      <c r="L33" s="56">
        <f>SUM('Операционные затраты'!K8,'Операционные затраты'!K22,'Операционные затраты'!K24)</f>
        <v>600171666</v>
      </c>
      <c r="M33" s="56">
        <f>SUM('Операционные затраты'!L8,'Операционные затраты'!L22,'Операционные затраты'!L24)</f>
        <v>600171666</v>
      </c>
      <c r="N33" s="56">
        <f>SUM('Операционные затраты'!M8,'Операционные затраты'!M22,'Операционные затраты'!M24)</f>
        <v>600171666</v>
      </c>
      <c r="O33" s="56">
        <f>SUM('Операционные затраты'!N8,'Операционные затраты'!N22,'Операционные затраты'!N24)</f>
        <v>600171666</v>
      </c>
      <c r="P33" s="56">
        <f>SUM('Операционные затраты'!O8,'Операционные затраты'!O22,'Операционные затраты'!O24)</f>
        <v>600171666</v>
      </c>
      <c r="Q33" s="56">
        <f>SUM('Операционные затраты'!P8,'Операционные затраты'!P22,'Операционные затраты'!P24)</f>
        <v>600171666</v>
      </c>
      <c r="R33" s="56">
        <f>SUM('Операционные затраты'!Q8,'Операционные затраты'!Q22,'Операционные затраты'!Q24)</f>
        <v>600000000</v>
      </c>
      <c r="S33" s="56">
        <f>SUM('Операционные затраты'!R8,'Операционные затраты'!R22,'Операционные затраты'!R24)</f>
        <v>600000000</v>
      </c>
      <c r="T33" s="56">
        <f>SUM('Операционные затраты'!S8,'Операционные затраты'!S22,'Операционные затраты'!S24)</f>
        <v>600000000</v>
      </c>
      <c r="U33" s="56">
        <f>SUM('Операционные затраты'!T8,'Операционные затраты'!T22,'Операционные затраты'!T24)</f>
        <v>600000000</v>
      </c>
      <c r="V33" s="56">
        <f>SUM('Операционные затраты'!U8,'Операционные затраты'!U22,'Операционные затраты'!U24)</f>
        <v>600000000</v>
      </c>
      <c r="W33" s="56">
        <f>SUM('Операционные затраты'!V8,'Операционные затраты'!V22,'Операционные затраты'!V24)</f>
        <v>600000000</v>
      </c>
      <c r="X33" s="56">
        <f>SUM('Операционные затраты'!W8,'Операционные затраты'!W22,'Операционные затраты'!W24)</f>
        <v>600000000</v>
      </c>
      <c r="Y33" s="56">
        <f>SUM('Операционные затраты'!X8,'Операционные затраты'!X22,'Операционные затраты'!X24)</f>
        <v>600000000</v>
      </c>
      <c r="Z33" s="56">
        <f>SUM('Операционные затраты'!Y8,'Операционные затраты'!Y22,'Операционные затраты'!Y24)</f>
        <v>600000000</v>
      </c>
      <c r="AA33" s="56">
        <f>SUM('Операционные затраты'!Z8,'Операционные затраты'!Z22,'Операционные затраты'!Z24)</f>
        <v>600000000</v>
      </c>
      <c r="AB33" s="56">
        <f>SUM('Операционные затраты'!AA8,'Операционные затраты'!AA22,'Операционные затраты'!AA24)</f>
        <v>600000000</v>
      </c>
      <c r="AC33" s="56">
        <f>SUM('Операционные затраты'!AB8,'Операционные затраты'!AB22,'Операционные затраты'!AB24)</f>
        <v>600000000</v>
      </c>
      <c r="AD33" s="56">
        <f>SUM('Операционные затраты'!AC8,'Операционные затраты'!AC22,'Операционные затраты'!AC24)</f>
        <v>600000000</v>
      </c>
      <c r="AE33" s="56">
        <f>SUM('Операционные затраты'!AD8,'Операционные затраты'!AD22,'Операционные затраты'!AD24)</f>
        <v>600000000</v>
      </c>
      <c r="AF33" s="56">
        <f>SUM('Операционные затраты'!AE8,'Операционные затраты'!AE22,'Операционные затраты'!AE24)</f>
        <v>600000000</v>
      </c>
      <c r="AG33" s="56">
        <f>SUM('Операционные затраты'!AF8,'Операционные затраты'!AF22,'Операционные затраты'!AF24)</f>
        <v>600000000</v>
      </c>
      <c r="AH33" s="56">
        <f>SUM('Операционные затраты'!AG8,'Операционные затраты'!AG22,'Операционные затраты'!AG24)</f>
        <v>600000000</v>
      </c>
      <c r="AI33" s="56">
        <f>SUM('Операционные затраты'!AH8,'Операционные затраты'!AH22,'Операционные затраты'!AH24)</f>
        <v>600000000</v>
      </c>
      <c r="AJ33" s="56">
        <f>SUM('Операционные затраты'!AI8,'Операционные затраты'!AI22,'Операционные затраты'!AI24)</f>
        <v>600000000</v>
      </c>
      <c r="AK33" s="56">
        <f>SUM('Операционные затраты'!AJ8,'Операционные затраты'!AJ22,'Операционные затраты'!AJ24)</f>
        <v>600000000</v>
      </c>
      <c r="AL33" s="56">
        <f>SUM('Операционные затраты'!AK8,'Операционные затраты'!AK22,'Операционные затраты'!AK24)</f>
        <v>600000000</v>
      </c>
      <c r="AM33" s="56">
        <f>SUM('Операционные затраты'!AL8,'Операционные затраты'!AL22,'Операционные затраты'!AL24)</f>
        <v>600000000</v>
      </c>
      <c r="AN33" s="56">
        <f>SUM('Операционные затраты'!AM8,'Операционные затраты'!AM22,'Операционные затраты'!AM24)</f>
        <v>600000000</v>
      </c>
      <c r="AO33" s="56">
        <f>SUM('Операционные затраты'!AN8,'Операционные затраты'!AN22,'Операционные затраты'!AN24)</f>
        <v>600000000</v>
      </c>
      <c r="AP33" s="56">
        <f>SUM('Операционные затраты'!AO8,'Операционные затраты'!AO22,'Операционные затраты'!AO24)</f>
        <v>600000000</v>
      </c>
      <c r="AQ33" s="56">
        <f>SUM('Операционные затраты'!AP8,'Операционные затраты'!AP22,'Операционные затраты'!AP24)</f>
        <v>600000000</v>
      </c>
      <c r="AR33" s="56">
        <f>SUM('Операционные затраты'!AQ8,'Операционные затраты'!AQ22,'Операционные затраты'!AQ24)</f>
        <v>600000000</v>
      </c>
      <c r="AS33" s="56">
        <f>SUM('Операционные затраты'!AR8,'Операционные затраты'!AR22,'Операционные затраты'!AR24)</f>
        <v>600000000</v>
      </c>
      <c r="AT33" s="56">
        <f>SUM('Операционные затраты'!AS8,'Операционные затраты'!AS22,'Операционные затраты'!AS24)</f>
        <v>600000000</v>
      </c>
      <c r="AU33" s="56">
        <f>SUM('Операционные затраты'!AT8,'Операционные затраты'!AT22,'Операционные затраты'!AT24)</f>
        <v>600000000</v>
      </c>
      <c r="AV33" s="56">
        <f>SUM('Операционные затраты'!AU8,'Операционные затраты'!AU22,'Операционные затраты'!AU24)</f>
        <v>600000000</v>
      </c>
      <c r="AW33" s="56">
        <f>SUM('Операционные затраты'!AV8,'Операционные затраты'!AV22,'Операционные затраты'!AV24)</f>
        <v>600000000</v>
      </c>
      <c r="AX33" s="56">
        <f>SUM('Операционные затраты'!AW8,'Операционные затраты'!AW22,'Операционные затраты'!AW24)</f>
        <v>600000000</v>
      </c>
      <c r="AY33" s="56">
        <f>SUM('Операционные затраты'!AX8,'Операционные затраты'!AX22,'Операционные затраты'!AX24)</f>
        <v>600000000</v>
      </c>
      <c r="AZ33" s="56">
        <f>SUM('Операционные затраты'!AY8,'Операционные затраты'!AY22,'Операционные затраты'!AY24)</f>
        <v>600000000</v>
      </c>
      <c r="BA33" s="56">
        <f>SUM('Операционные затраты'!AZ8,'Операционные затраты'!AZ22,'Операционные затраты'!AZ24)</f>
        <v>600000000</v>
      </c>
      <c r="BB33" s="56">
        <f>SUM('Операционные затраты'!BA8,'Операционные затраты'!BA22,'Операционные затраты'!BA24)</f>
        <v>600000000</v>
      </c>
      <c r="BC33" s="56">
        <f>SUM('Операционные затраты'!BB8,'Операционные затраты'!BB22,'Операционные затраты'!BB24)</f>
        <v>600000000</v>
      </c>
      <c r="BD33" s="56">
        <f>SUM('Операционные затраты'!BC8,'Операционные затраты'!BC22,'Операционные затраты'!BC24)</f>
        <v>600000000</v>
      </c>
      <c r="BE33" s="56">
        <f>SUM('Операционные затраты'!BD8,'Операционные затраты'!BD22,'Операционные затраты'!BD24)</f>
        <v>600000000</v>
      </c>
      <c r="BF33" s="56">
        <f>SUM('Операционные затраты'!BE8,'Операционные затраты'!BE22,'Операционные затраты'!BE24)</f>
        <v>600000000</v>
      </c>
      <c r="BG33" s="56">
        <f>SUM('Операционные затраты'!BF8,'Операционные затраты'!BF22,'Операционные затраты'!BF24)</f>
        <v>600000000</v>
      </c>
      <c r="BH33" s="56">
        <f>SUM('Операционные затраты'!BG8,'Операционные затраты'!BG22,'Операционные затраты'!BG24)</f>
        <v>600000000</v>
      </c>
      <c r="BI33" s="56">
        <f>SUM('Операционные затраты'!BH8,'Операционные затраты'!BH22,'Операционные затраты'!BH24)</f>
        <v>600000000</v>
      </c>
      <c r="BJ33" s="56">
        <f>SUM('Операционные затраты'!BI8,'Операционные затраты'!BI22,'Операционные затраты'!BI24)</f>
        <v>600000000</v>
      </c>
      <c r="BK33" s="56">
        <f>SUM('Операционные затраты'!BJ8,'Операционные затраты'!BJ22,'Операционные затраты'!BJ24)</f>
        <v>600000000</v>
      </c>
      <c r="BL33" s="56">
        <f>SUM('Операционные затраты'!BK8,'Операционные затраты'!BK22,'Операционные затраты'!BK24)</f>
        <v>600000000</v>
      </c>
      <c r="BM33" s="56">
        <f>SUM('Операционные затраты'!BL8,'Операционные затраты'!BL22,'Операционные затраты'!BL24)</f>
        <v>600000000</v>
      </c>
      <c r="BN33" s="56">
        <f>SUM('Операционные затраты'!BM8,'Операционные затраты'!BM22,'Операционные затраты'!BM24)</f>
        <v>600000000</v>
      </c>
      <c r="BO33" s="56">
        <f>SUM('Операционные затраты'!BN8,'Операционные затраты'!BN22,'Операционные затраты'!BN24)</f>
        <v>600000000</v>
      </c>
      <c r="BP33" s="56">
        <f>SUM('Операционные затраты'!BO8,'Операционные затраты'!BO22,'Операционные затраты'!BO24)</f>
        <v>600000000</v>
      </c>
      <c r="BQ33" s="56">
        <f>SUM('Операционные затраты'!BP8,'Операционные затраты'!BP22,'Операционные затраты'!BP24)</f>
        <v>600000000</v>
      </c>
      <c r="BR33" s="56">
        <f>SUM('Операционные затраты'!BQ8,'Операционные затраты'!BQ22,'Операционные затраты'!BQ24)</f>
        <v>600000000</v>
      </c>
      <c r="BS33" s="56">
        <f>SUM('Операционные затраты'!BR8,'Операционные затраты'!BR22,'Операционные затраты'!BR24)</f>
        <v>600000000</v>
      </c>
      <c r="BT33" s="56">
        <f>SUM('Операционные затраты'!BS8,'Операционные затраты'!BS22,'Операционные затраты'!BS24)</f>
        <v>600000000</v>
      </c>
      <c r="BU33" s="56">
        <f>SUM('Операционные затраты'!BT8,'Операционные затраты'!BT22,'Операционные затраты'!BT24)</f>
        <v>600000000</v>
      </c>
      <c r="BV33" s="56">
        <f>SUM('Операционные затраты'!BU8,'Операционные затраты'!BU22,'Операционные затраты'!BU24)</f>
        <v>600000000</v>
      </c>
      <c r="BW33" s="56">
        <f>SUM('Операционные затраты'!BV8,'Операционные затраты'!BV22,'Операционные затраты'!BV24)</f>
        <v>600000000</v>
      </c>
      <c r="BX33" s="56">
        <f>SUM('Операционные затраты'!BW8,'Операционные затраты'!BW22,'Операционные затраты'!BW24)</f>
        <v>600000000</v>
      </c>
      <c r="BY33" s="56">
        <f>SUM('Операционные затраты'!BX8,'Операционные затраты'!BX22,'Операционные затраты'!BX24)</f>
        <v>600000000</v>
      </c>
      <c r="BZ33" s="56">
        <f>SUM('Операционные затраты'!BY8,'Операционные затраты'!BY22,'Операционные затраты'!BY24)</f>
        <v>600000000</v>
      </c>
      <c r="CA33" s="56">
        <f>SUM('Операционные затраты'!BZ8,'Операционные затраты'!BZ22,'Операционные затраты'!BZ24)</f>
        <v>600000000</v>
      </c>
      <c r="CB33" s="56">
        <f>SUM('Операционные затраты'!CA8,'Операционные затраты'!CA22,'Операционные затраты'!CA24)</f>
        <v>600000000</v>
      </c>
      <c r="CC33" s="56">
        <f>SUM('Операционные затраты'!CB8,'Операционные затраты'!CB22,'Операционные затраты'!CB24)</f>
        <v>600000000</v>
      </c>
      <c r="CD33" s="56">
        <f>SUM('Операционные затраты'!CC8,'Операционные затраты'!CC22,'Операционные затраты'!CC24)</f>
        <v>600000000</v>
      </c>
      <c r="CE33" s="56">
        <f>SUM('Операционные затраты'!CD8,'Операционные затраты'!CD22,'Операционные затраты'!CD24)</f>
        <v>600000000</v>
      </c>
      <c r="CF33" s="56">
        <f>SUM('Операционные затраты'!CE8,'Операционные затраты'!CE22,'Операционные затраты'!CE24)</f>
        <v>600000000</v>
      </c>
      <c r="CG33" s="56">
        <f>SUM('Операционные затраты'!CF8,'Операционные затраты'!CF22,'Операционные затраты'!CF24)</f>
        <v>600000000</v>
      </c>
      <c r="CH33" s="56">
        <f>SUM('Операционные затраты'!CG8,'Операционные затраты'!CG22,'Операционные затраты'!CG24)</f>
        <v>600000000</v>
      </c>
      <c r="CI33" s="56">
        <f>SUM('Операционные затраты'!CH8,'Операционные затраты'!CH22,'Операционные затраты'!CH24)</f>
        <v>600000000</v>
      </c>
      <c r="CJ33" s="56">
        <f>SUM('Операционные затраты'!CI8,'Операционные затраты'!CI22,'Операционные затраты'!CI24)</f>
        <v>600000000</v>
      </c>
      <c r="CK33" s="56">
        <f>SUM('Операционные затраты'!CJ8,'Операционные затраты'!CJ22,'Операционные затраты'!CJ24)</f>
        <v>600000000</v>
      </c>
      <c r="CL33" s="56">
        <f>SUM('Операционные затраты'!CK8,'Операционные затраты'!CK22,'Операционные затраты'!CK24)</f>
        <v>600000000</v>
      </c>
      <c r="CM33" s="56">
        <f>SUM('Операционные затраты'!CL8,'Операционные затраты'!CL22,'Операционные затраты'!CL24)</f>
        <v>600000000</v>
      </c>
      <c r="CN33" s="56">
        <f>SUM('Операционные затраты'!CM8,'Операционные затраты'!CM22,'Операционные затраты'!CM24)</f>
        <v>600000000</v>
      </c>
      <c r="CO33" s="56">
        <f>SUM('Операционные затраты'!CN8,'Операционные затраты'!CN22,'Операционные затраты'!CN24)</f>
        <v>600000000</v>
      </c>
      <c r="CP33" s="56">
        <f>SUM('Операционные затраты'!CO8,'Операционные затраты'!CO22,'Операционные затраты'!CO24)</f>
        <v>600000000</v>
      </c>
      <c r="CQ33" s="56">
        <f>SUM('Операционные затраты'!CP8,'Операционные затраты'!CP22,'Операционные затраты'!CP24)</f>
        <v>600000000</v>
      </c>
      <c r="CR33" s="56">
        <f>SUM('Операционные затраты'!CQ8,'Операционные затраты'!CQ22,'Операционные затраты'!CQ24)</f>
        <v>600000000</v>
      </c>
      <c r="CS33" s="56">
        <f>SUM('Операционные затраты'!CR8,'Операционные затраты'!CR22,'Операционные затраты'!CR24)</f>
        <v>600000000</v>
      </c>
      <c r="CT33" s="56">
        <f>SUM('Операционные затраты'!CS8,'Операционные затраты'!CS22,'Операционные затраты'!CS24)</f>
        <v>600000000</v>
      </c>
      <c r="CU33" s="56">
        <f>SUM('Операционные затраты'!CT8,'Операционные затраты'!CT22,'Операционные затраты'!CT24)</f>
        <v>600000000</v>
      </c>
      <c r="CV33" s="56">
        <f>SUM('Операционные затраты'!CU8,'Операционные затраты'!CU22,'Операционные затраты'!CU24)</f>
        <v>600000000</v>
      </c>
      <c r="CW33" s="56">
        <f>SUM('Операционные затраты'!CV8,'Операционные затраты'!CV22,'Операционные затраты'!CV24)</f>
        <v>600000000</v>
      </c>
      <c r="CX33" s="56">
        <f>SUM('Операционные затраты'!CW8,'Операционные затраты'!CW22,'Операционные затраты'!CW24)</f>
        <v>600000000</v>
      </c>
      <c r="CY33" s="56">
        <f>SUM('Операционные затраты'!CX8,'Операционные затраты'!CX22,'Операционные затраты'!CX24)</f>
        <v>600000000</v>
      </c>
      <c r="CZ33" s="56">
        <f>SUM('Операционные затраты'!CY8,'Операционные затраты'!CY22,'Операционные затраты'!CY24)</f>
        <v>600000000</v>
      </c>
      <c r="DA33" s="56">
        <f>SUM('Операционные затраты'!CZ8,'Операционные затраты'!CZ22,'Операционные затраты'!CZ24)</f>
        <v>600000000</v>
      </c>
      <c r="DB33" s="56">
        <f>SUM('Операционные затраты'!DA8,'Операционные затраты'!DA22,'Операционные затраты'!DA24)</f>
        <v>600000000</v>
      </c>
      <c r="DC33" s="56">
        <f>SUM('Операционные затраты'!DB8,'Операционные затраты'!DB22,'Операционные затраты'!DB24)</f>
        <v>600000000</v>
      </c>
      <c r="DD33" s="56">
        <f>SUM('Операционные затраты'!DC8,'Операционные затраты'!DC22,'Операционные затраты'!DC24)</f>
        <v>600000000</v>
      </c>
      <c r="DE33" s="56">
        <f>SUM('Операционные затраты'!DD8,'Операционные затраты'!DD22,'Операционные затраты'!DD24)</f>
        <v>600000000</v>
      </c>
      <c r="DF33" s="56">
        <f>SUM('Операционные затраты'!DE8,'Операционные затраты'!DE22,'Операционные затраты'!DE24)</f>
        <v>600000000</v>
      </c>
      <c r="DG33" s="56">
        <f>SUM('Операционные затраты'!DF8,'Операционные затраты'!DF22,'Операционные затраты'!DF24)</f>
        <v>600000000</v>
      </c>
      <c r="DH33" s="56">
        <f>SUM('Операционные затраты'!DG8,'Операционные затраты'!DG22,'Операционные затраты'!DG24)</f>
        <v>600000000</v>
      </c>
      <c r="DI33" s="56">
        <f>SUM('Операционные затраты'!DH8,'Операционные затраты'!DH22,'Операционные затраты'!DH24)</f>
        <v>600000000</v>
      </c>
      <c r="DJ33" s="56">
        <f>SUM('Операционные затраты'!DI8,'Операционные затраты'!DI22,'Операционные затраты'!DI24)</f>
        <v>600000000</v>
      </c>
      <c r="DK33" s="56">
        <f>SUM('Операционные затраты'!DJ8,'Операционные затраты'!DJ22,'Операционные затраты'!DJ24)</f>
        <v>600000000</v>
      </c>
      <c r="DL33" s="56">
        <f>SUM('Операционные затраты'!DK8,'Операционные затраты'!DK22,'Операционные затраты'!DK24)</f>
        <v>600000000</v>
      </c>
      <c r="DM33" s="56">
        <f>SUM('Операционные затраты'!DL8,'Операционные затраты'!DL22,'Операционные затраты'!DL24)</f>
        <v>600000000</v>
      </c>
      <c r="DN33" s="56">
        <f>SUM('Операционные затраты'!DM8,'Операционные затраты'!DM22,'Операционные затраты'!DM24)</f>
        <v>600000000</v>
      </c>
      <c r="DO33" s="56">
        <f>SUM('Операционные затраты'!DN8,'Операционные затраты'!DN22,'Операционные затраты'!DN24)</f>
        <v>600000000</v>
      </c>
      <c r="DP33" s="56">
        <f>SUM('Операционные затраты'!DO8,'Операционные затраты'!DO22,'Операционные затраты'!DO24)</f>
        <v>600000000</v>
      </c>
      <c r="DQ33" s="56">
        <f>SUM('Операционные затраты'!DP8,'Операционные затраты'!DP22,'Операционные затраты'!DP24)</f>
        <v>600000000</v>
      </c>
      <c r="DR33" s="56">
        <f>SUM('Операционные затраты'!DQ8,'Операционные затраты'!DQ22,'Операционные затраты'!DQ24)</f>
        <v>600000000</v>
      </c>
      <c r="DS33" s="56">
        <f>SUM('Операционные затраты'!DR8,'Операционные затраты'!DR22,'Операционные затраты'!DR24)</f>
        <v>600000000</v>
      </c>
      <c r="DT33" s="56">
        <f>SUM('Операционные затраты'!DS8,'Операционные затраты'!DS22,'Операционные затраты'!DS24)</f>
        <v>600000000</v>
      </c>
      <c r="DU33" s="56">
        <f>SUM('Операционные затраты'!DT8,'Операционные затраты'!DT22,'Операционные затраты'!DT24)</f>
        <v>600000000</v>
      </c>
    </row>
    <row r="34" spans="3:125">
      <c r="C34" s="55" t="s">
        <v>45</v>
      </c>
      <c r="D34" s="5" t="s">
        <v>35</v>
      </c>
      <c r="E34" s="177">
        <f>SUM(F34:AO34)</f>
        <v>0</v>
      </c>
      <c r="F34" s="56">
        <v>0</v>
      </c>
      <c r="G34" s="56">
        <v>0</v>
      </c>
      <c r="H34" s="56">
        <v>0</v>
      </c>
      <c r="I34" s="56">
        <v>0</v>
      </c>
      <c r="J34" s="56">
        <v>0</v>
      </c>
      <c r="K34" s="56">
        <v>0</v>
      </c>
      <c r="L34" s="56">
        <v>0</v>
      </c>
      <c r="M34" s="56">
        <v>0</v>
      </c>
      <c r="N34" s="56">
        <v>0</v>
      </c>
      <c r="O34" s="56">
        <v>0</v>
      </c>
      <c r="P34" s="56">
        <v>0</v>
      </c>
      <c r="Q34" s="56">
        <v>0</v>
      </c>
      <c r="R34" s="56">
        <v>0</v>
      </c>
      <c r="S34" s="56">
        <v>0</v>
      </c>
      <c r="T34" s="56">
        <v>0</v>
      </c>
      <c r="U34" s="56">
        <v>0</v>
      </c>
      <c r="V34" s="56">
        <v>0</v>
      </c>
      <c r="W34" s="56">
        <v>0</v>
      </c>
      <c r="X34" s="56">
        <v>0</v>
      </c>
      <c r="Y34" s="56">
        <v>0</v>
      </c>
      <c r="Z34" s="56">
        <v>0</v>
      </c>
      <c r="AA34" s="56">
        <v>0</v>
      </c>
      <c r="AB34" s="56">
        <v>0</v>
      </c>
      <c r="AC34" s="56">
        <v>0</v>
      </c>
      <c r="AD34" s="56">
        <v>0</v>
      </c>
      <c r="AE34" s="56">
        <v>0</v>
      </c>
      <c r="AF34" s="56">
        <v>0</v>
      </c>
      <c r="AG34" s="56">
        <v>0</v>
      </c>
      <c r="AH34" s="56">
        <v>0</v>
      </c>
      <c r="AI34" s="56">
        <v>0</v>
      </c>
      <c r="AJ34" s="56">
        <v>0</v>
      </c>
      <c r="AK34" s="56">
        <v>0</v>
      </c>
      <c r="AL34" s="56">
        <v>0</v>
      </c>
      <c r="AM34" s="56">
        <v>0</v>
      </c>
      <c r="AN34" s="56">
        <v>0</v>
      </c>
      <c r="AO34" s="56">
        <v>0</v>
      </c>
      <c r="AP34" s="56">
        <v>0</v>
      </c>
      <c r="AQ34" s="56">
        <v>0</v>
      </c>
      <c r="AR34" s="56">
        <v>0</v>
      </c>
      <c r="AS34" s="56">
        <v>0</v>
      </c>
      <c r="AT34" s="56">
        <v>0</v>
      </c>
      <c r="AU34" s="56">
        <v>0</v>
      </c>
      <c r="AV34" s="56">
        <v>0</v>
      </c>
      <c r="AW34" s="56">
        <v>0</v>
      </c>
      <c r="AX34" s="56">
        <v>0</v>
      </c>
      <c r="AY34" s="56">
        <v>0</v>
      </c>
      <c r="AZ34" s="56">
        <v>0</v>
      </c>
      <c r="BA34" s="56">
        <v>0</v>
      </c>
      <c r="BB34" s="56">
        <v>0</v>
      </c>
      <c r="BC34" s="56">
        <v>0</v>
      </c>
      <c r="BD34" s="56">
        <v>0</v>
      </c>
      <c r="BE34" s="56">
        <v>0</v>
      </c>
      <c r="BF34" s="56">
        <v>0</v>
      </c>
      <c r="BG34" s="56">
        <v>0</v>
      </c>
      <c r="BH34" s="56">
        <v>0</v>
      </c>
      <c r="BI34" s="56">
        <v>0</v>
      </c>
      <c r="BJ34" s="56">
        <v>0</v>
      </c>
      <c r="BK34" s="56">
        <v>0</v>
      </c>
      <c r="BL34" s="56">
        <v>0</v>
      </c>
      <c r="BM34" s="56">
        <v>0</v>
      </c>
      <c r="BN34" s="56">
        <v>0</v>
      </c>
      <c r="BO34" s="56">
        <v>0</v>
      </c>
      <c r="BP34" s="56">
        <v>0</v>
      </c>
      <c r="BQ34" s="56">
        <v>0</v>
      </c>
      <c r="BR34" s="56">
        <v>0</v>
      </c>
      <c r="BS34" s="56">
        <v>0</v>
      </c>
      <c r="BT34" s="56">
        <v>0</v>
      </c>
      <c r="BU34" s="56">
        <v>0</v>
      </c>
      <c r="BV34" s="56">
        <v>0</v>
      </c>
      <c r="BW34" s="56">
        <v>0</v>
      </c>
      <c r="BX34" s="56">
        <v>0</v>
      </c>
      <c r="BY34" s="56">
        <v>0</v>
      </c>
      <c r="BZ34" s="56">
        <v>0</v>
      </c>
      <c r="CA34" s="56">
        <v>0</v>
      </c>
      <c r="CB34" s="56">
        <v>0</v>
      </c>
      <c r="CC34" s="56">
        <v>0</v>
      </c>
      <c r="CD34" s="56">
        <v>0</v>
      </c>
      <c r="CE34" s="56">
        <v>0</v>
      </c>
      <c r="CF34" s="56">
        <v>0</v>
      </c>
      <c r="CG34" s="56">
        <v>0</v>
      </c>
      <c r="CH34" s="56">
        <v>0</v>
      </c>
      <c r="CI34" s="56">
        <v>0</v>
      </c>
      <c r="CJ34" s="56">
        <v>0</v>
      </c>
      <c r="CK34" s="56">
        <v>0</v>
      </c>
      <c r="CL34" s="56">
        <v>0</v>
      </c>
      <c r="CM34" s="56">
        <v>0</v>
      </c>
      <c r="CN34" s="56">
        <v>0</v>
      </c>
      <c r="CO34" s="56">
        <v>0</v>
      </c>
      <c r="CP34" s="56">
        <v>0</v>
      </c>
      <c r="CQ34" s="56">
        <v>0</v>
      </c>
      <c r="CR34" s="56">
        <v>0</v>
      </c>
      <c r="CS34" s="56">
        <v>0</v>
      </c>
      <c r="CT34" s="56">
        <v>0</v>
      </c>
      <c r="CU34" s="56">
        <v>0</v>
      </c>
      <c r="CV34" s="56">
        <v>0</v>
      </c>
      <c r="CW34" s="56">
        <v>0</v>
      </c>
      <c r="CX34" s="56">
        <v>0</v>
      </c>
      <c r="CY34" s="56">
        <v>0</v>
      </c>
      <c r="CZ34" s="56">
        <v>0</v>
      </c>
      <c r="DA34" s="56">
        <v>0</v>
      </c>
      <c r="DB34" s="56">
        <v>0</v>
      </c>
      <c r="DC34" s="56">
        <v>0</v>
      </c>
      <c r="DD34" s="56">
        <v>0</v>
      </c>
      <c r="DE34" s="56">
        <v>0</v>
      </c>
      <c r="DF34" s="56">
        <v>0</v>
      </c>
      <c r="DG34" s="56">
        <v>0</v>
      </c>
      <c r="DH34" s="56">
        <v>0</v>
      </c>
      <c r="DI34" s="56">
        <v>0</v>
      </c>
      <c r="DJ34" s="56">
        <v>0</v>
      </c>
      <c r="DK34" s="56">
        <v>0</v>
      </c>
      <c r="DL34" s="56">
        <v>0</v>
      </c>
      <c r="DM34" s="56">
        <v>0</v>
      </c>
      <c r="DN34" s="56">
        <v>0</v>
      </c>
      <c r="DO34" s="56">
        <v>0</v>
      </c>
      <c r="DP34" s="56">
        <v>0</v>
      </c>
      <c r="DQ34" s="56">
        <v>0</v>
      </c>
      <c r="DR34" s="56">
        <v>0</v>
      </c>
      <c r="DS34" s="56">
        <v>0</v>
      </c>
      <c r="DT34" s="56">
        <v>0</v>
      </c>
      <c r="DU34" s="56">
        <v>0</v>
      </c>
    </row>
    <row r="35" spans="3:125">
      <c r="C35" s="57"/>
      <c r="D35" s="58"/>
      <c r="E35" s="59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0"/>
      <c r="BU35" s="60"/>
      <c r="BV35" s="60"/>
      <c r="BW35" s="60"/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0"/>
      <c r="CO35" s="60"/>
      <c r="CP35" s="60"/>
      <c r="CQ35" s="60"/>
      <c r="CR35" s="60"/>
      <c r="CS35" s="60"/>
      <c r="CT35" s="60"/>
      <c r="CU35" s="60"/>
      <c r="CV35" s="60"/>
      <c r="CW35" s="60"/>
      <c r="CX35" s="60"/>
      <c r="CY35" s="60"/>
      <c r="CZ35" s="60"/>
      <c r="DA35" s="60"/>
      <c r="DB35" s="60"/>
      <c r="DC35" s="60"/>
      <c r="DD35" s="60"/>
      <c r="DE35" s="60"/>
      <c r="DF35" s="60"/>
      <c r="DG35" s="60"/>
      <c r="DH35" s="60"/>
      <c r="DI35" s="60"/>
      <c r="DJ35" s="60"/>
      <c r="DK35" s="60"/>
      <c r="DL35" s="60"/>
      <c r="DM35" s="60"/>
      <c r="DN35" s="60"/>
      <c r="DO35" s="60"/>
      <c r="DP35" s="60"/>
      <c r="DQ35" s="60"/>
      <c r="DR35" s="60"/>
      <c r="DS35" s="60"/>
      <c r="DT35" s="60"/>
      <c r="DU35" s="60"/>
    </row>
    <row r="36" spans="3:125">
      <c r="C36" s="61" t="s">
        <v>12</v>
      </c>
      <c r="D36" s="62" t="s">
        <v>35</v>
      </c>
      <c r="E36" s="63">
        <f>SUM(F36:I36)</f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0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  <c r="Z36" s="64">
        <v>0</v>
      </c>
      <c r="AA36" s="64">
        <v>0</v>
      </c>
      <c r="AB36" s="64">
        <v>0</v>
      </c>
      <c r="AC36" s="64">
        <v>0</v>
      </c>
      <c r="AD36" s="64">
        <v>0</v>
      </c>
      <c r="AE36" s="64">
        <v>0</v>
      </c>
      <c r="AF36" s="64">
        <v>0</v>
      </c>
      <c r="AG36" s="64">
        <v>0</v>
      </c>
      <c r="AH36" s="64">
        <v>0</v>
      </c>
      <c r="AI36" s="64">
        <v>0</v>
      </c>
      <c r="AJ36" s="64">
        <v>0</v>
      </c>
      <c r="AK36" s="64">
        <v>0</v>
      </c>
      <c r="AL36" s="64">
        <v>0</v>
      </c>
      <c r="AM36" s="64">
        <v>0</v>
      </c>
      <c r="AN36" s="64">
        <v>0</v>
      </c>
      <c r="AO36" s="64">
        <v>0</v>
      </c>
      <c r="AP36" s="64">
        <v>0</v>
      </c>
      <c r="AQ36" s="64">
        <v>0</v>
      </c>
      <c r="AR36" s="64">
        <v>0</v>
      </c>
      <c r="AS36" s="64">
        <v>0</v>
      </c>
      <c r="AT36" s="64">
        <v>0</v>
      </c>
      <c r="AU36" s="64">
        <v>0</v>
      </c>
      <c r="AV36" s="64">
        <v>0</v>
      </c>
      <c r="AW36" s="64">
        <v>0</v>
      </c>
      <c r="AX36" s="64">
        <v>0</v>
      </c>
      <c r="AY36" s="64">
        <v>0</v>
      </c>
      <c r="AZ36" s="64">
        <v>0</v>
      </c>
      <c r="BA36" s="64">
        <v>0</v>
      </c>
      <c r="BB36" s="64">
        <v>0</v>
      </c>
      <c r="BC36" s="64">
        <v>0</v>
      </c>
      <c r="BD36" s="64">
        <v>0</v>
      </c>
      <c r="BE36" s="64">
        <v>0</v>
      </c>
      <c r="BF36" s="64">
        <v>0</v>
      </c>
      <c r="BG36" s="64">
        <v>0</v>
      </c>
      <c r="BH36" s="64">
        <v>0</v>
      </c>
      <c r="BI36" s="64">
        <v>0</v>
      </c>
      <c r="BJ36" s="64">
        <v>0</v>
      </c>
      <c r="BK36" s="64">
        <v>0</v>
      </c>
      <c r="BL36" s="64">
        <v>0</v>
      </c>
      <c r="BM36" s="64">
        <v>0</v>
      </c>
      <c r="BN36" s="64">
        <v>0</v>
      </c>
      <c r="BO36" s="64">
        <v>0</v>
      </c>
      <c r="BP36" s="64">
        <v>0</v>
      </c>
      <c r="BQ36" s="64">
        <v>0</v>
      </c>
      <c r="BR36" s="64">
        <v>0</v>
      </c>
      <c r="BS36" s="64">
        <v>0</v>
      </c>
      <c r="BT36" s="64">
        <v>0</v>
      </c>
      <c r="BU36" s="64">
        <v>0</v>
      </c>
      <c r="BV36" s="64">
        <v>0</v>
      </c>
      <c r="BW36" s="64">
        <v>0</v>
      </c>
      <c r="BX36" s="64">
        <v>0</v>
      </c>
      <c r="BY36" s="64">
        <v>0</v>
      </c>
      <c r="BZ36" s="64">
        <v>0</v>
      </c>
      <c r="CA36" s="64">
        <v>0</v>
      </c>
      <c r="CB36" s="64">
        <v>0</v>
      </c>
      <c r="CC36" s="64">
        <v>0</v>
      </c>
      <c r="CD36" s="64">
        <v>0</v>
      </c>
      <c r="CE36" s="64">
        <v>0</v>
      </c>
      <c r="CF36" s="64">
        <v>0</v>
      </c>
      <c r="CG36" s="64">
        <v>0</v>
      </c>
      <c r="CH36" s="64">
        <v>0</v>
      </c>
      <c r="CI36" s="64">
        <v>0</v>
      </c>
      <c r="CJ36" s="64">
        <v>0</v>
      </c>
      <c r="CK36" s="64">
        <v>0</v>
      </c>
      <c r="CL36" s="64">
        <v>0</v>
      </c>
      <c r="CM36" s="64">
        <v>0</v>
      </c>
      <c r="CN36" s="64">
        <v>0</v>
      </c>
      <c r="CO36" s="64">
        <v>0</v>
      </c>
      <c r="CP36" s="64">
        <v>0</v>
      </c>
      <c r="CQ36" s="64">
        <v>0</v>
      </c>
      <c r="CR36" s="64">
        <v>0</v>
      </c>
      <c r="CS36" s="64">
        <v>0</v>
      </c>
      <c r="CT36" s="64">
        <v>0</v>
      </c>
      <c r="CU36" s="64">
        <v>0</v>
      </c>
      <c r="CV36" s="64">
        <v>0</v>
      </c>
      <c r="CW36" s="64">
        <v>0</v>
      </c>
      <c r="CX36" s="64">
        <v>0</v>
      </c>
      <c r="CY36" s="64">
        <v>0</v>
      </c>
      <c r="CZ36" s="64">
        <v>0</v>
      </c>
      <c r="DA36" s="64">
        <v>0</v>
      </c>
      <c r="DB36" s="64">
        <v>0</v>
      </c>
      <c r="DC36" s="64">
        <v>0</v>
      </c>
      <c r="DD36" s="64">
        <v>0</v>
      </c>
      <c r="DE36" s="64">
        <v>0</v>
      </c>
      <c r="DF36" s="64">
        <v>0</v>
      </c>
      <c r="DG36" s="64">
        <v>0</v>
      </c>
      <c r="DH36" s="64">
        <v>0</v>
      </c>
      <c r="DI36" s="64">
        <v>0</v>
      </c>
      <c r="DJ36" s="64">
        <v>0</v>
      </c>
      <c r="DK36" s="64">
        <v>0</v>
      </c>
      <c r="DL36" s="64">
        <v>0</v>
      </c>
      <c r="DM36" s="64">
        <v>0</v>
      </c>
      <c r="DN36" s="64">
        <v>0</v>
      </c>
      <c r="DO36" s="64">
        <v>0</v>
      </c>
      <c r="DP36" s="64">
        <v>0</v>
      </c>
      <c r="DQ36" s="64">
        <v>0</v>
      </c>
      <c r="DR36" s="64">
        <v>0</v>
      </c>
      <c r="DS36" s="64">
        <v>0</v>
      </c>
      <c r="DT36" s="64">
        <v>0</v>
      </c>
      <c r="DU36" s="64">
        <v>0</v>
      </c>
    </row>
    <row r="37" spans="3:125">
      <c r="C37" s="65" t="s">
        <v>46</v>
      </c>
      <c r="D37" s="43"/>
      <c r="E37" s="46"/>
    </row>
    <row r="38" spans="3:125">
      <c r="C38" s="66" t="s">
        <v>47</v>
      </c>
      <c r="D38" s="5" t="s">
        <v>372</v>
      </c>
      <c r="E38" s="188">
        <f>SUM(F38:DU38)</f>
        <v>276961520</v>
      </c>
      <c r="F38" s="178">
        <v>276961520</v>
      </c>
      <c r="G38" s="178">
        <v>0</v>
      </c>
      <c r="H38" s="178">
        <v>0</v>
      </c>
      <c r="I38" s="178">
        <v>0</v>
      </c>
      <c r="J38" s="178">
        <v>0</v>
      </c>
      <c r="K38" s="178">
        <v>0</v>
      </c>
      <c r="L38" s="178">
        <v>0</v>
      </c>
      <c r="M38" s="178">
        <v>0</v>
      </c>
      <c r="N38" s="178">
        <v>0</v>
      </c>
      <c r="O38" s="178">
        <v>0</v>
      </c>
      <c r="P38" s="178">
        <v>0</v>
      </c>
      <c r="Q38" s="178">
        <v>0</v>
      </c>
      <c r="R38" s="178">
        <v>0</v>
      </c>
      <c r="S38" s="178">
        <v>0</v>
      </c>
      <c r="T38" s="178">
        <v>0</v>
      </c>
      <c r="U38" s="178">
        <v>0</v>
      </c>
      <c r="V38" s="178">
        <v>0</v>
      </c>
      <c r="W38" s="178">
        <v>0</v>
      </c>
      <c r="X38" s="178">
        <v>0</v>
      </c>
      <c r="Y38" s="178">
        <v>0</v>
      </c>
      <c r="Z38" s="178">
        <v>0</v>
      </c>
      <c r="AA38" s="178">
        <v>0</v>
      </c>
      <c r="AB38" s="178">
        <v>0</v>
      </c>
      <c r="AC38" s="178">
        <v>0</v>
      </c>
      <c r="AD38" s="178">
        <v>0</v>
      </c>
      <c r="AE38" s="178">
        <v>0</v>
      </c>
      <c r="AF38" s="178">
        <v>0</v>
      </c>
      <c r="AG38" s="178">
        <v>0</v>
      </c>
      <c r="AH38" s="178">
        <v>0</v>
      </c>
      <c r="AI38" s="178">
        <v>0</v>
      </c>
      <c r="AJ38" s="178">
        <v>0</v>
      </c>
      <c r="AK38" s="178">
        <v>0</v>
      </c>
      <c r="AL38" s="178">
        <v>0</v>
      </c>
      <c r="AM38" s="178">
        <v>0</v>
      </c>
      <c r="AN38" s="178">
        <v>0</v>
      </c>
      <c r="AO38" s="178">
        <v>0</v>
      </c>
      <c r="AP38" s="178">
        <v>0</v>
      </c>
      <c r="AQ38" s="178">
        <f t="shared" ref="AQ38:BR38" si="13">AQ30</f>
        <v>0</v>
      </c>
      <c r="AR38" s="178">
        <f t="shared" si="13"/>
        <v>0</v>
      </c>
      <c r="AS38" s="178">
        <f t="shared" si="13"/>
        <v>0</v>
      </c>
      <c r="AT38" s="178">
        <f t="shared" si="13"/>
        <v>0</v>
      </c>
      <c r="AU38" s="178">
        <f t="shared" si="13"/>
        <v>0</v>
      </c>
      <c r="AV38" s="178">
        <f t="shared" si="13"/>
        <v>0</v>
      </c>
      <c r="AW38" s="178">
        <f t="shared" si="13"/>
        <v>0</v>
      </c>
      <c r="AX38" s="178">
        <f t="shared" si="13"/>
        <v>0</v>
      </c>
      <c r="AY38" s="178">
        <f t="shared" si="13"/>
        <v>0</v>
      </c>
      <c r="AZ38" s="178">
        <f t="shared" si="13"/>
        <v>0</v>
      </c>
      <c r="BA38" s="178">
        <f t="shared" si="13"/>
        <v>0</v>
      </c>
      <c r="BB38" s="178">
        <f t="shared" si="13"/>
        <v>0</v>
      </c>
      <c r="BC38" s="178">
        <f t="shared" si="13"/>
        <v>0</v>
      </c>
      <c r="BD38" s="178">
        <f t="shared" si="13"/>
        <v>0</v>
      </c>
      <c r="BE38" s="178">
        <f t="shared" si="13"/>
        <v>0</v>
      </c>
      <c r="BF38" s="178">
        <f t="shared" si="13"/>
        <v>0</v>
      </c>
      <c r="BG38" s="178">
        <f t="shared" si="13"/>
        <v>0</v>
      </c>
      <c r="BH38" s="178">
        <f t="shared" si="13"/>
        <v>0</v>
      </c>
      <c r="BI38" s="178">
        <f t="shared" si="13"/>
        <v>0</v>
      </c>
      <c r="BJ38" s="178">
        <f t="shared" si="13"/>
        <v>0</v>
      </c>
      <c r="BK38" s="178">
        <f t="shared" si="13"/>
        <v>0</v>
      </c>
      <c r="BL38" s="178">
        <f t="shared" si="13"/>
        <v>0</v>
      </c>
      <c r="BM38" s="178">
        <f t="shared" si="13"/>
        <v>0</v>
      </c>
      <c r="BN38" s="178">
        <f t="shared" si="13"/>
        <v>0</v>
      </c>
      <c r="BO38" s="178">
        <f t="shared" si="13"/>
        <v>0</v>
      </c>
      <c r="BP38" s="178">
        <f t="shared" si="13"/>
        <v>0</v>
      </c>
      <c r="BQ38" s="178">
        <f t="shared" si="13"/>
        <v>0</v>
      </c>
      <c r="BR38" s="178">
        <f t="shared" si="13"/>
        <v>0</v>
      </c>
      <c r="BS38" s="178">
        <f t="shared" ref="BS38:DU38" si="14">BS30</f>
        <v>0</v>
      </c>
      <c r="BT38" s="178">
        <f t="shared" si="14"/>
        <v>0</v>
      </c>
      <c r="BU38" s="178">
        <f t="shared" si="14"/>
        <v>0</v>
      </c>
      <c r="BV38" s="178">
        <f t="shared" si="14"/>
        <v>0</v>
      </c>
      <c r="BW38" s="178">
        <f t="shared" si="14"/>
        <v>0</v>
      </c>
      <c r="BX38" s="178">
        <f t="shared" si="14"/>
        <v>0</v>
      </c>
      <c r="BY38" s="178">
        <f t="shared" si="14"/>
        <v>0</v>
      </c>
      <c r="BZ38" s="178">
        <f t="shared" si="14"/>
        <v>0</v>
      </c>
      <c r="CA38" s="178">
        <f t="shared" si="14"/>
        <v>0</v>
      </c>
      <c r="CB38" s="178">
        <f t="shared" si="14"/>
        <v>0</v>
      </c>
      <c r="CC38" s="178">
        <f t="shared" si="14"/>
        <v>0</v>
      </c>
      <c r="CD38" s="178">
        <f t="shared" si="14"/>
        <v>0</v>
      </c>
      <c r="CE38" s="178">
        <f t="shared" si="14"/>
        <v>0</v>
      </c>
      <c r="CF38" s="178">
        <f t="shared" si="14"/>
        <v>0</v>
      </c>
      <c r="CG38" s="178">
        <f t="shared" si="14"/>
        <v>0</v>
      </c>
      <c r="CH38" s="178">
        <f t="shared" si="14"/>
        <v>0</v>
      </c>
      <c r="CI38" s="178">
        <f t="shared" si="14"/>
        <v>0</v>
      </c>
      <c r="CJ38" s="178">
        <f t="shared" si="14"/>
        <v>0</v>
      </c>
      <c r="CK38" s="178">
        <f t="shared" si="14"/>
        <v>0</v>
      </c>
      <c r="CL38" s="178">
        <f t="shared" si="14"/>
        <v>0</v>
      </c>
      <c r="CM38" s="178">
        <f t="shared" si="14"/>
        <v>0</v>
      </c>
      <c r="CN38" s="178">
        <f t="shared" si="14"/>
        <v>0</v>
      </c>
      <c r="CO38" s="178">
        <f t="shared" si="14"/>
        <v>0</v>
      </c>
      <c r="CP38" s="178">
        <f t="shared" si="14"/>
        <v>0</v>
      </c>
      <c r="CQ38" s="178">
        <f t="shared" si="14"/>
        <v>0</v>
      </c>
      <c r="CR38" s="178">
        <f t="shared" si="14"/>
        <v>0</v>
      </c>
      <c r="CS38" s="178">
        <f t="shared" si="14"/>
        <v>0</v>
      </c>
      <c r="CT38" s="178">
        <f t="shared" si="14"/>
        <v>0</v>
      </c>
      <c r="CU38" s="178">
        <f t="shared" si="14"/>
        <v>0</v>
      </c>
      <c r="CV38" s="178">
        <f t="shared" si="14"/>
        <v>0</v>
      </c>
      <c r="CW38" s="178">
        <f t="shared" si="14"/>
        <v>0</v>
      </c>
      <c r="CX38" s="178">
        <f t="shared" si="14"/>
        <v>0</v>
      </c>
      <c r="CY38" s="178">
        <f t="shared" si="14"/>
        <v>0</v>
      </c>
      <c r="CZ38" s="178">
        <f t="shared" si="14"/>
        <v>0</v>
      </c>
      <c r="DA38" s="178">
        <f t="shared" si="14"/>
        <v>0</v>
      </c>
      <c r="DB38" s="178">
        <f t="shared" si="14"/>
        <v>0</v>
      </c>
      <c r="DC38" s="178">
        <f t="shared" si="14"/>
        <v>0</v>
      </c>
      <c r="DD38" s="178">
        <f t="shared" si="14"/>
        <v>0</v>
      </c>
      <c r="DE38" s="178">
        <f t="shared" si="14"/>
        <v>0</v>
      </c>
      <c r="DF38" s="178">
        <f t="shared" si="14"/>
        <v>0</v>
      </c>
      <c r="DG38" s="178">
        <f t="shared" si="14"/>
        <v>0</v>
      </c>
      <c r="DH38" s="178">
        <f t="shared" si="14"/>
        <v>0</v>
      </c>
      <c r="DI38" s="178">
        <f t="shared" si="14"/>
        <v>0</v>
      </c>
      <c r="DJ38" s="178">
        <f t="shared" si="14"/>
        <v>0</v>
      </c>
      <c r="DK38" s="178">
        <f t="shared" si="14"/>
        <v>0</v>
      </c>
      <c r="DL38" s="178">
        <f t="shared" si="14"/>
        <v>0</v>
      </c>
      <c r="DM38" s="178">
        <f t="shared" si="14"/>
        <v>0</v>
      </c>
      <c r="DN38" s="178">
        <f t="shared" si="14"/>
        <v>0</v>
      </c>
      <c r="DO38" s="178">
        <f t="shared" si="14"/>
        <v>0</v>
      </c>
      <c r="DP38" s="178">
        <f t="shared" si="14"/>
        <v>0</v>
      </c>
      <c r="DQ38" s="178">
        <f t="shared" si="14"/>
        <v>0</v>
      </c>
      <c r="DR38" s="178">
        <f t="shared" si="14"/>
        <v>0</v>
      </c>
      <c r="DS38" s="178">
        <f t="shared" si="14"/>
        <v>0</v>
      </c>
      <c r="DT38" s="178">
        <f t="shared" si="14"/>
        <v>0</v>
      </c>
      <c r="DU38" s="178">
        <f t="shared" si="14"/>
        <v>0</v>
      </c>
    </row>
    <row r="39" spans="3:125" ht="31">
      <c r="C39" s="67" t="s">
        <v>48</v>
      </c>
      <c r="D39" s="5" t="s">
        <v>29</v>
      </c>
      <c r="E39" s="181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</row>
    <row r="40" spans="3:125">
      <c r="C40" s="68" t="s">
        <v>49</v>
      </c>
      <c r="D40" s="26" t="s">
        <v>29</v>
      </c>
      <c r="E40" s="199">
        <v>0.14499999999999999</v>
      </c>
      <c r="F40" s="212">
        <f>(1+(1+$E$40)^(1/12)-1)^1</f>
        <v>1.0113476210381229</v>
      </c>
      <c r="G40" s="212">
        <f>(1+(1+$E$40)^(1/12)-1)^2</f>
        <v>1.0228240105794706</v>
      </c>
      <c r="H40" s="212">
        <f>(1+(1+$E$40)^(1/12)-1)^3</f>
        <v>1.0344306298402195</v>
      </c>
      <c r="I40" s="212">
        <f>(1+(1+$E$40)^(1/12)-1)^4</f>
        <v>1.0461689566178729</v>
      </c>
      <c r="J40" s="212">
        <f>(1+(1+$E$40)^(1/12)-1)^5</f>
        <v>1.058040485479421</v>
      </c>
      <c r="K40" s="212">
        <f>(1+(1+$E$40)^(1/12)-1)^6</f>
        <v>1.070046727951633</v>
      </c>
      <c r="L40" s="212">
        <f>(1+(1+$E$40)^(1/12)-1)^7</f>
        <v>1.0821892127135115</v>
      </c>
      <c r="M40" s="212">
        <f>(1+(1+$E$40)^(1/12)-1)^8</f>
        <v>1.0944694857909287</v>
      </c>
      <c r="N40" s="212">
        <f>(1+(1+$E$40)^(1/12)-1)^9</f>
        <v>1.1068891107534735</v>
      </c>
      <c r="O40" s="212">
        <f>(1+(1+$E$40)^(1/12)-1)^10</f>
        <v>1.1194496689135287</v>
      </c>
      <c r="P40" s="212">
        <f>(1+(1+$E$40)^(1/12)-1)^11</f>
        <v>1.1321527595276115</v>
      </c>
      <c r="Q40" s="212">
        <f>(1+(1+$E$40)^(1/12)-1)^12</f>
        <v>1.1449999999999958</v>
      </c>
      <c r="R40" s="212">
        <f>(1+(1+$E$40)^(1/12)-1)^13</f>
        <v>1.1579930260886464</v>
      </c>
      <c r="S40" s="212">
        <f>(1+(1+$E$40)^(1/12)-1)^14</f>
        <v>1.1711334921134895</v>
      </c>
      <c r="T40" s="212">
        <f>(1+(1+$E$40)^(1/12)-1)^15</f>
        <v>1.1844230711670469</v>
      </c>
      <c r="U40" s="212">
        <f>(1+(1+$E$40)^(1/12)-1)^16</f>
        <v>1.1978634553274599</v>
      </c>
      <c r="V40" s="212">
        <f>(1+(1+$E$40)^(1/12)-1)^17</f>
        <v>1.2114563558739324</v>
      </c>
      <c r="W40" s="212">
        <f>(1+(1+$E$40)^(1/12)-1)^18</f>
        <v>1.2252035035046149</v>
      </c>
      <c r="X40" s="212">
        <f>(1+(1+$E$40)^(1/12)-1)^19</f>
        <v>1.239106648556966</v>
      </c>
      <c r="Y40" s="212">
        <f>(1+(1+$E$40)^(1/12)-1)^20</f>
        <v>1.2531675612306088</v>
      </c>
      <c r="Z40" s="212">
        <f>(1+(1+$E$40)^(1/12)-1)^Z12</f>
        <v>1.2673880318127224</v>
      </c>
      <c r="AA40" s="212">
        <f t="shared" ref="AA40:CL40" si="15">(1+(1+$E$40)^(1/12)-1)^AA12</f>
        <v>1.2817698709059855</v>
      </c>
      <c r="AB40" s="212">
        <f t="shared" si="15"/>
        <v>1.2963149096591104</v>
      </c>
      <c r="AC40" s="212">
        <f t="shared" si="15"/>
        <v>1.3110249999999901</v>
      </c>
      <c r="AD40" s="212">
        <f t="shared" si="15"/>
        <v>1.3259020148714953</v>
      </c>
      <c r="AE40" s="212">
        <f t="shared" si="15"/>
        <v>1.3409478484699404</v>
      </c>
      <c r="AF40" s="212">
        <f t="shared" si="15"/>
        <v>1.3561644164862634</v>
      </c>
      <c r="AG40" s="212">
        <f t="shared" si="15"/>
        <v>1.3715536563499364</v>
      </c>
      <c r="AH40" s="212">
        <f t="shared" si="15"/>
        <v>1.3871175274756473</v>
      </c>
      <c r="AI40" s="212">
        <f t="shared" si="15"/>
        <v>1.4028580115127789</v>
      </c>
      <c r="AJ40" s="212">
        <f t="shared" si="15"/>
        <v>1.4187771125977207</v>
      </c>
      <c r="AK40" s="212">
        <f t="shared" si="15"/>
        <v>1.4348768576090414</v>
      </c>
      <c r="AL40" s="212">
        <f t="shared" si="15"/>
        <v>1.4511592964255615</v>
      </c>
      <c r="AM40" s="212">
        <f t="shared" si="15"/>
        <v>1.4676265021873476</v>
      </c>
      <c r="AN40" s="212">
        <f t="shared" si="15"/>
        <v>1.4842805715596756</v>
      </c>
      <c r="AO40" s="212">
        <f t="shared" si="15"/>
        <v>1.5011236249999831</v>
      </c>
      <c r="AP40" s="212">
        <f t="shared" si="15"/>
        <v>1.5181578070278561</v>
      </c>
      <c r="AQ40" s="212">
        <f t="shared" si="15"/>
        <v>1.5353852864980759</v>
      </c>
      <c r="AR40" s="212">
        <f t="shared" si="15"/>
        <v>1.5528082568767658</v>
      </c>
      <c r="AS40" s="212">
        <f t="shared" si="15"/>
        <v>1.5704289365206712</v>
      </c>
      <c r="AT40" s="212">
        <f t="shared" si="15"/>
        <v>1.5882495689596103</v>
      </c>
      <c r="AU40" s="212">
        <f t="shared" si="15"/>
        <v>1.6062724231821259</v>
      </c>
      <c r="AV40" s="212">
        <f t="shared" si="15"/>
        <v>1.6244997939243839</v>
      </c>
      <c r="AW40" s="212">
        <f t="shared" si="15"/>
        <v>1.6429340019623464</v>
      </c>
      <c r="AX40" s="212">
        <f t="shared" si="15"/>
        <v>1.6615773944072616</v>
      </c>
      <c r="AY40" s="212">
        <f t="shared" si="15"/>
        <v>1.6804323450045069</v>
      </c>
      <c r="AZ40" s="212">
        <f t="shared" si="15"/>
        <v>1.6995012544358223</v>
      </c>
      <c r="BA40" s="212">
        <f t="shared" si="15"/>
        <v>1.718786550624974</v>
      </c>
      <c r="BB40" s="212">
        <f t="shared" si="15"/>
        <v>1.7382906890468888</v>
      </c>
      <c r="BC40" s="212">
        <f t="shared" si="15"/>
        <v>1.75801615304029</v>
      </c>
      <c r="BD40" s="212">
        <f t="shared" si="15"/>
        <v>1.7779654541238901</v>
      </c>
      <c r="BE40" s="212">
        <f t="shared" si="15"/>
        <v>1.7981411323161618</v>
      </c>
      <c r="BF40" s="212">
        <f t="shared" si="15"/>
        <v>1.8185457564587468</v>
      </c>
      <c r="BG40" s="212">
        <f t="shared" si="15"/>
        <v>1.839181924543527</v>
      </c>
      <c r="BH40" s="212">
        <f t="shared" si="15"/>
        <v>1.8600522640434127</v>
      </c>
      <c r="BI40" s="212">
        <f t="shared" si="15"/>
        <v>1.8811594322468792</v>
      </c>
      <c r="BJ40" s="212">
        <f t="shared" si="15"/>
        <v>1.9025061165963075</v>
      </c>
      <c r="BK40" s="212">
        <f t="shared" si="15"/>
        <v>1.9240950350301531</v>
      </c>
      <c r="BL40" s="212">
        <f t="shared" si="15"/>
        <v>1.9459289363290089</v>
      </c>
      <c r="BM40" s="212">
        <f t="shared" si="15"/>
        <v>1.9680106004655877</v>
      </c>
      <c r="BN40" s="212">
        <f t="shared" si="15"/>
        <v>1.9903428389586799</v>
      </c>
      <c r="BO40" s="212">
        <f t="shared" si="15"/>
        <v>2.0129284952311246</v>
      </c>
      <c r="BP40" s="212">
        <f t="shared" si="15"/>
        <v>2.0357704449718463</v>
      </c>
      <c r="BQ40" s="212">
        <f t="shared" si="15"/>
        <v>2.058871596501997</v>
      </c>
      <c r="BR40" s="212">
        <f t="shared" si="15"/>
        <v>2.0822348911452568</v>
      </c>
      <c r="BS40" s="212">
        <f t="shared" si="15"/>
        <v>2.1058633036023302</v>
      </c>
      <c r="BT40" s="212">
        <f t="shared" si="15"/>
        <v>2.1297598423296988</v>
      </c>
      <c r="BU40" s="212">
        <f t="shared" si="15"/>
        <v>2.1539275499226687</v>
      </c>
      <c r="BV40" s="212">
        <f t="shared" si="15"/>
        <v>2.1783695035027635</v>
      </c>
      <c r="BW40" s="212">
        <f t="shared" si="15"/>
        <v>2.2030888151095169</v>
      </c>
      <c r="BX40" s="212">
        <f t="shared" si="15"/>
        <v>2.2280886320967066</v>
      </c>
      <c r="BY40" s="212">
        <f t="shared" si="15"/>
        <v>2.2533721375330891</v>
      </c>
      <c r="BZ40" s="212">
        <f t="shared" si="15"/>
        <v>2.2789425506076797</v>
      </c>
      <c r="CA40" s="212">
        <f t="shared" si="15"/>
        <v>2.3048031270396288</v>
      </c>
      <c r="CB40" s="212">
        <f t="shared" si="15"/>
        <v>2.3309571594927552</v>
      </c>
      <c r="CC40" s="212">
        <f t="shared" si="15"/>
        <v>2.3574079779947779</v>
      </c>
      <c r="CD40" s="212">
        <f t="shared" si="15"/>
        <v>2.3841589503613103</v>
      </c>
      <c r="CE40" s="212">
        <f t="shared" si="15"/>
        <v>2.411213482624659</v>
      </c>
      <c r="CF40" s="212">
        <f t="shared" si="15"/>
        <v>2.4385750194674962</v>
      </c>
      <c r="CG40" s="212">
        <f t="shared" si="15"/>
        <v>2.4662470446614457</v>
      </c>
      <c r="CH40" s="212">
        <f t="shared" si="15"/>
        <v>2.4942330815106546</v>
      </c>
      <c r="CI40" s="212">
        <f t="shared" si="15"/>
        <v>2.5225366933003865</v>
      </c>
      <c r="CJ40" s="212">
        <f t="shared" si="15"/>
        <v>2.5511614837507195</v>
      </c>
      <c r="CK40" s="212">
        <f t="shared" si="15"/>
        <v>2.5801110974753776</v>
      </c>
      <c r="CL40" s="212">
        <f t="shared" si="15"/>
        <v>2.6093892204457836</v>
      </c>
      <c r="CM40" s="212">
        <f t="shared" ref="CM40:DU40" si="16">(1+(1+$E$40)^(1/12)-1)^CM12</f>
        <v>2.6389995804603648</v>
      </c>
      <c r="CN40" s="212">
        <f t="shared" si="16"/>
        <v>2.6689459476191946</v>
      </c>
      <c r="CO40" s="212">
        <f t="shared" si="16"/>
        <v>2.6992321348040105</v>
      </c>
      <c r="CP40" s="212">
        <f t="shared" si="16"/>
        <v>2.72986199816369</v>
      </c>
      <c r="CQ40" s="212">
        <f t="shared" si="16"/>
        <v>2.7608394376052243</v>
      </c>
      <c r="CR40" s="212">
        <f t="shared" si="16"/>
        <v>2.7921683972902724</v>
      </c>
      <c r="CS40" s="212">
        <f t="shared" si="16"/>
        <v>2.823852866137345</v>
      </c>
      <c r="CT40" s="212">
        <f t="shared" si="16"/>
        <v>2.8558968783296885</v>
      </c>
      <c r="CU40" s="212">
        <f t="shared" si="16"/>
        <v>2.8883045138289321</v>
      </c>
      <c r="CV40" s="212">
        <f t="shared" si="16"/>
        <v>2.9210798988945625</v>
      </c>
      <c r="CW40" s="212">
        <f t="shared" si="16"/>
        <v>2.9542272066092958</v>
      </c>
      <c r="CX40" s="212">
        <f t="shared" si="16"/>
        <v>2.9877506574104107</v>
      </c>
      <c r="CY40" s="212">
        <f t="shared" si="16"/>
        <v>3.0216545196271061</v>
      </c>
      <c r="CZ40" s="212">
        <f t="shared" si="16"/>
        <v>3.055943110023966</v>
      </c>
      <c r="DA40" s="212">
        <f t="shared" si="16"/>
        <v>3.0906207943505803</v>
      </c>
      <c r="DB40" s="212">
        <f t="shared" si="16"/>
        <v>3.125691987897413</v>
      </c>
      <c r="DC40" s="212">
        <f t="shared" si="16"/>
        <v>3.1611611560579695</v>
      </c>
      <c r="DD40" s="212">
        <f t="shared" si="16"/>
        <v>3.1970328148973501</v>
      </c>
      <c r="DE40" s="212">
        <f t="shared" si="16"/>
        <v>3.2333115317272476</v>
      </c>
      <c r="DF40" s="212">
        <f t="shared" si="16"/>
        <v>3.2700019256874815</v>
      </c>
      <c r="DG40" s="212">
        <f t="shared" si="16"/>
        <v>3.3071086683341151</v>
      </c>
      <c r="DH40" s="212">
        <f t="shared" si="16"/>
        <v>3.3446364842342615</v>
      </c>
      <c r="DI40" s="212">
        <f t="shared" si="16"/>
        <v>3.3825901515676313</v>
      </c>
      <c r="DJ40" s="212">
        <f t="shared" si="16"/>
        <v>3.4209745027349072</v>
      </c>
      <c r="DK40" s="212">
        <f t="shared" si="16"/>
        <v>3.4597944249730239</v>
      </c>
      <c r="DL40" s="212">
        <f t="shared" si="16"/>
        <v>3.4990548609774281</v>
      </c>
      <c r="DM40" s="212">
        <f t="shared" si="16"/>
        <v>3.5387608095314009</v>
      </c>
      <c r="DN40" s="212">
        <f t="shared" si="16"/>
        <v>3.5789173261425242</v>
      </c>
      <c r="DO40" s="212">
        <f t="shared" si="16"/>
        <v>3.6195295236863609</v>
      </c>
      <c r="DP40" s="212">
        <f t="shared" si="16"/>
        <v>3.6606025730574516</v>
      </c>
      <c r="DQ40" s="212">
        <f t="shared" si="16"/>
        <v>3.7021417038276847</v>
      </c>
      <c r="DR40" s="212">
        <f t="shared" si="16"/>
        <v>3.7441522049121518</v>
      </c>
      <c r="DS40" s="212">
        <f t="shared" si="16"/>
        <v>3.786639425242547</v>
      </c>
      <c r="DT40" s="212">
        <f t="shared" si="16"/>
        <v>3.8296087744482152</v>
      </c>
      <c r="DU40" s="212">
        <f t="shared" si="16"/>
        <v>3.8730657235449226</v>
      </c>
    </row>
    <row r="41" spans="3:125">
      <c r="C41" s="69" t="s">
        <v>50</v>
      </c>
      <c r="D41" s="70" t="s">
        <v>35</v>
      </c>
      <c r="E41" s="71">
        <f>SUM(F41:DU41)</f>
        <v>355200000000000</v>
      </c>
      <c r="F41" s="72">
        <f>'Амортизация, до'!I18</f>
        <v>2960000000000</v>
      </c>
      <c r="G41" s="72">
        <f>'Амортизация, до'!J18</f>
        <v>2960000000000</v>
      </c>
      <c r="H41" s="72">
        <f>'Амортизация, до'!K18</f>
        <v>2960000000000</v>
      </c>
      <c r="I41" s="72">
        <f>'Амортизация, до'!L18</f>
        <v>2960000000000</v>
      </c>
      <c r="J41" s="72">
        <f>'Амортизация, до'!M18</f>
        <v>2960000000000</v>
      </c>
      <c r="K41" s="72">
        <f>'Амортизация, до'!N18</f>
        <v>2960000000000</v>
      </c>
      <c r="L41" s="72">
        <f>'Амортизация, до'!O18</f>
        <v>2960000000000</v>
      </c>
      <c r="M41" s="72">
        <f>'Амортизация, до'!P18</f>
        <v>2960000000000</v>
      </c>
      <c r="N41" s="72">
        <f>'Амортизация, до'!Q18</f>
        <v>2960000000000</v>
      </c>
      <c r="O41" s="72">
        <f>'Амортизация, до'!R18</f>
        <v>2960000000000</v>
      </c>
      <c r="P41" s="72">
        <f>'Амортизация, до'!S18</f>
        <v>2960000000000</v>
      </c>
      <c r="Q41" s="72">
        <f>'Амортизация, до'!T18</f>
        <v>2960000000000</v>
      </c>
      <c r="R41" s="72">
        <f>'Амортизация, до'!U18</f>
        <v>2960000000000</v>
      </c>
      <c r="S41" s="72">
        <f>'Амортизация, до'!V18</f>
        <v>2960000000000</v>
      </c>
      <c r="T41" s="72">
        <f>'Амортизация, до'!W18</f>
        <v>2960000000000</v>
      </c>
      <c r="U41" s="72">
        <f>'Амортизация, до'!X18</f>
        <v>2960000000000</v>
      </c>
      <c r="V41" s="72">
        <f>'Амортизация, до'!Y18</f>
        <v>2960000000000</v>
      </c>
      <c r="W41" s="72">
        <f>'Амортизация, до'!Z18</f>
        <v>2960000000000</v>
      </c>
      <c r="X41" s="72">
        <f>'Амортизация, до'!AA18</f>
        <v>2960000000000</v>
      </c>
      <c r="Y41" s="72">
        <f>'Амортизация, до'!AB18</f>
        <v>2960000000000</v>
      </c>
      <c r="Z41" s="72">
        <f>'Амортизация, до'!AC18</f>
        <v>2960000000000</v>
      </c>
      <c r="AA41" s="72">
        <f>'Амортизация, до'!AD18</f>
        <v>2960000000000</v>
      </c>
      <c r="AB41" s="72">
        <f>'Амортизация, до'!AE18</f>
        <v>2960000000000</v>
      </c>
      <c r="AC41" s="72">
        <f>'Амортизация, до'!AF18</f>
        <v>2960000000000</v>
      </c>
      <c r="AD41" s="72">
        <f>'Амортизация, до'!AG18</f>
        <v>2960000000000</v>
      </c>
      <c r="AE41" s="72">
        <f>'Амортизация, до'!AH18</f>
        <v>2960000000000</v>
      </c>
      <c r="AF41" s="72">
        <f>'Амортизация, до'!AI18</f>
        <v>2960000000000</v>
      </c>
      <c r="AG41" s="72">
        <f>'Амортизация, до'!AJ18</f>
        <v>2960000000000</v>
      </c>
      <c r="AH41" s="72">
        <f>'Амортизация, до'!AK18</f>
        <v>2960000000000</v>
      </c>
      <c r="AI41" s="72">
        <f>'Амортизация, до'!AL18</f>
        <v>2960000000000</v>
      </c>
      <c r="AJ41" s="72">
        <f>'Амортизация, до'!AM18</f>
        <v>2960000000000</v>
      </c>
      <c r="AK41" s="72">
        <f>'Амортизация, до'!AN18</f>
        <v>2960000000000</v>
      </c>
      <c r="AL41" s="72">
        <f>'Амортизация, до'!AO18</f>
        <v>2960000000000</v>
      </c>
      <c r="AM41" s="72">
        <f>'Амортизация, до'!AP18</f>
        <v>2960000000000</v>
      </c>
      <c r="AN41" s="72">
        <f>'Амортизация, до'!AQ18</f>
        <v>2960000000000</v>
      </c>
      <c r="AO41" s="72">
        <f>'Амортизация, до'!AR18</f>
        <v>2960000000000</v>
      </c>
      <c r="AP41" s="72">
        <f>'Амортизация, до'!AS18</f>
        <v>2960000000000</v>
      </c>
      <c r="AQ41" s="72">
        <f>'Амортизация, до'!AT18</f>
        <v>2960000000000</v>
      </c>
      <c r="AR41" s="72">
        <f>'Амортизация, до'!AU18</f>
        <v>2960000000000</v>
      </c>
      <c r="AS41" s="72">
        <f>'Амортизация, до'!AV18</f>
        <v>2960000000000</v>
      </c>
      <c r="AT41" s="72">
        <f>'Амортизация, до'!AW18</f>
        <v>2960000000000</v>
      </c>
      <c r="AU41" s="72">
        <f>'Амортизация, до'!AX18</f>
        <v>2960000000000</v>
      </c>
      <c r="AV41" s="72">
        <f>'Амортизация, до'!AY18</f>
        <v>2960000000000</v>
      </c>
      <c r="AW41" s="72">
        <f>'Амортизация, до'!AZ18</f>
        <v>2960000000000</v>
      </c>
      <c r="AX41" s="72">
        <f>'Амортизация, до'!BA18</f>
        <v>2960000000000</v>
      </c>
      <c r="AY41" s="72">
        <f>'Амортизация, до'!BB18</f>
        <v>2960000000000</v>
      </c>
      <c r="AZ41" s="72">
        <f>'Амортизация, до'!BC18</f>
        <v>2960000000000</v>
      </c>
      <c r="BA41" s="72">
        <f>'Амортизация, до'!BD18</f>
        <v>2960000000000</v>
      </c>
      <c r="BB41" s="72">
        <f>'Амортизация, до'!BE18</f>
        <v>2960000000000</v>
      </c>
      <c r="BC41" s="72">
        <f>'Амортизация, до'!BF18</f>
        <v>2960000000000</v>
      </c>
      <c r="BD41" s="72">
        <f>'Амортизация, до'!BG18</f>
        <v>2960000000000</v>
      </c>
      <c r="BE41" s="72">
        <f>'Амортизация, до'!BH18</f>
        <v>2960000000000</v>
      </c>
      <c r="BF41" s="72">
        <f>'Амортизация, до'!BI18</f>
        <v>2960000000000</v>
      </c>
      <c r="BG41" s="72">
        <f>'Амортизация, до'!BJ18</f>
        <v>2960000000000</v>
      </c>
      <c r="BH41" s="72">
        <f>'Амортизация, до'!BK18</f>
        <v>2960000000000</v>
      </c>
      <c r="BI41" s="72">
        <f>'Амортизация, до'!BL18</f>
        <v>2960000000000</v>
      </c>
      <c r="BJ41" s="72">
        <f>'Амортизация, до'!BM18</f>
        <v>2960000000000</v>
      </c>
      <c r="BK41" s="72">
        <f>'Амортизация, до'!BN18</f>
        <v>2960000000000</v>
      </c>
      <c r="BL41" s="72">
        <f>'Амортизация, до'!BO18</f>
        <v>2960000000000</v>
      </c>
      <c r="BM41" s="72">
        <f>'Амортизация, до'!BP18</f>
        <v>2960000000000</v>
      </c>
      <c r="BN41" s="72">
        <f>'Амортизация, до'!BQ18</f>
        <v>2960000000000</v>
      </c>
      <c r="BO41" s="72">
        <f>'Амортизация, до'!BR18</f>
        <v>2960000000000</v>
      </c>
      <c r="BP41" s="72">
        <f>'Амортизация, до'!BS18</f>
        <v>2960000000000</v>
      </c>
      <c r="BQ41" s="72">
        <f>'Амортизация, до'!BT18</f>
        <v>2960000000000</v>
      </c>
      <c r="BR41" s="72">
        <f>'Амортизация, до'!BU18</f>
        <v>2960000000000</v>
      </c>
      <c r="BS41" s="72">
        <f>'Амортизация, до'!BV18</f>
        <v>2960000000000</v>
      </c>
      <c r="BT41" s="72">
        <f>'Амортизация, до'!BW18</f>
        <v>2960000000000</v>
      </c>
      <c r="BU41" s="72">
        <f>'Амортизация, до'!BX18</f>
        <v>2960000000000</v>
      </c>
      <c r="BV41" s="72">
        <f>'Амортизация, до'!BY18</f>
        <v>2960000000000</v>
      </c>
      <c r="BW41" s="72">
        <f>'Амортизация, до'!BZ18</f>
        <v>2960000000000</v>
      </c>
      <c r="BX41" s="72">
        <f>'Амортизация, до'!CA18</f>
        <v>2960000000000</v>
      </c>
      <c r="BY41" s="72">
        <f>'Амортизация, до'!CB18</f>
        <v>2960000000000</v>
      </c>
      <c r="BZ41" s="72">
        <f>'Амортизация, до'!CC18</f>
        <v>2960000000000</v>
      </c>
      <c r="CA41" s="72">
        <f>'Амортизация, до'!CD18</f>
        <v>2960000000000</v>
      </c>
      <c r="CB41" s="72">
        <f>'Амортизация, до'!CE18</f>
        <v>2960000000000</v>
      </c>
      <c r="CC41" s="72">
        <f>'Амортизация, до'!CF18</f>
        <v>2960000000000</v>
      </c>
      <c r="CD41" s="72">
        <f>'Амортизация, до'!CG18</f>
        <v>2960000000000</v>
      </c>
      <c r="CE41" s="72">
        <f>'Амортизация, до'!CH18</f>
        <v>2960000000000</v>
      </c>
      <c r="CF41" s="72">
        <f>'Амортизация, до'!CI18</f>
        <v>2960000000000</v>
      </c>
      <c r="CG41" s="72">
        <f>'Амортизация, до'!CJ18</f>
        <v>2960000000000</v>
      </c>
      <c r="CH41" s="72">
        <f>'Амортизация, до'!CK18</f>
        <v>2960000000000</v>
      </c>
      <c r="CI41" s="72">
        <f>'Амортизация, до'!CL18</f>
        <v>2960000000000</v>
      </c>
      <c r="CJ41" s="72">
        <f>'Амортизация, до'!CM18</f>
        <v>2960000000000</v>
      </c>
      <c r="CK41" s="72">
        <f>'Амортизация, до'!CN18</f>
        <v>2960000000000</v>
      </c>
      <c r="CL41" s="72">
        <f>'Амортизация, до'!CO18</f>
        <v>2960000000000</v>
      </c>
      <c r="CM41" s="72">
        <f>'Амортизация, до'!CP18</f>
        <v>2960000000000</v>
      </c>
      <c r="CN41" s="72">
        <f>'Амортизация, до'!CQ18</f>
        <v>2960000000000</v>
      </c>
      <c r="CO41" s="72">
        <f>'Амортизация, до'!CR18</f>
        <v>2960000000000</v>
      </c>
      <c r="CP41" s="72">
        <f>'Амортизация, до'!CS18</f>
        <v>2960000000000</v>
      </c>
      <c r="CQ41" s="72">
        <f>'Амортизация, до'!CT18</f>
        <v>2960000000000</v>
      </c>
      <c r="CR41" s="72">
        <f>'Амортизация, до'!CU18</f>
        <v>2960000000000</v>
      </c>
      <c r="CS41" s="72">
        <f>'Амортизация, до'!CV18</f>
        <v>2960000000000</v>
      </c>
      <c r="CT41" s="72">
        <f>'Амортизация, до'!CW18</f>
        <v>2960000000000</v>
      </c>
      <c r="CU41" s="72">
        <f>'Амортизация, до'!CX18</f>
        <v>2960000000000</v>
      </c>
      <c r="CV41" s="72">
        <f>'Амортизация, до'!CY18</f>
        <v>2960000000000</v>
      </c>
      <c r="CW41" s="72">
        <f>'Амортизация, до'!CZ18</f>
        <v>2960000000000</v>
      </c>
      <c r="CX41" s="72">
        <f>'Амортизация, до'!DA18</f>
        <v>2960000000000</v>
      </c>
      <c r="CY41" s="72">
        <f>'Амортизация, до'!DB18</f>
        <v>2960000000000</v>
      </c>
      <c r="CZ41" s="72">
        <f>'Амортизация, до'!DC18</f>
        <v>2960000000000</v>
      </c>
      <c r="DA41" s="72">
        <f>'Амортизация, до'!DD18</f>
        <v>2960000000000</v>
      </c>
      <c r="DB41" s="72">
        <f>'Амортизация, до'!DE18</f>
        <v>2960000000000</v>
      </c>
      <c r="DC41" s="72">
        <f>'Амортизация, до'!DF18</f>
        <v>2960000000000</v>
      </c>
      <c r="DD41" s="72">
        <f>'Амортизация, до'!DG18</f>
        <v>2960000000000</v>
      </c>
      <c r="DE41" s="72">
        <f>'Амортизация, до'!DH18</f>
        <v>2960000000000</v>
      </c>
      <c r="DF41" s="72">
        <f>'Амортизация, до'!DI18</f>
        <v>2960000000000</v>
      </c>
      <c r="DG41" s="72">
        <f>'Амортизация, до'!DJ18</f>
        <v>2960000000000</v>
      </c>
      <c r="DH41" s="72">
        <f>'Амортизация, до'!DK18</f>
        <v>2960000000000</v>
      </c>
      <c r="DI41" s="72">
        <f>'Амортизация, до'!DL18</f>
        <v>2960000000000</v>
      </c>
      <c r="DJ41" s="72">
        <f>'Амортизация, до'!DM18</f>
        <v>2960000000000</v>
      </c>
      <c r="DK41" s="72">
        <f>'Амортизация, до'!DN18</f>
        <v>2960000000000</v>
      </c>
      <c r="DL41" s="72">
        <f>'Амортизация, до'!DO18</f>
        <v>2960000000000</v>
      </c>
      <c r="DM41" s="72">
        <f>'Амортизация, до'!DP18</f>
        <v>2960000000000</v>
      </c>
      <c r="DN41" s="72">
        <f>'Амортизация, до'!DQ18</f>
        <v>2960000000000</v>
      </c>
      <c r="DO41" s="72">
        <f>'Амортизация, до'!DR18</f>
        <v>2960000000000</v>
      </c>
      <c r="DP41" s="72">
        <f>'Амортизация, до'!DS18</f>
        <v>2960000000000</v>
      </c>
      <c r="DQ41" s="72">
        <f>'Амортизация, до'!DT18</f>
        <v>2960000000000</v>
      </c>
      <c r="DR41" s="72">
        <f>'Амортизация, до'!DU18</f>
        <v>2960000000000</v>
      </c>
      <c r="DS41" s="72">
        <f>'Амортизация, до'!DV18</f>
        <v>2960000000000</v>
      </c>
      <c r="DT41" s="72">
        <f>'Амортизация, до'!DW18</f>
        <v>2960000000000</v>
      </c>
      <c r="DU41" s="72">
        <f>'Амортизация, до'!DX18</f>
        <v>2960000000000</v>
      </c>
    </row>
    <row r="42" spans="3:125">
      <c r="C42" s="73" t="s">
        <v>51</v>
      </c>
      <c r="D42" s="74" t="s">
        <v>35</v>
      </c>
      <c r="E42" s="75">
        <f>SUM(F42:DU42)</f>
        <v>840056496967.14087</v>
      </c>
      <c r="F42" s="75">
        <f>'Амортизация, до'!I17</f>
        <v>8222288000</v>
      </c>
      <c r="G42" s="75">
        <f>'Амортизация, до'!J17</f>
        <v>8199448128.3935995</v>
      </c>
      <c r="H42" s="75">
        <f>'Амортизация, до'!K17</f>
        <v>8176671701.3825483</v>
      </c>
      <c r="I42" s="75">
        <f>'Амортизация, до'!L17</f>
        <v>8153958542.7304487</v>
      </c>
      <c r="J42" s="75">
        <f>'Амортизация, до'!M17</f>
        <v>8131308476.6904516</v>
      </c>
      <c r="K42" s="75">
        <f>'Амортизация, до'!N17</f>
        <v>8108721328.0039015</v>
      </c>
      <c r="L42" s="75">
        <f>'Амортизация, до'!O17</f>
        <v>8086196921.8989716</v>
      </c>
      <c r="M42" s="75">
        <f>'Амортизация, до'!P17</f>
        <v>8063735084.0893211</v>
      </c>
      <c r="N42" s="75">
        <f>'Амортизация, до'!Q17</f>
        <v>8041335640.7727375</v>
      </c>
      <c r="O42" s="75">
        <f>'Амортизация, до'!R17</f>
        <v>8018998418.6297989</v>
      </c>
      <c r="P42" s="75">
        <f>'Амортизация, до'!S17</f>
        <v>7996723244.8225288</v>
      </c>
      <c r="Q42" s="75">
        <f>'Амортизация, до'!T17</f>
        <v>7974509946.9930601</v>
      </c>
      <c r="R42" s="75">
        <f>'Амортизация, до'!U17</f>
        <v>7952358353.2623024</v>
      </c>
      <c r="S42" s="75">
        <f>'Амортизация, до'!V17</f>
        <v>7930268292.22861</v>
      </c>
      <c r="T42" s="75">
        <f>'Амортизация, до'!W17</f>
        <v>7908239592.9664583</v>
      </c>
      <c r="U42" s="75">
        <f>'Амортизация, до'!X17</f>
        <v>7886272085.025116</v>
      </c>
      <c r="V42" s="75">
        <f>'Амортизация, до'!Y17</f>
        <v>7864365598.4273338</v>
      </c>
      <c r="W42" s="75">
        <f>'Амортизация, до'!Z17</f>
        <v>7842519963.6680231</v>
      </c>
      <c r="X42" s="75">
        <f>'Амортизация, до'!AA17</f>
        <v>7820735011.7129459</v>
      </c>
      <c r="Y42" s="75">
        <f>'Амортизация, до'!AB17</f>
        <v>7799010573.9974098</v>
      </c>
      <c r="Z42" s="75">
        <f>'Амортизация, до'!AC17</f>
        <v>7777346482.4249592</v>
      </c>
      <c r="AA42" s="75">
        <f>'Амортизация, до'!AD17</f>
        <v>7755742569.3660803</v>
      </c>
      <c r="AB42" s="75">
        <f>'Амортизация, до'!AE17</f>
        <v>7734198667.6568947</v>
      </c>
      <c r="AC42" s="75">
        <f>'Амортизация, до'!AF17</f>
        <v>7712714610.5978775</v>
      </c>
      <c r="AD42" s="75">
        <f>'Амортизация, до'!AG17</f>
        <v>7691290231.9525595</v>
      </c>
      <c r="AE42" s="75">
        <f>'Амортизация, до'!AH17</f>
        <v>7669925365.9462414</v>
      </c>
      <c r="AF42" s="75">
        <f>'Амортизация, до'!AI17</f>
        <v>7648619847.2647161</v>
      </c>
      <c r="AG42" s="75">
        <f>'Амортизация, до'!AJ17</f>
        <v>7627373511.0529842</v>
      </c>
      <c r="AH42" s="75">
        <f>'Амортизация, до'!AK17</f>
        <v>7606186192.9139805</v>
      </c>
      <c r="AI42" s="75">
        <f>'Амортизация, до'!AL17</f>
        <v>7585057728.9073038</v>
      </c>
      <c r="AJ42" s="75">
        <f>'Амортизация, до'!AM17</f>
        <v>7563987955.547945</v>
      </c>
      <c r="AK42" s="75">
        <f>'Амортизация, до'!AN17</f>
        <v>7542976709.8050241</v>
      </c>
      <c r="AL42" s="75">
        <f>'Амортизация, до'!AO17</f>
        <v>7522023829.1005278</v>
      </c>
      <c r="AM42" s="75">
        <f>'Амортизация, до'!AP17</f>
        <v>7501129151.3080521</v>
      </c>
      <c r="AN42" s="75">
        <f>'Амортизация, до'!AQ17</f>
        <v>7480292514.7515478</v>
      </c>
      <c r="AO42" s="75">
        <f>'Амортизация, до'!AR17</f>
        <v>7459513758.204072</v>
      </c>
      <c r="AP42" s="75">
        <f>'Амортизация, до'!AS17</f>
        <v>7438792720.8865318</v>
      </c>
      <c r="AQ42" s="75">
        <f>'Амортизация, до'!AT17</f>
        <v>7418129242.4664536</v>
      </c>
      <c r="AR42" s="75">
        <f>'Амортизация, до'!AU17</f>
        <v>7397523163.0567303</v>
      </c>
      <c r="AS42" s="75">
        <f>'Амортизация, до'!AV17</f>
        <v>7376974323.2143917</v>
      </c>
      <c r="AT42" s="75">
        <f>'Амортизация, до'!AW17</f>
        <v>7356482563.9393663</v>
      </c>
      <c r="AU42" s="75">
        <f>'Амортизация, до'!AX17</f>
        <v>7336047726.6732559</v>
      </c>
      <c r="AV42" s="75">
        <f>'Амортизация, до'!AY17</f>
        <v>7315669653.2981024</v>
      </c>
      <c r="AW42" s="75">
        <f>'Амортизация, до'!AZ17</f>
        <v>7295348186.13517</v>
      </c>
      <c r="AX42" s="75">
        <f>'Амортизация, до'!BA17</f>
        <v>7275083167.9437237</v>
      </c>
      <c r="AY42" s="75">
        <f>'Амортизация, до'!BB17</f>
        <v>7254874441.9198093</v>
      </c>
      <c r="AZ42" s="75">
        <f>'Амортизация, до'!BC17</f>
        <v>7234721851.6950445</v>
      </c>
      <c r="BA42" s="75">
        <f>'Амортизация, до'!BD17</f>
        <v>7214625241.3354063</v>
      </c>
      <c r="BB42" s="75">
        <f>'Амортизация, до'!BE17</f>
        <v>7194584455.3400249</v>
      </c>
      <c r="BC42" s="75">
        <f>'Амортизация, до'!BF17</f>
        <v>7174599338.6399813</v>
      </c>
      <c r="BD42" s="75">
        <f>'Амортизация, до'!BG17</f>
        <v>7154669736.5971069</v>
      </c>
      <c r="BE42" s="75">
        <f>'Амортизация, до'!BH17</f>
        <v>7134795495.0027876</v>
      </c>
      <c r="BF42" s="75">
        <f>'Амортизация, до'!BI17</f>
        <v>7114976460.0767689</v>
      </c>
      <c r="BG42" s="75">
        <f>'Амортизация, до'!BJ17</f>
        <v>7095212478.4659672</v>
      </c>
      <c r="BH42" s="75">
        <f>'Амортизация, до'!BK17</f>
        <v>7075503397.2432852</v>
      </c>
      <c r="BI42" s="75">
        <f>'Амортизация, до'!BL17</f>
        <v>7055849063.9064226</v>
      </c>
      <c r="BJ42" s="75">
        <f>'Амортизация, до'!BM17</f>
        <v>7036249326.3767042</v>
      </c>
      <c r="BK42" s="75">
        <f>'Амортизация, до'!BN17</f>
        <v>7016704032.9978962</v>
      </c>
      <c r="BL42" s="75">
        <f>'Амортизация, до'!BO17</f>
        <v>6997213032.5350342</v>
      </c>
      <c r="BM42" s="75">
        <f>'Амортизация, до'!BP17</f>
        <v>6977776174.1732578</v>
      </c>
      <c r="BN42" s="75">
        <f>'Амортизация, до'!BQ17</f>
        <v>6958393307.5166388</v>
      </c>
      <c r="BO42" s="75">
        <f>'Амортизация, до'!BR17</f>
        <v>6939064282.587019</v>
      </c>
      <c r="BP42" s="75">
        <f>'Амортизация, до'!BS17</f>
        <v>6919788949.8228493</v>
      </c>
      <c r="BQ42" s="75">
        <f>'Амортизация, до'!BT17</f>
        <v>6900567160.0780315</v>
      </c>
      <c r="BR42" s="75">
        <f>'Амортизация, до'!BU17</f>
        <v>6881398764.6207666</v>
      </c>
      <c r="BS42" s="75">
        <f>'Амортизация, до'!BV17</f>
        <v>6862283615.1324034</v>
      </c>
      <c r="BT42" s="75">
        <f>'Амортизация, до'!BW17</f>
        <v>6843221563.7062893</v>
      </c>
      <c r="BU42" s="75">
        <f>'Амортизация, до'!BX17</f>
        <v>6824212462.8466263</v>
      </c>
      <c r="BV42" s="75">
        <f>'Амортизация, до'!BY17</f>
        <v>6805256165.4673309</v>
      </c>
      <c r="BW42" s="75">
        <f>'Амортизация, до'!BZ17</f>
        <v>6786352524.8908958</v>
      </c>
      <c r="BX42" s="75">
        <f>'Амортизация, до'!CA17</f>
        <v>6767501394.8472528</v>
      </c>
      <c r="BY42" s="75">
        <f>'Амортизация, до'!CB17</f>
        <v>6748702629.4726467</v>
      </c>
      <c r="BZ42" s="75">
        <f>'Амортизация, до'!CC17</f>
        <v>6729956083.3084974</v>
      </c>
      <c r="CA42" s="75">
        <f>'Амортизация, до'!CD17</f>
        <v>6711261611.3002834</v>
      </c>
      <c r="CB42" s="75">
        <f>'Амортизация, до'!CE17</f>
        <v>6692619068.7964134</v>
      </c>
      <c r="CC42" s="75">
        <f>'Амортизация, до'!CF17</f>
        <v>6674028311.5471106</v>
      </c>
      <c r="CD42" s="75">
        <f>'Амортизация, до'!CG17</f>
        <v>6655489195.7032957</v>
      </c>
      <c r="CE42" s="75">
        <f>'Амортизация, до'!CH17</f>
        <v>6637001577.8154716</v>
      </c>
      <c r="CF42" s="75">
        <f>'Амортизация, до'!CI17</f>
        <v>6618565314.8326159</v>
      </c>
      <c r="CG42" s="75">
        <f>'Амортизация, до'!CJ17</f>
        <v>6600180264.1010742</v>
      </c>
      <c r="CH42" s="75">
        <f>'Амортизация, до'!CK17</f>
        <v>6581846283.3634539</v>
      </c>
      <c r="CI42" s="75">
        <f>'Амортизация, до'!CL17</f>
        <v>6563563230.7575274</v>
      </c>
      <c r="CJ42" s="75">
        <f>'Амортизация, до'!CM17</f>
        <v>6545330964.8151302</v>
      </c>
      <c r="CK42" s="75">
        <f>'Амортизация, до'!CN17</f>
        <v>6527149344.4610672</v>
      </c>
      <c r="CL42" s="75">
        <f>'Амортизация, до'!CO17</f>
        <v>6509018229.012023</v>
      </c>
      <c r="CM42" s="75">
        <f>'Амортизация, до'!CP17</f>
        <v>6490937478.1754732</v>
      </c>
      <c r="CN42" s="75">
        <f>'Амортизация, до'!CQ17</f>
        <v>6472906952.0485973</v>
      </c>
      <c r="CO42" s="75">
        <f>'Амортизация, до'!CR17</f>
        <v>6454926511.1171961</v>
      </c>
      <c r="CP42" s="75">
        <f>'Амортизация, до'!CS17</f>
        <v>6436996016.2546148</v>
      </c>
      <c r="CQ42" s="75">
        <f>'Амортизация, до'!CT17</f>
        <v>6419115328.720664</v>
      </c>
      <c r="CR42" s="75">
        <f>'Амортизация, до'!CU17</f>
        <v>6401284310.1605434</v>
      </c>
      <c r="CS42" s="75">
        <f>'Амортизация, до'!CV17</f>
        <v>6383502822.6037788</v>
      </c>
      <c r="CT42" s="75">
        <f>'Амортизация, до'!CW17</f>
        <v>6365770728.46315</v>
      </c>
      <c r="CU42" s="75">
        <f>'Амортизация, до'!CX17</f>
        <v>6348087890.5336246</v>
      </c>
      <c r="CV42" s="75">
        <f>'Амортизация, до'!CY17</f>
        <v>6330454171.9912996</v>
      </c>
      <c r="CW42" s="75">
        <f>'Амортизация, до'!CZ17</f>
        <v>6312869436.3923426</v>
      </c>
      <c r="CX42" s="75">
        <f>'Амортизация, до'!DA17</f>
        <v>6295333547.6719313</v>
      </c>
      <c r="CY42" s="75">
        <f>'Амортизация, до'!DB17</f>
        <v>6277846370.1432085</v>
      </c>
      <c r="CZ42" s="75">
        <f>'Амортизация, до'!DC17</f>
        <v>6260407768.4962244</v>
      </c>
      <c r="DA42" s="75">
        <f>'Амортизация, до'!DD17</f>
        <v>6243017607.796896</v>
      </c>
      <c r="DB42" s="75">
        <f>'Амортизация, до'!DE17</f>
        <v>6225675753.4859581</v>
      </c>
      <c r="DC42" s="75">
        <f>'Амортизация, до'!DF17</f>
        <v>6208382071.3779249</v>
      </c>
      <c r="DD42" s="75">
        <f>'Амортизация, до'!DG17</f>
        <v>6191136427.6600513</v>
      </c>
      <c r="DE42" s="75">
        <f>'Амортизация, до'!DH17</f>
        <v>6173938688.8912973</v>
      </c>
      <c r="DF42" s="75">
        <f>'Амортизация, до'!DI17</f>
        <v>6156788722.001296</v>
      </c>
      <c r="DG42" s="75">
        <f>'Амортизация, до'!DJ17</f>
        <v>6139686394.28932</v>
      </c>
      <c r="DH42" s="75">
        <f>'Амортизация, до'!DK17</f>
        <v>6122631573.4232626</v>
      </c>
      <c r="DI42" s="75">
        <f>'Амортизация, до'!DL17</f>
        <v>6105624127.4386072</v>
      </c>
      <c r="DJ42" s="75">
        <f>'Амортизация, до'!DM17</f>
        <v>6088663924.7374077</v>
      </c>
      <c r="DK42" s="75">
        <f>'Амортизация, до'!DN17</f>
        <v>6071750834.0872726</v>
      </c>
      <c r="DL42" s="75">
        <f>'Амортизация, до'!DO17</f>
        <v>6054884724.6203451</v>
      </c>
      <c r="DM42" s="75">
        <f>'Амортизация, до'!DP17</f>
        <v>6038065465.8322945</v>
      </c>
      <c r="DN42" s="75">
        <f>'Амортизация, до'!DQ17</f>
        <v>6021292927.5813055</v>
      </c>
      <c r="DO42" s="75">
        <f>'Амортизация, до'!DR17</f>
        <v>6004566980.0870705</v>
      </c>
      <c r="DP42" s="75">
        <f>'Амортизация, до'!DS17</f>
        <v>5987887493.9297848</v>
      </c>
      <c r="DQ42" s="75">
        <f>'Амортизация, до'!DT17</f>
        <v>5971254340.0491467</v>
      </c>
      <c r="DR42" s="75">
        <f>'Амортизация, до'!DU17</f>
        <v>5954667389.7433586</v>
      </c>
      <c r="DS42" s="75">
        <f>'Амортизация, до'!DV17</f>
        <v>5938126514.668129</v>
      </c>
      <c r="DT42" s="75">
        <f>'Амортизация, до'!DW17</f>
        <v>5921631586.8356838</v>
      </c>
      <c r="DU42" s="75">
        <f>'Амортизация, до'!DX17</f>
        <v>5905182478.6137714</v>
      </c>
    </row>
    <row r="44" spans="3:125">
      <c r="F44" s="214"/>
    </row>
  </sheetData>
  <mergeCells count="16">
    <mergeCell ref="AD10:AO10"/>
    <mergeCell ref="C11:C12"/>
    <mergeCell ref="D11:D12"/>
    <mergeCell ref="E11:E12"/>
    <mergeCell ref="C2:E2"/>
    <mergeCell ref="D4:E4"/>
    <mergeCell ref="D5:E5"/>
    <mergeCell ref="F10:Q10"/>
    <mergeCell ref="R10:AC10"/>
    <mergeCell ref="CX10:DI10"/>
    <mergeCell ref="DJ10:DU10"/>
    <mergeCell ref="AP10:BA10"/>
    <mergeCell ref="BB10:BM10"/>
    <mergeCell ref="BN10:BY10"/>
    <mergeCell ref="BZ10:CK10"/>
    <mergeCell ref="CL10:CW10"/>
  </mergeCells>
  <pageMargins left="0.7" right="0.7" top="0.75" bottom="0.75" header="0.3" footer="0.3"/>
  <pageSetup paperSize="9" firstPageNumber="4294967295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622FD-E3DC-4ABA-8A1D-08C497228C56}">
  <dimension ref="A1:DS9"/>
  <sheetViews>
    <sheetView topLeftCell="A2" workbookViewId="0">
      <selection activeCell="D6" sqref="D6"/>
    </sheetView>
  </sheetViews>
  <sheetFormatPr baseColWidth="10" defaultColWidth="8.83203125" defaultRowHeight="15"/>
  <cols>
    <col min="4" max="4" width="14.33203125" bestFit="1" customWidth="1"/>
  </cols>
  <sheetData>
    <row r="1" spans="1:123" ht="16" thickBot="1">
      <c r="A1" s="352" t="s">
        <v>430</v>
      </c>
      <c r="B1" s="352"/>
      <c r="C1" s="352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1"/>
      <c r="AP1" s="201"/>
      <c r="AQ1" s="201"/>
      <c r="AR1" s="201"/>
      <c r="AS1" s="201"/>
      <c r="AT1" s="201"/>
      <c r="AU1" s="201"/>
      <c r="AV1" s="201"/>
      <c r="AW1" s="201"/>
      <c r="AX1" s="201"/>
      <c r="AY1" s="201"/>
      <c r="AZ1" s="201"/>
      <c r="BA1" s="201"/>
      <c r="BB1" s="201"/>
      <c r="BC1" s="201"/>
      <c r="BD1" s="201"/>
      <c r="BE1" s="201"/>
      <c r="BF1" s="201"/>
      <c r="BG1" s="201"/>
      <c r="BH1" s="201"/>
      <c r="BI1" s="201"/>
      <c r="BJ1" s="201"/>
      <c r="BK1" s="201"/>
      <c r="BL1" s="201"/>
      <c r="BM1" s="201"/>
      <c r="BN1" s="201"/>
      <c r="BO1" s="201"/>
      <c r="BP1" s="201"/>
      <c r="BQ1" s="201"/>
      <c r="BR1" s="201"/>
      <c r="BS1" s="201"/>
      <c r="BT1" s="201"/>
      <c r="BU1" s="201"/>
      <c r="BV1" s="201"/>
      <c r="BW1" s="201"/>
      <c r="BX1" s="201"/>
      <c r="BY1" s="201"/>
      <c r="BZ1" s="201"/>
      <c r="CA1" s="201"/>
      <c r="CB1" s="201"/>
      <c r="CC1" s="201"/>
      <c r="CD1" s="201"/>
      <c r="CE1" s="201"/>
      <c r="CF1" s="201"/>
      <c r="CG1" s="201"/>
      <c r="CH1" s="201"/>
      <c r="CI1" s="201"/>
      <c r="CJ1" s="201"/>
      <c r="CK1" s="201"/>
      <c r="CL1" s="201"/>
      <c r="CM1" s="201"/>
      <c r="CN1" s="201"/>
      <c r="CO1" s="201"/>
      <c r="CP1" s="201"/>
      <c r="CQ1" s="201"/>
      <c r="CR1" s="201"/>
      <c r="CS1" s="201"/>
      <c r="CT1" s="201"/>
      <c r="CU1" s="201"/>
      <c r="CV1" s="201"/>
      <c r="CW1" s="201"/>
      <c r="CX1" s="201"/>
      <c r="CY1" s="201"/>
      <c r="CZ1" s="201"/>
      <c r="DA1" s="201"/>
      <c r="DB1" s="201"/>
      <c r="DC1" s="201"/>
      <c r="DD1" s="201"/>
      <c r="DE1" s="201"/>
      <c r="DF1" s="201"/>
      <c r="DG1" s="201"/>
      <c r="DH1" s="201"/>
      <c r="DI1" s="201"/>
      <c r="DJ1" s="201"/>
      <c r="DK1" s="201"/>
      <c r="DL1" s="201"/>
      <c r="DM1" s="201"/>
      <c r="DN1" s="201"/>
      <c r="DO1" s="201"/>
      <c r="DP1" s="201"/>
      <c r="DQ1" s="201"/>
      <c r="DR1" s="201"/>
      <c r="DS1" s="201"/>
    </row>
    <row r="2" spans="1:123">
      <c r="A2" s="201"/>
      <c r="B2" s="201"/>
      <c r="C2" s="201"/>
      <c r="D2" s="349" t="s">
        <v>23</v>
      </c>
      <c r="E2" s="350"/>
      <c r="F2" s="350"/>
      <c r="G2" s="350"/>
      <c r="H2" s="350"/>
      <c r="I2" s="350"/>
      <c r="J2" s="350"/>
      <c r="K2" s="350"/>
      <c r="L2" s="350"/>
      <c r="M2" s="350"/>
      <c r="N2" s="350"/>
      <c r="O2" s="351"/>
      <c r="P2" s="349" t="s">
        <v>24</v>
      </c>
      <c r="Q2" s="350"/>
      <c r="R2" s="350"/>
      <c r="S2" s="350"/>
      <c r="T2" s="350"/>
      <c r="U2" s="350"/>
      <c r="V2" s="350"/>
      <c r="W2" s="350"/>
      <c r="X2" s="350"/>
      <c r="Y2" s="350"/>
      <c r="Z2" s="350"/>
      <c r="AA2" s="351"/>
      <c r="AB2" s="349" t="s">
        <v>25</v>
      </c>
      <c r="AC2" s="350"/>
      <c r="AD2" s="350"/>
      <c r="AE2" s="350"/>
      <c r="AF2" s="350"/>
      <c r="AG2" s="350"/>
      <c r="AH2" s="350"/>
      <c r="AI2" s="350"/>
      <c r="AJ2" s="350"/>
      <c r="AK2" s="350"/>
      <c r="AL2" s="350"/>
      <c r="AM2" s="353"/>
      <c r="AN2" s="354" t="s">
        <v>346</v>
      </c>
      <c r="AO2" s="350"/>
      <c r="AP2" s="350"/>
      <c r="AQ2" s="350"/>
      <c r="AR2" s="350"/>
      <c r="AS2" s="350"/>
      <c r="AT2" s="350"/>
      <c r="AU2" s="350"/>
      <c r="AV2" s="350"/>
      <c r="AW2" s="350"/>
      <c r="AX2" s="350"/>
      <c r="AY2" s="351"/>
      <c r="AZ2" s="349" t="s">
        <v>347</v>
      </c>
      <c r="BA2" s="350"/>
      <c r="BB2" s="350"/>
      <c r="BC2" s="350"/>
      <c r="BD2" s="350"/>
      <c r="BE2" s="350"/>
      <c r="BF2" s="350"/>
      <c r="BG2" s="350"/>
      <c r="BH2" s="350"/>
      <c r="BI2" s="350"/>
      <c r="BJ2" s="350"/>
      <c r="BK2" s="351"/>
      <c r="BL2" s="349" t="s">
        <v>348</v>
      </c>
      <c r="BM2" s="350"/>
      <c r="BN2" s="350"/>
      <c r="BO2" s="350"/>
      <c r="BP2" s="350"/>
      <c r="BQ2" s="350"/>
      <c r="BR2" s="350"/>
      <c r="BS2" s="350"/>
      <c r="BT2" s="350"/>
      <c r="BU2" s="350"/>
      <c r="BV2" s="350"/>
      <c r="BW2" s="351"/>
      <c r="BX2" s="349" t="s">
        <v>349</v>
      </c>
      <c r="BY2" s="350"/>
      <c r="BZ2" s="350"/>
      <c r="CA2" s="350"/>
      <c r="CB2" s="350"/>
      <c r="CC2" s="350"/>
      <c r="CD2" s="350"/>
      <c r="CE2" s="350"/>
      <c r="CF2" s="350"/>
      <c r="CG2" s="350"/>
      <c r="CH2" s="350"/>
      <c r="CI2" s="351"/>
      <c r="CJ2" s="349" t="s">
        <v>350</v>
      </c>
      <c r="CK2" s="350"/>
      <c r="CL2" s="350"/>
      <c r="CM2" s="350"/>
      <c r="CN2" s="350"/>
      <c r="CO2" s="350"/>
      <c r="CP2" s="350"/>
      <c r="CQ2" s="350"/>
      <c r="CR2" s="350"/>
      <c r="CS2" s="350"/>
      <c r="CT2" s="350"/>
      <c r="CU2" s="353"/>
      <c r="CV2" s="349" t="s">
        <v>351</v>
      </c>
      <c r="CW2" s="350"/>
      <c r="CX2" s="350"/>
      <c r="CY2" s="350"/>
      <c r="CZ2" s="350"/>
      <c r="DA2" s="350"/>
      <c r="DB2" s="350"/>
      <c r="DC2" s="350"/>
      <c r="DD2" s="350"/>
      <c r="DE2" s="350"/>
      <c r="DF2" s="350"/>
      <c r="DG2" s="351"/>
      <c r="DH2" s="349" t="s">
        <v>352</v>
      </c>
      <c r="DI2" s="350"/>
      <c r="DJ2" s="350"/>
      <c r="DK2" s="350"/>
      <c r="DL2" s="350"/>
      <c r="DM2" s="350"/>
      <c r="DN2" s="350"/>
      <c r="DO2" s="350"/>
      <c r="DP2" s="350"/>
      <c r="DQ2" s="350"/>
      <c r="DR2" s="350"/>
      <c r="DS2" s="351"/>
    </row>
    <row r="3" spans="1:123">
      <c r="A3" s="346" t="s">
        <v>53</v>
      </c>
      <c r="B3" s="346" t="s">
        <v>54</v>
      </c>
      <c r="C3" s="347" t="s">
        <v>27</v>
      </c>
      <c r="D3" s="203">
        <v>1</v>
      </c>
      <c r="E3" s="203">
        <v>2</v>
      </c>
      <c r="F3" s="203">
        <v>3</v>
      </c>
      <c r="G3" s="203">
        <v>4</v>
      </c>
      <c r="H3" s="203">
        <v>5</v>
      </c>
      <c r="I3" s="203">
        <v>6</v>
      </c>
      <c r="J3" s="203">
        <v>7</v>
      </c>
      <c r="K3" s="203">
        <v>8</v>
      </c>
      <c r="L3" s="203">
        <v>9</v>
      </c>
      <c r="M3" s="203">
        <v>10</v>
      </c>
      <c r="N3" s="203">
        <v>11</v>
      </c>
      <c r="O3" s="203">
        <v>12</v>
      </c>
      <c r="P3" s="203">
        <v>1</v>
      </c>
      <c r="Q3" s="203">
        <v>2</v>
      </c>
      <c r="R3" s="203">
        <v>3</v>
      </c>
      <c r="S3" s="203">
        <v>4</v>
      </c>
      <c r="T3" s="203">
        <v>5</v>
      </c>
      <c r="U3" s="203">
        <v>6</v>
      </c>
      <c r="V3" s="203">
        <v>7</v>
      </c>
      <c r="W3" s="203">
        <v>8</v>
      </c>
      <c r="X3" s="203">
        <v>9</v>
      </c>
      <c r="Y3" s="203">
        <v>10</v>
      </c>
      <c r="Z3" s="203">
        <v>11</v>
      </c>
      <c r="AA3" s="203">
        <v>12</v>
      </c>
      <c r="AB3" s="203">
        <v>1</v>
      </c>
      <c r="AC3" s="203">
        <v>2</v>
      </c>
      <c r="AD3" s="203">
        <v>3</v>
      </c>
      <c r="AE3" s="203">
        <v>4</v>
      </c>
      <c r="AF3" s="203">
        <v>5</v>
      </c>
      <c r="AG3" s="203">
        <v>6</v>
      </c>
      <c r="AH3" s="203">
        <v>7</v>
      </c>
      <c r="AI3" s="203">
        <v>8</v>
      </c>
      <c r="AJ3" s="203">
        <v>9</v>
      </c>
      <c r="AK3" s="203">
        <v>10</v>
      </c>
      <c r="AL3" s="203">
        <v>11</v>
      </c>
      <c r="AM3" s="204">
        <v>12</v>
      </c>
      <c r="AN3" s="203">
        <v>1</v>
      </c>
      <c r="AO3" s="203">
        <v>2</v>
      </c>
      <c r="AP3" s="203">
        <v>3</v>
      </c>
      <c r="AQ3" s="203">
        <v>4</v>
      </c>
      <c r="AR3" s="203">
        <v>5</v>
      </c>
      <c r="AS3" s="203">
        <v>6</v>
      </c>
      <c r="AT3" s="203">
        <v>7</v>
      </c>
      <c r="AU3" s="203">
        <v>8</v>
      </c>
      <c r="AV3" s="203">
        <v>9</v>
      </c>
      <c r="AW3" s="203">
        <v>10</v>
      </c>
      <c r="AX3" s="203">
        <v>11</v>
      </c>
      <c r="AY3" s="203">
        <v>12</v>
      </c>
      <c r="AZ3" s="203">
        <v>1</v>
      </c>
      <c r="BA3" s="203">
        <v>2</v>
      </c>
      <c r="BB3" s="203">
        <v>3</v>
      </c>
      <c r="BC3" s="203">
        <v>4</v>
      </c>
      <c r="BD3" s="203">
        <v>5</v>
      </c>
      <c r="BE3" s="203">
        <v>6</v>
      </c>
      <c r="BF3" s="203">
        <v>7</v>
      </c>
      <c r="BG3" s="203">
        <v>8</v>
      </c>
      <c r="BH3" s="203">
        <v>9</v>
      </c>
      <c r="BI3" s="203">
        <v>10</v>
      </c>
      <c r="BJ3" s="203">
        <v>11</v>
      </c>
      <c r="BK3" s="203">
        <v>12</v>
      </c>
      <c r="BL3" s="203">
        <v>1</v>
      </c>
      <c r="BM3" s="203">
        <v>2</v>
      </c>
      <c r="BN3" s="203">
        <v>3</v>
      </c>
      <c r="BO3" s="203">
        <v>4</v>
      </c>
      <c r="BP3" s="203">
        <v>5</v>
      </c>
      <c r="BQ3" s="203">
        <v>6</v>
      </c>
      <c r="BR3" s="203">
        <v>7</v>
      </c>
      <c r="BS3" s="203">
        <v>8</v>
      </c>
      <c r="BT3" s="203">
        <v>9</v>
      </c>
      <c r="BU3" s="203">
        <v>10</v>
      </c>
      <c r="BV3" s="203">
        <v>11</v>
      </c>
      <c r="BW3" s="203">
        <v>12</v>
      </c>
      <c r="BX3" s="203">
        <v>1</v>
      </c>
      <c r="BY3" s="203">
        <v>2</v>
      </c>
      <c r="BZ3" s="203">
        <v>3</v>
      </c>
      <c r="CA3" s="203">
        <v>4</v>
      </c>
      <c r="CB3" s="203">
        <v>5</v>
      </c>
      <c r="CC3" s="203">
        <v>6</v>
      </c>
      <c r="CD3" s="203">
        <v>7</v>
      </c>
      <c r="CE3" s="203">
        <v>8</v>
      </c>
      <c r="CF3" s="203">
        <v>9</v>
      </c>
      <c r="CG3" s="203">
        <v>10</v>
      </c>
      <c r="CH3" s="203">
        <v>11</v>
      </c>
      <c r="CI3" s="203">
        <v>12</v>
      </c>
      <c r="CJ3" s="203">
        <v>1</v>
      </c>
      <c r="CK3" s="203">
        <v>2</v>
      </c>
      <c r="CL3" s="203">
        <v>3</v>
      </c>
      <c r="CM3" s="203">
        <v>4</v>
      </c>
      <c r="CN3" s="203">
        <v>5</v>
      </c>
      <c r="CO3" s="203">
        <v>6</v>
      </c>
      <c r="CP3" s="203">
        <v>7</v>
      </c>
      <c r="CQ3" s="203">
        <v>8</v>
      </c>
      <c r="CR3" s="203">
        <v>9</v>
      </c>
      <c r="CS3" s="203">
        <v>10</v>
      </c>
      <c r="CT3" s="203">
        <v>11</v>
      </c>
      <c r="CU3" s="204">
        <v>12</v>
      </c>
      <c r="CV3" s="203">
        <v>1</v>
      </c>
      <c r="CW3" s="203">
        <v>2</v>
      </c>
      <c r="CX3" s="203">
        <v>3</v>
      </c>
      <c r="CY3" s="203">
        <v>4</v>
      </c>
      <c r="CZ3" s="203">
        <v>5</v>
      </c>
      <c r="DA3" s="203">
        <v>6</v>
      </c>
      <c r="DB3" s="203">
        <v>7</v>
      </c>
      <c r="DC3" s="203">
        <v>8</v>
      </c>
      <c r="DD3" s="203">
        <v>9</v>
      </c>
      <c r="DE3" s="203">
        <v>10</v>
      </c>
      <c r="DF3" s="203">
        <v>11</v>
      </c>
      <c r="DG3" s="203">
        <v>12</v>
      </c>
      <c r="DH3" s="203">
        <v>1</v>
      </c>
      <c r="DI3" s="203">
        <v>2</v>
      </c>
      <c r="DJ3" s="203">
        <v>3</v>
      </c>
      <c r="DK3" s="203">
        <v>4</v>
      </c>
      <c r="DL3" s="203">
        <v>5</v>
      </c>
      <c r="DM3" s="203">
        <v>6</v>
      </c>
      <c r="DN3" s="203">
        <v>7</v>
      </c>
      <c r="DO3" s="203">
        <v>8</v>
      </c>
      <c r="DP3" s="203">
        <v>9</v>
      </c>
      <c r="DQ3" s="203">
        <v>10</v>
      </c>
      <c r="DR3" s="203">
        <v>11</v>
      </c>
      <c r="DS3" s="203">
        <v>12</v>
      </c>
    </row>
    <row r="4" spans="1:123">
      <c r="A4" s="346"/>
      <c r="B4" s="346"/>
      <c r="C4" s="348"/>
      <c r="D4" s="205">
        <v>1</v>
      </c>
      <c r="E4" s="205">
        <v>2</v>
      </c>
      <c r="F4" s="205">
        <v>3</v>
      </c>
      <c r="G4" s="205">
        <v>4</v>
      </c>
      <c r="H4" s="205">
        <v>5</v>
      </c>
      <c r="I4" s="205">
        <v>6</v>
      </c>
      <c r="J4" s="205">
        <v>7</v>
      </c>
      <c r="K4" s="205">
        <v>8</v>
      </c>
      <c r="L4" s="205">
        <v>9</v>
      </c>
      <c r="M4" s="205">
        <v>10</v>
      </c>
      <c r="N4" s="205">
        <v>11</v>
      </c>
      <c r="O4" s="205">
        <v>12</v>
      </c>
      <c r="P4" s="205">
        <v>13</v>
      </c>
      <c r="Q4" s="205">
        <v>14</v>
      </c>
      <c r="R4" s="205">
        <v>15</v>
      </c>
      <c r="S4" s="205">
        <v>16</v>
      </c>
      <c r="T4" s="205">
        <v>17</v>
      </c>
      <c r="U4" s="205">
        <v>18</v>
      </c>
      <c r="V4" s="205">
        <v>19</v>
      </c>
      <c r="W4" s="205">
        <v>20</v>
      </c>
      <c r="X4" s="205">
        <v>21</v>
      </c>
      <c r="Y4" s="205">
        <v>22</v>
      </c>
      <c r="Z4" s="205">
        <v>23</v>
      </c>
      <c r="AA4" s="205">
        <v>24</v>
      </c>
      <c r="AB4" s="205">
        <v>25</v>
      </c>
      <c r="AC4" s="205">
        <v>26</v>
      </c>
      <c r="AD4" s="205">
        <v>27</v>
      </c>
      <c r="AE4" s="205">
        <v>28</v>
      </c>
      <c r="AF4" s="205">
        <v>29</v>
      </c>
      <c r="AG4" s="205">
        <v>30</v>
      </c>
      <c r="AH4" s="205">
        <v>31</v>
      </c>
      <c r="AI4" s="205">
        <v>32</v>
      </c>
      <c r="AJ4" s="205">
        <v>33</v>
      </c>
      <c r="AK4" s="205">
        <v>34</v>
      </c>
      <c r="AL4" s="205">
        <v>35</v>
      </c>
      <c r="AM4" s="205">
        <v>36</v>
      </c>
      <c r="AN4" s="205">
        <v>1</v>
      </c>
      <c r="AO4" s="205">
        <v>2</v>
      </c>
      <c r="AP4" s="205">
        <v>3</v>
      </c>
      <c r="AQ4" s="205">
        <v>4</v>
      </c>
      <c r="AR4" s="205">
        <v>5</v>
      </c>
      <c r="AS4" s="205">
        <v>6</v>
      </c>
      <c r="AT4" s="205">
        <v>7</v>
      </c>
      <c r="AU4" s="205">
        <v>8</v>
      </c>
      <c r="AV4" s="205">
        <v>9</v>
      </c>
      <c r="AW4" s="205">
        <v>10</v>
      </c>
      <c r="AX4" s="205">
        <v>11</v>
      </c>
      <c r="AY4" s="205">
        <v>12</v>
      </c>
      <c r="AZ4" s="205">
        <v>13</v>
      </c>
      <c r="BA4" s="205">
        <v>14</v>
      </c>
      <c r="BB4" s="205">
        <v>15</v>
      </c>
      <c r="BC4" s="205">
        <v>16</v>
      </c>
      <c r="BD4" s="205">
        <v>17</v>
      </c>
      <c r="BE4" s="205">
        <v>18</v>
      </c>
      <c r="BF4" s="205">
        <v>19</v>
      </c>
      <c r="BG4" s="205">
        <v>20</v>
      </c>
      <c r="BH4" s="205">
        <v>21</v>
      </c>
      <c r="BI4" s="205">
        <v>22</v>
      </c>
      <c r="BJ4" s="205">
        <v>23</v>
      </c>
      <c r="BK4" s="205">
        <v>24</v>
      </c>
      <c r="BL4" s="205">
        <v>1</v>
      </c>
      <c r="BM4" s="205">
        <v>2</v>
      </c>
      <c r="BN4" s="205">
        <v>3</v>
      </c>
      <c r="BO4" s="205">
        <v>4</v>
      </c>
      <c r="BP4" s="205">
        <v>5</v>
      </c>
      <c r="BQ4" s="205">
        <v>6</v>
      </c>
      <c r="BR4" s="205">
        <v>7</v>
      </c>
      <c r="BS4" s="205">
        <v>8</v>
      </c>
      <c r="BT4" s="205">
        <v>9</v>
      </c>
      <c r="BU4" s="205">
        <v>10</v>
      </c>
      <c r="BV4" s="205">
        <v>11</v>
      </c>
      <c r="BW4" s="205">
        <v>12</v>
      </c>
      <c r="BX4" s="205">
        <v>13</v>
      </c>
      <c r="BY4" s="205">
        <v>14</v>
      </c>
      <c r="BZ4" s="205">
        <v>15</v>
      </c>
      <c r="CA4" s="205">
        <v>16</v>
      </c>
      <c r="CB4" s="205">
        <v>17</v>
      </c>
      <c r="CC4" s="205">
        <v>18</v>
      </c>
      <c r="CD4" s="205">
        <v>19</v>
      </c>
      <c r="CE4" s="205">
        <v>20</v>
      </c>
      <c r="CF4" s="205">
        <v>21</v>
      </c>
      <c r="CG4" s="205">
        <v>22</v>
      </c>
      <c r="CH4" s="205">
        <v>23</v>
      </c>
      <c r="CI4" s="205">
        <v>24</v>
      </c>
      <c r="CJ4" s="205">
        <v>25</v>
      </c>
      <c r="CK4" s="205">
        <v>26</v>
      </c>
      <c r="CL4" s="205">
        <v>27</v>
      </c>
      <c r="CM4" s="205">
        <v>28</v>
      </c>
      <c r="CN4" s="205">
        <v>29</v>
      </c>
      <c r="CO4" s="205">
        <v>30</v>
      </c>
      <c r="CP4" s="205">
        <v>31</v>
      </c>
      <c r="CQ4" s="205">
        <v>32</v>
      </c>
      <c r="CR4" s="205">
        <v>33</v>
      </c>
      <c r="CS4" s="205">
        <v>34</v>
      </c>
      <c r="CT4" s="205">
        <v>35</v>
      </c>
      <c r="CU4" s="205">
        <v>36</v>
      </c>
      <c r="CV4" s="205">
        <v>1</v>
      </c>
      <c r="CW4" s="205">
        <v>2</v>
      </c>
      <c r="CX4" s="205">
        <v>3</v>
      </c>
      <c r="CY4" s="205">
        <v>4</v>
      </c>
      <c r="CZ4" s="205">
        <v>5</v>
      </c>
      <c r="DA4" s="205">
        <v>6</v>
      </c>
      <c r="DB4" s="205">
        <v>7</v>
      </c>
      <c r="DC4" s="205">
        <v>8</v>
      </c>
      <c r="DD4" s="205">
        <v>9</v>
      </c>
      <c r="DE4" s="205">
        <v>10</v>
      </c>
      <c r="DF4" s="205">
        <v>11</v>
      </c>
      <c r="DG4" s="205">
        <v>12</v>
      </c>
      <c r="DH4" s="205">
        <v>13</v>
      </c>
      <c r="DI4" s="205">
        <v>14</v>
      </c>
      <c r="DJ4" s="205">
        <v>15</v>
      </c>
      <c r="DK4" s="205">
        <v>16</v>
      </c>
      <c r="DL4" s="205">
        <v>17</v>
      </c>
      <c r="DM4" s="205">
        <v>18</v>
      </c>
      <c r="DN4" s="205">
        <v>19</v>
      </c>
      <c r="DO4" s="205">
        <v>20</v>
      </c>
      <c r="DP4" s="205">
        <v>21</v>
      </c>
      <c r="DQ4" s="205">
        <v>22</v>
      </c>
      <c r="DR4" s="205">
        <v>23</v>
      </c>
      <c r="DS4" s="205">
        <v>24</v>
      </c>
    </row>
    <row r="5" spans="1:123">
      <c r="A5" s="206" t="s">
        <v>431</v>
      </c>
      <c r="B5" s="202" t="s">
        <v>55</v>
      </c>
      <c r="C5" s="207">
        <f>SUM(D5:DS5)</f>
        <v>2087913039.2885067</v>
      </c>
      <c r="D5" s="207">
        <v>9076356</v>
      </c>
      <c r="E5" s="207">
        <f>1.01*D5</f>
        <v>9167119.5600000005</v>
      </c>
      <c r="F5" s="207">
        <f t="shared" ref="F5:BQ5" si="0">1.01*E5</f>
        <v>9258790.7555999998</v>
      </c>
      <c r="G5" s="207">
        <f t="shared" si="0"/>
        <v>9351378.663155999</v>
      </c>
      <c r="H5" s="207">
        <f t="shared" si="0"/>
        <v>9444892.449787559</v>
      </c>
      <c r="I5" s="207">
        <f t="shared" si="0"/>
        <v>9539341.3742854353</v>
      </c>
      <c r="J5" s="207">
        <f t="shared" si="0"/>
        <v>9634734.7880282905</v>
      </c>
      <c r="K5" s="207">
        <f t="shared" si="0"/>
        <v>9731082.1359085739</v>
      </c>
      <c r="L5" s="207">
        <f t="shared" si="0"/>
        <v>9828392.9572676588</v>
      </c>
      <c r="M5" s="207">
        <f t="shared" si="0"/>
        <v>9926676.886840336</v>
      </c>
      <c r="N5" s="207">
        <f t="shared" si="0"/>
        <v>10025943.65570874</v>
      </c>
      <c r="O5" s="207">
        <f t="shared" si="0"/>
        <v>10126203.092265828</v>
      </c>
      <c r="P5" s="207">
        <f t="shared" si="0"/>
        <v>10227465.123188486</v>
      </c>
      <c r="Q5" s="207">
        <f t="shared" si="0"/>
        <v>10329739.774420371</v>
      </c>
      <c r="R5" s="207">
        <f t="shared" si="0"/>
        <v>10433037.172164574</v>
      </c>
      <c r="S5" s="207">
        <f t="shared" si="0"/>
        <v>10537367.54388622</v>
      </c>
      <c r="T5" s="207">
        <f t="shared" si="0"/>
        <v>10642741.219325082</v>
      </c>
      <c r="U5" s="207">
        <f t="shared" si="0"/>
        <v>10749168.631518334</v>
      </c>
      <c r="V5" s="207">
        <f t="shared" si="0"/>
        <v>10856660.317833517</v>
      </c>
      <c r="W5" s="207">
        <f t="shared" si="0"/>
        <v>10965226.921011852</v>
      </c>
      <c r="X5" s="207">
        <f t="shared" si="0"/>
        <v>11074879.190221971</v>
      </c>
      <c r="Y5" s="207">
        <f t="shared" si="0"/>
        <v>11185627.982124191</v>
      </c>
      <c r="Z5" s="207">
        <f t="shared" si="0"/>
        <v>11297484.261945432</v>
      </c>
      <c r="AA5" s="207">
        <f t="shared" si="0"/>
        <v>11410459.104564887</v>
      </c>
      <c r="AB5" s="207">
        <f t="shared" si="0"/>
        <v>11524563.695610536</v>
      </c>
      <c r="AC5" s="207">
        <f t="shared" si="0"/>
        <v>11639809.332566641</v>
      </c>
      <c r="AD5" s="207">
        <f t="shared" si="0"/>
        <v>11756207.425892308</v>
      </c>
      <c r="AE5" s="207">
        <f t="shared" si="0"/>
        <v>11873769.500151232</v>
      </c>
      <c r="AF5" s="207">
        <f t="shared" si="0"/>
        <v>11992507.195152745</v>
      </c>
      <c r="AG5" s="207">
        <f t="shared" si="0"/>
        <v>12112432.267104272</v>
      </c>
      <c r="AH5" s="207">
        <f t="shared" si="0"/>
        <v>12233556.589775315</v>
      </c>
      <c r="AI5" s="207">
        <f t="shared" si="0"/>
        <v>12355892.155673068</v>
      </c>
      <c r="AJ5" s="207">
        <f t="shared" si="0"/>
        <v>12479451.0772298</v>
      </c>
      <c r="AK5" s="207">
        <f t="shared" si="0"/>
        <v>12604245.588002099</v>
      </c>
      <c r="AL5" s="207">
        <f t="shared" si="0"/>
        <v>12730288.04388212</v>
      </c>
      <c r="AM5" s="207">
        <f t="shared" si="0"/>
        <v>12857590.924320942</v>
      </c>
      <c r="AN5" s="207">
        <f t="shared" si="0"/>
        <v>12986166.833564151</v>
      </c>
      <c r="AO5" s="207">
        <f t="shared" si="0"/>
        <v>13116028.501899792</v>
      </c>
      <c r="AP5" s="207">
        <f t="shared" si="0"/>
        <v>13247188.786918789</v>
      </c>
      <c r="AQ5" s="207">
        <f t="shared" si="0"/>
        <v>13379660.674787978</v>
      </c>
      <c r="AR5" s="207">
        <f t="shared" si="0"/>
        <v>13513457.281535858</v>
      </c>
      <c r="AS5" s="207">
        <f t="shared" si="0"/>
        <v>13648591.854351217</v>
      </c>
      <c r="AT5" s="207">
        <f t="shared" si="0"/>
        <v>13785077.772894729</v>
      </c>
      <c r="AU5" s="207">
        <f t="shared" si="0"/>
        <v>13922928.550623676</v>
      </c>
      <c r="AV5" s="207">
        <f t="shared" si="0"/>
        <v>14062157.836129913</v>
      </c>
      <c r="AW5" s="207">
        <f t="shared" si="0"/>
        <v>14202779.414491212</v>
      </c>
      <c r="AX5" s="207">
        <f t="shared" si="0"/>
        <v>14344807.208636124</v>
      </c>
      <c r="AY5" s="207">
        <f t="shared" si="0"/>
        <v>14488255.280722486</v>
      </c>
      <c r="AZ5" s="207">
        <f t="shared" si="0"/>
        <v>14633137.833529711</v>
      </c>
      <c r="BA5" s="207">
        <f t="shared" si="0"/>
        <v>14779469.211865008</v>
      </c>
      <c r="BB5" s="207">
        <f t="shared" si="0"/>
        <v>14927263.903983658</v>
      </c>
      <c r="BC5" s="207">
        <f t="shared" si="0"/>
        <v>15076536.543023495</v>
      </c>
      <c r="BD5" s="207">
        <f t="shared" si="0"/>
        <v>15227301.908453731</v>
      </c>
      <c r="BE5" s="207">
        <f t="shared" si="0"/>
        <v>15379574.927538268</v>
      </c>
      <c r="BF5" s="207">
        <f t="shared" si="0"/>
        <v>15533370.676813651</v>
      </c>
      <c r="BG5" s="207">
        <f t="shared" si="0"/>
        <v>15688704.383581787</v>
      </c>
      <c r="BH5" s="207">
        <f t="shared" si="0"/>
        <v>15845591.427417606</v>
      </c>
      <c r="BI5" s="207">
        <f t="shared" si="0"/>
        <v>16004047.341691783</v>
      </c>
      <c r="BJ5" s="207">
        <f t="shared" si="0"/>
        <v>16164087.815108702</v>
      </c>
      <c r="BK5" s="207">
        <f t="shared" si="0"/>
        <v>16325728.693259789</v>
      </c>
      <c r="BL5" s="207">
        <f t="shared" si="0"/>
        <v>16488985.980192387</v>
      </c>
      <c r="BM5" s="207">
        <f t="shared" si="0"/>
        <v>16653875.839994311</v>
      </c>
      <c r="BN5" s="207">
        <f t="shared" si="0"/>
        <v>16820414.598394256</v>
      </c>
      <c r="BO5" s="207">
        <f t="shared" si="0"/>
        <v>16988618.744378198</v>
      </c>
      <c r="BP5" s="207">
        <f t="shared" si="0"/>
        <v>17158504.93182198</v>
      </c>
      <c r="BQ5" s="207">
        <f t="shared" si="0"/>
        <v>17330089.9811402</v>
      </c>
      <c r="BR5" s="207">
        <f t="shared" ref="BR5:DS5" si="1">1.01*BQ5</f>
        <v>17503390.880951602</v>
      </c>
      <c r="BS5" s="207">
        <f t="shared" si="1"/>
        <v>17678424.789761119</v>
      </c>
      <c r="BT5" s="207">
        <f t="shared" si="1"/>
        <v>17855209.037658729</v>
      </c>
      <c r="BU5" s="207">
        <f t="shared" si="1"/>
        <v>18033761.128035314</v>
      </c>
      <c r="BV5" s="207">
        <f t="shared" si="1"/>
        <v>18214098.739315666</v>
      </c>
      <c r="BW5" s="207">
        <f t="shared" si="1"/>
        <v>18396239.726708822</v>
      </c>
      <c r="BX5" s="207">
        <f t="shared" si="1"/>
        <v>18580202.12397591</v>
      </c>
      <c r="BY5" s="207">
        <f t="shared" si="1"/>
        <v>18766004.145215668</v>
      </c>
      <c r="BZ5" s="207">
        <f t="shared" si="1"/>
        <v>18953664.186667826</v>
      </c>
      <c r="CA5" s="207">
        <f t="shared" si="1"/>
        <v>19143200.828534506</v>
      </c>
      <c r="CB5" s="207">
        <f t="shared" si="1"/>
        <v>19334632.83681985</v>
      </c>
      <c r="CC5" s="207">
        <f t="shared" si="1"/>
        <v>19527979.165188048</v>
      </c>
      <c r="CD5" s="207">
        <f t="shared" si="1"/>
        <v>19723258.95683993</v>
      </c>
      <c r="CE5" s="207">
        <f t="shared" si="1"/>
        <v>19920491.546408329</v>
      </c>
      <c r="CF5" s="207">
        <f t="shared" si="1"/>
        <v>20119696.461872414</v>
      </c>
      <c r="CG5" s="207">
        <f t="shared" si="1"/>
        <v>20320893.426491138</v>
      </c>
      <c r="CH5" s="207">
        <f t="shared" si="1"/>
        <v>20524102.360756051</v>
      </c>
      <c r="CI5" s="207">
        <f t="shared" si="1"/>
        <v>20729343.38436361</v>
      </c>
      <c r="CJ5" s="207">
        <f t="shared" si="1"/>
        <v>20936636.818207245</v>
      </c>
      <c r="CK5" s="207">
        <f t="shared" si="1"/>
        <v>21146003.18638932</v>
      </c>
      <c r="CL5" s="207">
        <f t="shared" si="1"/>
        <v>21357463.218253214</v>
      </c>
      <c r="CM5" s="207">
        <f t="shared" si="1"/>
        <v>21571037.850435745</v>
      </c>
      <c r="CN5" s="207">
        <f t="shared" si="1"/>
        <v>21786748.228940103</v>
      </c>
      <c r="CO5" s="207">
        <f t="shared" si="1"/>
        <v>22004615.711229503</v>
      </c>
      <c r="CP5" s="207">
        <f t="shared" si="1"/>
        <v>22224661.8683418</v>
      </c>
      <c r="CQ5" s="207">
        <f t="shared" si="1"/>
        <v>22446908.487025216</v>
      </c>
      <c r="CR5" s="207">
        <f t="shared" si="1"/>
        <v>22671377.571895469</v>
      </c>
      <c r="CS5" s="207">
        <f t="shared" si="1"/>
        <v>22898091.347614422</v>
      </c>
      <c r="CT5" s="207">
        <f t="shared" si="1"/>
        <v>23127072.261090565</v>
      </c>
      <c r="CU5" s="207">
        <f t="shared" si="1"/>
        <v>23358342.983701471</v>
      </c>
      <c r="CV5" s="207">
        <f t="shared" si="1"/>
        <v>23591926.413538486</v>
      </c>
      <c r="CW5" s="207">
        <f t="shared" si="1"/>
        <v>23827845.677673873</v>
      </c>
      <c r="CX5" s="207">
        <f t="shared" si="1"/>
        <v>24066124.134450611</v>
      </c>
      <c r="CY5" s="207">
        <f t="shared" si="1"/>
        <v>24306785.375795119</v>
      </c>
      <c r="CZ5" s="207">
        <f t="shared" si="1"/>
        <v>24549853.22955307</v>
      </c>
      <c r="DA5" s="207">
        <f t="shared" si="1"/>
        <v>24795351.761848602</v>
      </c>
      <c r="DB5" s="207">
        <f t="shared" si="1"/>
        <v>25043305.279467087</v>
      </c>
      <c r="DC5" s="207">
        <f t="shared" si="1"/>
        <v>25293738.33226176</v>
      </c>
      <c r="DD5" s="207">
        <f t="shared" si="1"/>
        <v>25546675.715584379</v>
      </c>
      <c r="DE5" s="207">
        <f t="shared" si="1"/>
        <v>25802142.472740222</v>
      </c>
      <c r="DF5" s="207">
        <f t="shared" si="1"/>
        <v>26060163.897467624</v>
      </c>
      <c r="DG5" s="207">
        <f t="shared" si="1"/>
        <v>26320765.536442302</v>
      </c>
      <c r="DH5" s="207">
        <f t="shared" si="1"/>
        <v>26583973.191806726</v>
      </c>
      <c r="DI5" s="207">
        <f t="shared" si="1"/>
        <v>26849812.923724793</v>
      </c>
      <c r="DJ5" s="207">
        <f t="shared" si="1"/>
        <v>27118311.052962042</v>
      </c>
      <c r="DK5" s="207">
        <f t="shared" si="1"/>
        <v>27389494.163491663</v>
      </c>
      <c r="DL5" s="207">
        <f t="shared" si="1"/>
        <v>27663389.105126578</v>
      </c>
      <c r="DM5" s="207">
        <f t="shared" si="1"/>
        <v>27940022.996177845</v>
      </c>
      <c r="DN5" s="207">
        <f t="shared" si="1"/>
        <v>28219423.226139624</v>
      </c>
      <c r="DO5" s="207">
        <f t="shared" si="1"/>
        <v>28501617.458401021</v>
      </c>
      <c r="DP5" s="207">
        <f t="shared" si="1"/>
        <v>28786633.632985029</v>
      </c>
      <c r="DQ5" s="207">
        <f t="shared" si="1"/>
        <v>29074499.969314881</v>
      </c>
      <c r="DR5" s="207">
        <f t="shared" si="1"/>
        <v>29365244.969008029</v>
      </c>
      <c r="DS5" s="207">
        <f t="shared" si="1"/>
        <v>29658897.41869811</v>
      </c>
    </row>
    <row r="6" spans="1:123">
      <c r="A6" s="206" t="s">
        <v>432</v>
      </c>
      <c r="B6" s="202" t="s">
        <v>35</v>
      </c>
      <c r="C6" s="207">
        <f>SUM(D6:DS6)</f>
        <v>1150193.4472868326</v>
      </c>
      <c r="D6" s="207">
        <v>5000</v>
      </c>
      <c r="E6" s="207">
        <f>D6*1.01</f>
        <v>5050</v>
      </c>
      <c r="F6" s="207">
        <f t="shared" ref="F6:BQ6" si="2">E6*1.01</f>
        <v>5100.5</v>
      </c>
      <c r="G6" s="207">
        <f t="shared" si="2"/>
        <v>5151.5050000000001</v>
      </c>
      <c r="H6" s="207">
        <f t="shared" si="2"/>
        <v>5203.0200500000001</v>
      </c>
      <c r="I6" s="207">
        <f t="shared" si="2"/>
        <v>5255.0502505000004</v>
      </c>
      <c r="J6" s="207">
        <f t="shared" si="2"/>
        <v>5307.6007530050001</v>
      </c>
      <c r="K6" s="207">
        <f t="shared" si="2"/>
        <v>5360.6767605350506</v>
      </c>
      <c r="L6" s="207">
        <f t="shared" si="2"/>
        <v>5414.2835281404014</v>
      </c>
      <c r="M6" s="207">
        <f t="shared" si="2"/>
        <v>5468.426363421805</v>
      </c>
      <c r="N6" s="207">
        <f t="shared" si="2"/>
        <v>5523.1106270560231</v>
      </c>
      <c r="O6" s="207">
        <f t="shared" si="2"/>
        <v>5578.3417333265834</v>
      </c>
      <c r="P6" s="207">
        <f t="shared" si="2"/>
        <v>5634.1251506598492</v>
      </c>
      <c r="Q6" s="207">
        <f t="shared" si="2"/>
        <v>5690.4664021664476</v>
      </c>
      <c r="R6" s="207">
        <f t="shared" si="2"/>
        <v>5747.3710661881123</v>
      </c>
      <c r="S6" s="207">
        <f t="shared" si="2"/>
        <v>5804.8447768499937</v>
      </c>
      <c r="T6" s="207">
        <f t="shared" si="2"/>
        <v>5862.8932246184941</v>
      </c>
      <c r="U6" s="207">
        <f t="shared" si="2"/>
        <v>5921.5221568646793</v>
      </c>
      <c r="V6" s="207">
        <f t="shared" si="2"/>
        <v>5980.7373784333258</v>
      </c>
      <c r="W6" s="207">
        <f t="shared" si="2"/>
        <v>6040.5447522176592</v>
      </c>
      <c r="X6" s="207">
        <f t="shared" si="2"/>
        <v>6100.9501997398356</v>
      </c>
      <c r="Y6" s="207">
        <f t="shared" si="2"/>
        <v>6161.9597017372344</v>
      </c>
      <c r="Z6" s="207">
        <f t="shared" si="2"/>
        <v>6223.5792987546065</v>
      </c>
      <c r="AA6" s="207">
        <f t="shared" si="2"/>
        <v>6285.8150917421526</v>
      </c>
      <c r="AB6" s="207">
        <f t="shared" si="2"/>
        <v>6348.6732426595745</v>
      </c>
      <c r="AC6" s="207">
        <f t="shared" si="2"/>
        <v>6412.1599750861706</v>
      </c>
      <c r="AD6" s="207">
        <f t="shared" si="2"/>
        <v>6476.2815748370322</v>
      </c>
      <c r="AE6" s="207">
        <f t="shared" si="2"/>
        <v>6541.0443905854027</v>
      </c>
      <c r="AF6" s="207">
        <f t="shared" si="2"/>
        <v>6606.4548344912564</v>
      </c>
      <c r="AG6" s="207">
        <f t="shared" si="2"/>
        <v>6672.5193828361689</v>
      </c>
      <c r="AH6" s="207">
        <f t="shared" si="2"/>
        <v>6739.2445766645305</v>
      </c>
      <c r="AI6" s="207">
        <f t="shared" si="2"/>
        <v>6806.6370224311759</v>
      </c>
      <c r="AJ6" s="207">
        <f t="shared" si="2"/>
        <v>6874.7033926554877</v>
      </c>
      <c r="AK6" s="207">
        <f t="shared" si="2"/>
        <v>6943.4504265820424</v>
      </c>
      <c r="AL6" s="207">
        <f t="shared" si="2"/>
        <v>7012.884930847863</v>
      </c>
      <c r="AM6" s="207">
        <f t="shared" si="2"/>
        <v>7083.0137801563415</v>
      </c>
      <c r="AN6" s="207">
        <f t="shared" si="2"/>
        <v>7153.8439179579045</v>
      </c>
      <c r="AO6" s="207">
        <f t="shared" si="2"/>
        <v>7225.3823571374833</v>
      </c>
      <c r="AP6" s="207">
        <f t="shared" si="2"/>
        <v>7297.6361807088579</v>
      </c>
      <c r="AQ6" s="207">
        <f t="shared" si="2"/>
        <v>7370.6125425159462</v>
      </c>
      <c r="AR6" s="207">
        <f t="shared" si="2"/>
        <v>7444.3186679411056</v>
      </c>
      <c r="AS6" s="207">
        <f t="shared" si="2"/>
        <v>7518.7618546205167</v>
      </c>
      <c r="AT6" s="207">
        <f t="shared" si="2"/>
        <v>7593.9494731667219</v>
      </c>
      <c r="AU6" s="207">
        <f t="shared" si="2"/>
        <v>7669.8889678983887</v>
      </c>
      <c r="AV6" s="207">
        <f t="shared" si="2"/>
        <v>7746.5878575773722</v>
      </c>
      <c r="AW6" s="207">
        <f t="shared" si="2"/>
        <v>7824.053736153146</v>
      </c>
      <c r="AX6" s="207">
        <f t="shared" si="2"/>
        <v>7902.2942735146771</v>
      </c>
      <c r="AY6" s="207">
        <f t="shared" si="2"/>
        <v>7981.317216249824</v>
      </c>
      <c r="AZ6" s="207">
        <f t="shared" si="2"/>
        <v>8061.1303884123226</v>
      </c>
      <c r="BA6" s="207">
        <f t="shared" si="2"/>
        <v>8141.7416922964458</v>
      </c>
      <c r="BB6" s="207">
        <f t="shared" si="2"/>
        <v>8223.1591092194103</v>
      </c>
      <c r="BC6" s="207">
        <f t="shared" si="2"/>
        <v>8305.3907003116037</v>
      </c>
      <c r="BD6" s="207">
        <f t="shared" si="2"/>
        <v>8388.4446073147192</v>
      </c>
      <c r="BE6" s="207">
        <f t="shared" si="2"/>
        <v>8472.3290533878662</v>
      </c>
      <c r="BF6" s="207">
        <f t="shared" si="2"/>
        <v>8557.052343921745</v>
      </c>
      <c r="BG6" s="207">
        <f t="shared" si="2"/>
        <v>8642.6228673609621</v>
      </c>
      <c r="BH6" s="207">
        <f t="shared" si="2"/>
        <v>8729.0490960345724</v>
      </c>
      <c r="BI6" s="207">
        <f t="shared" si="2"/>
        <v>8816.3395869949181</v>
      </c>
      <c r="BJ6" s="207">
        <f t="shared" si="2"/>
        <v>8904.5029828648676</v>
      </c>
      <c r="BK6" s="207">
        <f t="shared" si="2"/>
        <v>8993.5480126935163</v>
      </c>
      <c r="BL6" s="207">
        <f t="shared" si="2"/>
        <v>9083.4834928204509</v>
      </c>
      <c r="BM6" s="207">
        <f t="shared" si="2"/>
        <v>9174.3183277486551</v>
      </c>
      <c r="BN6" s="207">
        <f t="shared" si="2"/>
        <v>9266.0615110261424</v>
      </c>
      <c r="BO6" s="207">
        <f t="shared" si="2"/>
        <v>9358.7221261364048</v>
      </c>
      <c r="BP6" s="207">
        <f t="shared" si="2"/>
        <v>9452.3093473977697</v>
      </c>
      <c r="BQ6" s="207">
        <f t="shared" si="2"/>
        <v>9546.8324408717472</v>
      </c>
      <c r="BR6" s="207">
        <f t="shared" ref="BR6:DS6" si="3">BQ6*1.01</f>
        <v>9642.3007652804645</v>
      </c>
      <c r="BS6" s="207">
        <f t="shared" si="3"/>
        <v>9738.7237729332701</v>
      </c>
      <c r="BT6" s="207">
        <f t="shared" si="3"/>
        <v>9836.111010662602</v>
      </c>
      <c r="BU6" s="207">
        <f t="shared" si="3"/>
        <v>9934.4721207692273</v>
      </c>
      <c r="BV6" s="207">
        <f t="shared" si="3"/>
        <v>10033.816841976919</v>
      </c>
      <c r="BW6" s="207">
        <f t="shared" si="3"/>
        <v>10134.155010396687</v>
      </c>
      <c r="BX6" s="207">
        <f t="shared" si="3"/>
        <v>10235.496560500655</v>
      </c>
      <c r="BY6" s="207">
        <f t="shared" si="3"/>
        <v>10337.851526105662</v>
      </c>
      <c r="BZ6" s="207">
        <f t="shared" si="3"/>
        <v>10441.230041366718</v>
      </c>
      <c r="CA6" s="207">
        <f t="shared" si="3"/>
        <v>10545.642341780385</v>
      </c>
      <c r="CB6" s="207">
        <f t="shared" si="3"/>
        <v>10651.098765198189</v>
      </c>
      <c r="CC6" s="207">
        <f t="shared" si="3"/>
        <v>10757.60975285017</v>
      </c>
      <c r="CD6" s="207">
        <f t="shared" si="3"/>
        <v>10865.185850378672</v>
      </c>
      <c r="CE6" s="207">
        <f t="shared" si="3"/>
        <v>10973.837708882458</v>
      </c>
      <c r="CF6" s="207">
        <f t="shared" si="3"/>
        <v>11083.576085971283</v>
      </c>
      <c r="CG6" s="207">
        <f t="shared" si="3"/>
        <v>11194.411846830995</v>
      </c>
      <c r="CH6" s="207">
        <f t="shared" si="3"/>
        <v>11306.355965299304</v>
      </c>
      <c r="CI6" s="207">
        <f t="shared" si="3"/>
        <v>11419.419524952298</v>
      </c>
      <c r="CJ6" s="207">
        <f t="shared" si="3"/>
        <v>11533.613720201822</v>
      </c>
      <c r="CK6" s="207">
        <f t="shared" si="3"/>
        <v>11648.949857403841</v>
      </c>
      <c r="CL6" s="207">
        <f t="shared" si="3"/>
        <v>11765.43935597788</v>
      </c>
      <c r="CM6" s="207">
        <f t="shared" si="3"/>
        <v>11883.093749537658</v>
      </c>
      <c r="CN6" s="207">
        <f t="shared" si="3"/>
        <v>12001.924687033035</v>
      </c>
      <c r="CO6" s="207">
        <f t="shared" si="3"/>
        <v>12121.943933903365</v>
      </c>
      <c r="CP6" s="207">
        <f t="shared" si="3"/>
        <v>12243.1633732424</v>
      </c>
      <c r="CQ6" s="207">
        <f t="shared" si="3"/>
        <v>12365.595006974823</v>
      </c>
      <c r="CR6" s="207">
        <f t="shared" si="3"/>
        <v>12489.250957044571</v>
      </c>
      <c r="CS6" s="207">
        <f t="shared" si="3"/>
        <v>12614.143466615016</v>
      </c>
      <c r="CT6" s="207">
        <f t="shared" si="3"/>
        <v>12740.284901281166</v>
      </c>
      <c r="CU6" s="207">
        <f t="shared" si="3"/>
        <v>12867.687750293977</v>
      </c>
      <c r="CV6" s="207">
        <f t="shared" si="3"/>
        <v>12996.364627796916</v>
      </c>
      <c r="CW6" s="207">
        <f t="shared" si="3"/>
        <v>13126.328274074885</v>
      </c>
      <c r="CX6" s="207">
        <f t="shared" si="3"/>
        <v>13257.591556815634</v>
      </c>
      <c r="CY6" s="207">
        <f t="shared" si="3"/>
        <v>13390.167472383791</v>
      </c>
      <c r="CZ6" s="207">
        <f t="shared" si="3"/>
        <v>13524.06914710763</v>
      </c>
      <c r="DA6" s="207">
        <f t="shared" si="3"/>
        <v>13659.309838578707</v>
      </c>
      <c r="DB6" s="207">
        <f t="shared" si="3"/>
        <v>13795.902936964494</v>
      </c>
      <c r="DC6" s="207">
        <f t="shared" si="3"/>
        <v>13933.86196633414</v>
      </c>
      <c r="DD6" s="207">
        <f t="shared" si="3"/>
        <v>14073.200585997482</v>
      </c>
      <c r="DE6" s="207">
        <f t="shared" si="3"/>
        <v>14213.932591857456</v>
      </c>
      <c r="DF6" s="207">
        <f t="shared" si="3"/>
        <v>14356.071917776031</v>
      </c>
      <c r="DG6" s="207">
        <f t="shared" si="3"/>
        <v>14499.632636953791</v>
      </c>
      <c r="DH6" s="207">
        <f t="shared" si="3"/>
        <v>14644.628963323328</v>
      </c>
      <c r="DI6" s="207">
        <f t="shared" si="3"/>
        <v>14791.075252956562</v>
      </c>
      <c r="DJ6" s="207">
        <f t="shared" si="3"/>
        <v>14938.986005486127</v>
      </c>
      <c r="DK6" s="207">
        <f t="shared" si="3"/>
        <v>15088.375865540989</v>
      </c>
      <c r="DL6" s="207">
        <f t="shared" si="3"/>
        <v>15239.2596241964</v>
      </c>
      <c r="DM6" s="207">
        <f t="shared" si="3"/>
        <v>15391.652220438364</v>
      </c>
      <c r="DN6" s="207">
        <f t="shared" si="3"/>
        <v>15545.568742642747</v>
      </c>
      <c r="DO6" s="207">
        <f t="shared" si="3"/>
        <v>15701.024430069174</v>
      </c>
      <c r="DP6" s="207">
        <f t="shared" si="3"/>
        <v>15858.034674369866</v>
      </c>
      <c r="DQ6" s="207">
        <f t="shared" si="3"/>
        <v>16016.615021113565</v>
      </c>
      <c r="DR6" s="207">
        <f t="shared" si="3"/>
        <v>16176.781171324701</v>
      </c>
      <c r="DS6" s="207">
        <f t="shared" si="3"/>
        <v>16338.548983037948</v>
      </c>
    </row>
    <row r="7" spans="1:123">
      <c r="A7" s="206" t="s">
        <v>52</v>
      </c>
      <c r="B7" s="202" t="s">
        <v>35</v>
      </c>
      <c r="C7" s="207">
        <f t="shared" ref="C7:C9" si="4">SUM(D7:DS7)</f>
        <v>22335407639715.844</v>
      </c>
      <c r="D7" s="207">
        <f>D5*D6</f>
        <v>45381780000</v>
      </c>
      <c r="E7" s="207">
        <f t="shared" ref="E7:BP7" si="5">E5*E6</f>
        <v>46293953778</v>
      </c>
      <c r="F7" s="207">
        <f t="shared" si="5"/>
        <v>47224462248.937798</v>
      </c>
      <c r="G7" s="207">
        <f t="shared" si="5"/>
        <v>48173673940.141449</v>
      </c>
      <c r="H7" s="207">
        <f t="shared" si="5"/>
        <v>49141964786.338287</v>
      </c>
      <c r="I7" s="207">
        <f t="shared" si="5"/>
        <v>50129718278.543694</v>
      </c>
      <c r="J7" s="207">
        <f t="shared" si="5"/>
        <v>51137325615.942429</v>
      </c>
      <c r="K7" s="207">
        <f t="shared" si="5"/>
        <v>52165185860.822876</v>
      </c>
      <c r="L7" s="207">
        <f t="shared" si="5"/>
        <v>53213706096.625412</v>
      </c>
      <c r="M7" s="207">
        <f t="shared" si="5"/>
        <v>54283301589.167587</v>
      </c>
      <c r="N7" s="207">
        <f t="shared" si="5"/>
        <v>55374395951.109856</v>
      </c>
      <c r="O7" s="207">
        <f t="shared" si="5"/>
        <v>56487421309.727165</v>
      </c>
      <c r="P7" s="207">
        <f t="shared" si="5"/>
        <v>57622818478.052681</v>
      </c>
      <c r="Q7" s="207">
        <f t="shared" si="5"/>
        <v>58781037129.46154</v>
      </c>
      <c r="R7" s="207">
        <f t="shared" si="5"/>
        <v>59962535975.763718</v>
      </c>
      <c r="S7" s="207">
        <f t="shared" si="5"/>
        <v>61167782948.876572</v>
      </c>
      <c r="T7" s="207">
        <f t="shared" si="5"/>
        <v>62397255386.148994</v>
      </c>
      <c r="U7" s="207">
        <f t="shared" si="5"/>
        <v>63651440219.410599</v>
      </c>
      <c r="V7" s="207">
        <f t="shared" si="5"/>
        <v>64930834167.820747</v>
      </c>
      <c r="W7" s="207">
        <f t="shared" si="5"/>
        <v>66235943934.593941</v>
      </c>
      <c r="X7" s="207">
        <f t="shared" si="5"/>
        <v>67567286407.679283</v>
      </c>
      <c r="Y7" s="207">
        <f t="shared" si="5"/>
        <v>68925388864.473648</v>
      </c>
      <c r="Z7" s="207">
        <f t="shared" si="5"/>
        <v>70310789180.649551</v>
      </c>
      <c r="AA7" s="207">
        <f t="shared" si="5"/>
        <v>71724036043.180618</v>
      </c>
      <c r="AB7" s="207">
        <f t="shared" si="5"/>
        <v>73165689167.64856</v>
      </c>
      <c r="AC7" s="207">
        <f t="shared" si="5"/>
        <v>74636319519.918289</v>
      </c>
      <c r="AD7" s="207">
        <f t="shared" si="5"/>
        <v>76136509542.268646</v>
      </c>
      <c r="AE7" s="207">
        <f t="shared" si="5"/>
        <v>77666853384.068253</v>
      </c>
      <c r="AF7" s="207">
        <f t="shared" si="5"/>
        <v>79227957137.088028</v>
      </c>
      <c r="AG7" s="207">
        <f t="shared" si="5"/>
        <v>80820439075.543488</v>
      </c>
      <c r="AH7" s="207">
        <f t="shared" si="5"/>
        <v>82444929900.961914</v>
      </c>
      <c r="AI7" s="207">
        <f t="shared" si="5"/>
        <v>84102072991.971252</v>
      </c>
      <c r="AJ7" s="207">
        <f t="shared" si="5"/>
        <v>85792524659.109879</v>
      </c>
      <c r="AK7" s="207">
        <f t="shared" si="5"/>
        <v>87516954404.757996</v>
      </c>
      <c r="AL7" s="207">
        <f t="shared" si="5"/>
        <v>89276045188.29364</v>
      </c>
      <c r="AM7" s="207">
        <f t="shared" si="5"/>
        <v>91070493696.578339</v>
      </c>
      <c r="AN7" s="207">
        <f t="shared" si="5"/>
        <v>92901010619.879562</v>
      </c>
      <c r="AO7" s="207">
        <f t="shared" si="5"/>
        <v>94768320933.339127</v>
      </c>
      <c r="AP7" s="207">
        <f t="shared" si="5"/>
        <v>96673164184.099243</v>
      </c>
      <c r="AQ7" s="207">
        <f t="shared" si="5"/>
        <v>98616294784.199631</v>
      </c>
      <c r="AR7" s="207">
        <f t="shared" si="5"/>
        <v>100598482309.36206</v>
      </c>
      <c r="AS7" s="207">
        <f t="shared" si="5"/>
        <v>102620511803.78023</v>
      </c>
      <c r="AT7" s="207">
        <f t="shared" si="5"/>
        <v>104683184091.03621</v>
      </c>
      <c r="AU7" s="207">
        <f t="shared" si="5"/>
        <v>106787316091.26604</v>
      </c>
      <c r="AV7" s="207">
        <f t="shared" si="5"/>
        <v>108933741144.70049</v>
      </c>
      <c r="AW7" s="207">
        <f t="shared" si="5"/>
        <v>111123309341.70895</v>
      </c>
      <c r="AX7" s="207">
        <f t="shared" si="5"/>
        <v>113356887859.47729</v>
      </c>
      <c r="AY7" s="207">
        <f t="shared" si="5"/>
        <v>115635361305.4528</v>
      </c>
      <c r="AZ7" s="207">
        <f t="shared" si="5"/>
        <v>117959632067.69241</v>
      </c>
      <c r="BA7" s="207">
        <f t="shared" si="5"/>
        <v>120330620672.25302</v>
      </c>
      <c r="BB7" s="207">
        <f t="shared" si="5"/>
        <v>122749266147.76532</v>
      </c>
      <c r="BC7" s="207">
        <f t="shared" si="5"/>
        <v>125216526397.33539</v>
      </c>
      <c r="BD7" s="207">
        <f t="shared" si="5"/>
        <v>127733378577.92183</v>
      </c>
      <c r="BE7" s="207">
        <f t="shared" si="5"/>
        <v>130300819487.33806</v>
      </c>
      <c r="BF7" s="207">
        <f t="shared" si="5"/>
        <v>132919865959.03355</v>
      </c>
      <c r="BG7" s="207">
        <f t="shared" si="5"/>
        <v>135591555264.81012</v>
      </c>
      <c r="BH7" s="207">
        <f t="shared" si="5"/>
        <v>138316945525.63281</v>
      </c>
      <c r="BI7" s="207">
        <f t="shared" si="5"/>
        <v>141097116130.69806</v>
      </c>
      <c r="BJ7" s="207">
        <f t="shared" si="5"/>
        <v>143933168164.92508</v>
      </c>
      <c r="BK7" s="207">
        <f t="shared" si="5"/>
        <v>146826224845.0401</v>
      </c>
      <c r="BL7" s="207">
        <f t="shared" si="5"/>
        <v>149777431964.42538</v>
      </c>
      <c r="BM7" s="207">
        <f t="shared" si="5"/>
        <v>152787958346.91034</v>
      </c>
      <c r="BN7" s="207">
        <f t="shared" si="5"/>
        <v>155858996309.68326</v>
      </c>
      <c r="BO7" s="207">
        <f t="shared" si="5"/>
        <v>158991762135.5079</v>
      </c>
      <c r="BP7" s="207">
        <f t="shared" si="5"/>
        <v>162187496554.43164</v>
      </c>
      <c r="BQ7" s="207">
        <f t="shared" ref="BQ7:DS7" si="6">BQ5*BQ6</f>
        <v>165447465235.17572</v>
      </c>
      <c r="BR7" s="207">
        <f t="shared" si="6"/>
        <v>168772959286.40274</v>
      </c>
      <c r="BS7" s="207">
        <f t="shared" si="6"/>
        <v>172165295768.05945</v>
      </c>
      <c r="BT7" s="207">
        <f t="shared" si="6"/>
        <v>175625818212.99744</v>
      </c>
      <c r="BU7" s="207">
        <f t="shared" si="6"/>
        <v>179155897159.07864</v>
      </c>
      <c r="BV7" s="207">
        <f t="shared" si="6"/>
        <v>182756930691.9761</v>
      </c>
      <c r="BW7" s="207">
        <f t="shared" si="6"/>
        <v>186430344998.8848</v>
      </c>
      <c r="BX7" s="207">
        <f t="shared" si="6"/>
        <v>190177594933.3624</v>
      </c>
      <c r="BY7" s="207">
        <f t="shared" si="6"/>
        <v>194000164591.52298</v>
      </c>
      <c r="BZ7" s="207">
        <f t="shared" si="6"/>
        <v>197899567899.81259</v>
      </c>
      <c r="CA7" s="207">
        <f t="shared" si="6"/>
        <v>201877349214.59885</v>
      </c>
      <c r="CB7" s="207">
        <f t="shared" si="6"/>
        <v>205935083933.81226</v>
      </c>
      <c r="CC7" s="207">
        <f t="shared" si="6"/>
        <v>210074379120.88187</v>
      </c>
      <c r="CD7" s="207">
        <f t="shared" si="6"/>
        <v>214296874141.21161</v>
      </c>
      <c r="CE7" s="207">
        <f t="shared" si="6"/>
        <v>218604241311.44995</v>
      </c>
      <c r="CF7" s="207">
        <f t="shared" si="6"/>
        <v>222998186561.81012</v>
      </c>
      <c r="CG7" s="207">
        <f t="shared" si="6"/>
        <v>227480450111.70248</v>
      </c>
      <c r="CH7" s="207">
        <f t="shared" si="6"/>
        <v>232052807158.94772</v>
      </c>
      <c r="CI7" s="207">
        <f t="shared" si="6"/>
        <v>236717068582.84256</v>
      </c>
      <c r="CJ7" s="207">
        <f t="shared" si="6"/>
        <v>241475081661.3577</v>
      </c>
      <c r="CK7" s="207">
        <f t="shared" si="6"/>
        <v>246328730802.75104</v>
      </c>
      <c r="CL7" s="207">
        <f t="shared" si="6"/>
        <v>251279938291.88635</v>
      </c>
      <c r="CM7" s="207">
        <f t="shared" si="6"/>
        <v>256330665051.55325</v>
      </c>
      <c r="CN7" s="207">
        <f t="shared" si="6"/>
        <v>261482911419.08948</v>
      </c>
      <c r="CO7" s="207">
        <f t="shared" si="6"/>
        <v>266738717938.61316</v>
      </c>
      <c r="CP7" s="207">
        <f t="shared" si="6"/>
        <v>272100166169.17932</v>
      </c>
      <c r="CQ7" s="207">
        <f t="shared" si="6"/>
        <v>277569379509.17981</v>
      </c>
      <c r="CR7" s="207">
        <f t="shared" si="6"/>
        <v>283148524037.31433</v>
      </c>
      <c r="CS7" s="207">
        <f t="shared" si="6"/>
        <v>288839809370.46429</v>
      </c>
      <c r="CT7" s="207">
        <f t="shared" si="6"/>
        <v>294645489538.81061</v>
      </c>
      <c r="CU7" s="207">
        <f t="shared" si="6"/>
        <v>300567863878.54071</v>
      </c>
      <c r="CV7" s="207">
        <f t="shared" si="6"/>
        <v>306609277942.49933</v>
      </c>
      <c r="CW7" s="207">
        <f t="shared" si="6"/>
        <v>312772124429.14362</v>
      </c>
      <c r="CX7" s="207">
        <f t="shared" si="6"/>
        <v>319058844130.16937</v>
      </c>
      <c r="CY7" s="207">
        <f t="shared" si="6"/>
        <v>325471926897.18585</v>
      </c>
      <c r="CZ7" s="207">
        <f t="shared" si="6"/>
        <v>332013912627.81927</v>
      </c>
      <c r="DA7" s="207">
        <f t="shared" si="6"/>
        <v>338687392271.63849</v>
      </c>
      <c r="DB7" s="207">
        <f t="shared" si="6"/>
        <v>345495008856.2984</v>
      </c>
      <c r="DC7" s="207">
        <f t="shared" si="6"/>
        <v>352439458534.31006</v>
      </c>
      <c r="DD7" s="207">
        <f t="shared" si="6"/>
        <v>359523491650.84973</v>
      </c>
      <c r="DE7" s="207">
        <f t="shared" si="6"/>
        <v>366749913833.03174</v>
      </c>
      <c r="DF7" s="207">
        <f t="shared" si="6"/>
        <v>374121587101.07574</v>
      </c>
      <c r="DG7" s="207">
        <f t="shared" si="6"/>
        <v>381641431001.80737</v>
      </c>
      <c r="DH7" s="207">
        <f t="shared" si="6"/>
        <v>389312423764.94366</v>
      </c>
      <c r="DI7" s="207">
        <f t="shared" si="6"/>
        <v>397137603482.61902</v>
      </c>
      <c r="DJ7" s="207">
        <f t="shared" si="6"/>
        <v>405120069312.61969</v>
      </c>
      <c r="DK7" s="207">
        <f t="shared" si="6"/>
        <v>413262982705.80341</v>
      </c>
      <c r="DL7" s="207">
        <f t="shared" si="6"/>
        <v>421569568658.19006</v>
      </c>
      <c r="DM7" s="207">
        <f t="shared" si="6"/>
        <v>430043116988.21967</v>
      </c>
      <c r="DN7" s="207">
        <f t="shared" si="6"/>
        <v>438686983639.68286</v>
      </c>
      <c r="DO7" s="207">
        <f t="shared" si="6"/>
        <v>447504592010.84052</v>
      </c>
      <c r="DP7" s="207">
        <f t="shared" si="6"/>
        <v>456499434310.25842</v>
      </c>
      <c r="DQ7" s="207">
        <f t="shared" si="6"/>
        <v>465675072939.89459</v>
      </c>
      <c r="DR7" s="207">
        <f t="shared" si="6"/>
        <v>475035141905.98645</v>
      </c>
      <c r="DS7" s="207">
        <f t="shared" si="6"/>
        <v>484583348258.29681</v>
      </c>
    </row>
    <row r="8" spans="1:123">
      <c r="A8" s="206" t="s">
        <v>433</v>
      </c>
      <c r="B8" s="202" t="s">
        <v>29</v>
      </c>
      <c r="C8" s="208">
        <f>'Исходные данные'!E40</f>
        <v>0.14499999999999999</v>
      </c>
      <c r="D8" s="213">
        <f>'Исходные данные'!F40</f>
        <v>1.0113476210381229</v>
      </c>
      <c r="E8" s="213">
        <f>'Исходные данные'!G40</f>
        <v>1.0228240105794706</v>
      </c>
      <c r="F8" s="213">
        <f>'Исходные данные'!H40</f>
        <v>1.0344306298402195</v>
      </c>
      <c r="G8" s="213">
        <f>'Исходные данные'!I40</f>
        <v>1.0461689566178729</v>
      </c>
      <c r="H8" s="213">
        <f>'Исходные данные'!J40</f>
        <v>1.058040485479421</v>
      </c>
      <c r="I8" s="213">
        <f>'Исходные данные'!K40</f>
        <v>1.070046727951633</v>
      </c>
      <c r="J8" s="213">
        <f>'Исходные данные'!L40</f>
        <v>1.0821892127135115</v>
      </c>
      <c r="K8" s="213">
        <f>'Исходные данные'!M40</f>
        <v>1.0944694857909287</v>
      </c>
      <c r="L8" s="213">
        <f>'Исходные данные'!N40</f>
        <v>1.1068891107534735</v>
      </c>
      <c r="M8" s="213">
        <f>'Исходные данные'!O40</f>
        <v>1.1194496689135287</v>
      </c>
      <c r="N8" s="213">
        <f>'Исходные данные'!P40</f>
        <v>1.1321527595276115</v>
      </c>
      <c r="O8" s="213">
        <f>'Исходные данные'!Q40</f>
        <v>1.1449999999999958</v>
      </c>
      <c r="P8" s="213">
        <f>'Исходные данные'!R40</f>
        <v>1.1579930260886464</v>
      </c>
      <c r="Q8" s="213">
        <f>'Исходные данные'!S40</f>
        <v>1.1711334921134895</v>
      </c>
      <c r="R8" s="213">
        <f>'Исходные данные'!T40</f>
        <v>1.1844230711670469</v>
      </c>
      <c r="S8" s="213">
        <f>'Исходные данные'!U40</f>
        <v>1.1978634553274599</v>
      </c>
      <c r="T8" s="213">
        <f>'Исходные данные'!V40</f>
        <v>1.2114563558739324</v>
      </c>
      <c r="U8" s="213">
        <f>'Исходные данные'!W40</f>
        <v>1.2252035035046149</v>
      </c>
      <c r="V8" s="213">
        <f>'Исходные данные'!X40</f>
        <v>1.239106648556966</v>
      </c>
      <c r="W8" s="213">
        <f>'Исходные данные'!Y40</f>
        <v>1.2531675612306088</v>
      </c>
      <c r="X8" s="213">
        <f>'Исходные данные'!Z40</f>
        <v>1.2673880318127224</v>
      </c>
      <c r="Y8" s="213">
        <f>'Исходные данные'!AA40</f>
        <v>1.2817698709059855</v>
      </c>
      <c r="Z8" s="213">
        <f>'Исходные данные'!AB40</f>
        <v>1.2963149096591104</v>
      </c>
      <c r="AA8" s="213">
        <f>'Исходные данные'!AC40</f>
        <v>1.3110249999999901</v>
      </c>
      <c r="AB8" s="213">
        <f>'Исходные данные'!AD40</f>
        <v>1.3259020148714953</v>
      </c>
      <c r="AC8" s="213">
        <f>'Исходные данные'!AE40</f>
        <v>1.3409478484699404</v>
      </c>
      <c r="AD8" s="213">
        <f>'Исходные данные'!AF40</f>
        <v>1.3561644164862634</v>
      </c>
      <c r="AE8" s="213">
        <f>'Исходные данные'!AG40</f>
        <v>1.3715536563499364</v>
      </c>
      <c r="AF8" s="213">
        <f>'Исходные данные'!AH40</f>
        <v>1.3871175274756473</v>
      </c>
      <c r="AG8" s="213">
        <f>'Исходные данные'!AI40</f>
        <v>1.4028580115127789</v>
      </c>
      <c r="AH8" s="213">
        <f>'Исходные данные'!AJ40</f>
        <v>1.4187771125977207</v>
      </c>
      <c r="AI8" s="213">
        <f>'Исходные данные'!AK40</f>
        <v>1.4348768576090414</v>
      </c>
      <c r="AJ8" s="213">
        <f>'Исходные данные'!AL40</f>
        <v>1.4511592964255615</v>
      </c>
      <c r="AK8" s="213">
        <f>'Исходные данные'!AM40</f>
        <v>1.4676265021873476</v>
      </c>
      <c r="AL8" s="213">
        <f>'Исходные данные'!AN40</f>
        <v>1.4842805715596756</v>
      </c>
      <c r="AM8" s="213">
        <f>'Исходные данные'!AO40</f>
        <v>1.5011236249999831</v>
      </c>
      <c r="AN8" s="213">
        <f>'Исходные данные'!AP40</f>
        <v>1.5181578070278561</v>
      </c>
      <c r="AO8" s="213">
        <f>'Исходные данные'!AQ40</f>
        <v>1.5353852864980759</v>
      </c>
      <c r="AP8" s="213">
        <f>'Исходные данные'!AR40</f>
        <v>1.5528082568767658</v>
      </c>
      <c r="AQ8" s="213">
        <f>'Исходные данные'!AS40</f>
        <v>1.5704289365206712</v>
      </c>
      <c r="AR8" s="213">
        <f>'Исходные данные'!AT40</f>
        <v>1.5882495689596103</v>
      </c>
      <c r="AS8" s="213">
        <f>'Исходные данные'!AU40</f>
        <v>1.6062724231821259</v>
      </c>
      <c r="AT8" s="213">
        <f>'Исходные данные'!AV40</f>
        <v>1.6244997939243839</v>
      </c>
      <c r="AU8" s="213">
        <f>'Исходные данные'!AW40</f>
        <v>1.6429340019623464</v>
      </c>
      <c r="AV8" s="213">
        <f>'Исходные данные'!AX40</f>
        <v>1.6615773944072616</v>
      </c>
      <c r="AW8" s="213">
        <f>'Исходные данные'!AY40</f>
        <v>1.6804323450045069</v>
      </c>
      <c r="AX8" s="213">
        <f>'Исходные данные'!AZ40</f>
        <v>1.6995012544358223</v>
      </c>
      <c r="AY8" s="213">
        <f>'Исходные данные'!BA40</f>
        <v>1.718786550624974</v>
      </c>
      <c r="AZ8" s="213">
        <f>'Исходные данные'!BB40</f>
        <v>1.7382906890468888</v>
      </c>
      <c r="BA8" s="213">
        <f>'Исходные данные'!BC40</f>
        <v>1.75801615304029</v>
      </c>
      <c r="BB8" s="213">
        <f>'Исходные данные'!BD40</f>
        <v>1.7779654541238901</v>
      </c>
      <c r="BC8" s="213">
        <f>'Исходные данные'!BE40</f>
        <v>1.7981411323161618</v>
      </c>
      <c r="BD8" s="213">
        <f>'Исходные данные'!BF40</f>
        <v>1.8185457564587468</v>
      </c>
      <c r="BE8" s="213">
        <f>'Исходные данные'!BG40</f>
        <v>1.839181924543527</v>
      </c>
      <c r="BF8" s="213">
        <f>'Исходные данные'!BH40</f>
        <v>1.8600522640434127</v>
      </c>
      <c r="BG8" s="213">
        <f>'Исходные данные'!BI40</f>
        <v>1.8811594322468792</v>
      </c>
      <c r="BH8" s="213">
        <f>'Исходные данные'!BJ40</f>
        <v>1.9025061165963075</v>
      </c>
      <c r="BI8" s="213">
        <f>'Исходные данные'!BK40</f>
        <v>1.9240950350301531</v>
      </c>
      <c r="BJ8" s="213">
        <f>'Исходные данные'!BL40</f>
        <v>1.9459289363290089</v>
      </c>
      <c r="BK8" s="213">
        <f>'Исходные данные'!BM40</f>
        <v>1.9680106004655877</v>
      </c>
      <c r="BL8" s="213">
        <f>'Исходные данные'!BN40</f>
        <v>1.9903428389586799</v>
      </c>
      <c r="BM8" s="213">
        <f>'Исходные данные'!BO40</f>
        <v>2.0129284952311246</v>
      </c>
      <c r="BN8" s="213">
        <f>'Исходные данные'!BP40</f>
        <v>2.0357704449718463</v>
      </c>
      <c r="BO8" s="213">
        <f>'Исходные данные'!BQ40</f>
        <v>2.058871596501997</v>
      </c>
      <c r="BP8" s="213">
        <f>'Исходные данные'!BR40</f>
        <v>2.0822348911452568</v>
      </c>
      <c r="BQ8" s="213">
        <f>'Исходные данные'!BS40</f>
        <v>2.1058633036023302</v>
      </c>
      <c r="BR8" s="213">
        <f>'Исходные данные'!BT40</f>
        <v>2.1297598423296988</v>
      </c>
      <c r="BS8" s="213">
        <f>'Исходные данные'!BU40</f>
        <v>2.1539275499226687</v>
      </c>
      <c r="BT8" s="213">
        <f>'Исходные данные'!BV40</f>
        <v>2.1783695035027635</v>
      </c>
      <c r="BU8" s="213">
        <f>'Исходные данные'!BW40</f>
        <v>2.2030888151095169</v>
      </c>
      <c r="BV8" s="213">
        <f>'Исходные данные'!BX40</f>
        <v>2.2280886320967066</v>
      </c>
      <c r="BW8" s="213">
        <f>'Исходные данные'!BY40</f>
        <v>2.2533721375330891</v>
      </c>
      <c r="BX8" s="213">
        <f>'Исходные данные'!BZ40</f>
        <v>2.2789425506076797</v>
      </c>
      <c r="BY8" s="213">
        <f>'Исходные данные'!CA40</f>
        <v>2.3048031270396288</v>
      </c>
      <c r="BZ8" s="213">
        <f>'Исходные данные'!CB40</f>
        <v>2.3309571594927552</v>
      </c>
      <c r="CA8" s="213">
        <f>'Исходные данные'!CC40</f>
        <v>2.3574079779947779</v>
      </c>
      <c r="CB8" s="213">
        <f>'Исходные данные'!CD40</f>
        <v>2.3841589503613103</v>
      </c>
      <c r="CC8" s="213">
        <f>'Исходные данные'!CE40</f>
        <v>2.411213482624659</v>
      </c>
      <c r="CD8" s="213">
        <f>'Исходные данные'!CF40</f>
        <v>2.4385750194674962</v>
      </c>
      <c r="CE8" s="213">
        <f>'Исходные данные'!CG40</f>
        <v>2.4662470446614457</v>
      </c>
      <c r="CF8" s="213">
        <f>'Исходные данные'!CH40</f>
        <v>2.4942330815106546</v>
      </c>
      <c r="CG8" s="213">
        <f>'Исходные данные'!CI40</f>
        <v>2.5225366933003865</v>
      </c>
      <c r="CH8" s="213">
        <f>'Исходные данные'!CJ40</f>
        <v>2.5511614837507195</v>
      </c>
      <c r="CI8" s="213">
        <f>'Исходные данные'!CK40</f>
        <v>2.5801110974753776</v>
      </c>
      <c r="CJ8" s="213">
        <f>'Исходные данные'!CL40</f>
        <v>2.6093892204457836</v>
      </c>
      <c r="CK8" s="213">
        <f>'Исходные данные'!CM40</f>
        <v>2.6389995804603648</v>
      </c>
      <c r="CL8" s="213">
        <f>'Исходные данные'!CN40</f>
        <v>2.6689459476191946</v>
      </c>
      <c r="CM8" s="213">
        <f>'Исходные данные'!CO40</f>
        <v>2.6992321348040105</v>
      </c>
      <c r="CN8" s="213">
        <f>'Исходные данные'!CP40</f>
        <v>2.72986199816369</v>
      </c>
      <c r="CO8" s="213">
        <f>'Исходные данные'!CQ40</f>
        <v>2.7608394376052243</v>
      </c>
      <c r="CP8" s="213">
        <f>'Исходные данные'!CR40</f>
        <v>2.7921683972902724</v>
      </c>
      <c r="CQ8" s="213">
        <f>'Исходные данные'!CS40</f>
        <v>2.823852866137345</v>
      </c>
      <c r="CR8" s="213">
        <f>'Исходные данные'!CT40</f>
        <v>2.8558968783296885</v>
      </c>
      <c r="CS8" s="213">
        <f>'Исходные данные'!CU40</f>
        <v>2.8883045138289321</v>
      </c>
      <c r="CT8" s="213">
        <f>'Исходные данные'!CV40</f>
        <v>2.9210798988945625</v>
      </c>
      <c r="CU8" s="213">
        <f>'Исходные данные'!CW40</f>
        <v>2.9542272066092958</v>
      </c>
      <c r="CV8" s="213">
        <f>'Исходные данные'!CX40</f>
        <v>2.9877506574104107</v>
      </c>
      <c r="CW8" s="213">
        <f>'Исходные данные'!CY40</f>
        <v>3.0216545196271061</v>
      </c>
      <c r="CX8" s="213">
        <f>'Исходные данные'!CZ40</f>
        <v>3.055943110023966</v>
      </c>
      <c r="CY8" s="213">
        <f>'Исходные данные'!DA40</f>
        <v>3.0906207943505803</v>
      </c>
      <c r="CZ8" s="213">
        <f>'Исходные данные'!DB40</f>
        <v>3.125691987897413</v>
      </c>
      <c r="DA8" s="213">
        <f>'Исходные данные'!DC40</f>
        <v>3.1611611560579695</v>
      </c>
      <c r="DB8" s="213">
        <f>'Исходные данные'!DD40</f>
        <v>3.1970328148973501</v>
      </c>
      <c r="DC8" s="213">
        <f>'Исходные данные'!DE40</f>
        <v>3.2333115317272476</v>
      </c>
      <c r="DD8" s="213">
        <f>'Исходные данные'!DF40</f>
        <v>3.2700019256874815</v>
      </c>
      <c r="DE8" s="213">
        <f>'Исходные данные'!DG40</f>
        <v>3.3071086683341151</v>
      </c>
      <c r="DF8" s="213">
        <f>'Исходные данные'!DH40</f>
        <v>3.3446364842342615</v>
      </c>
      <c r="DG8" s="213">
        <f>'Исходные данные'!DI40</f>
        <v>3.3825901515676313</v>
      </c>
      <c r="DH8" s="213">
        <f>'Исходные данные'!DJ40</f>
        <v>3.4209745027349072</v>
      </c>
      <c r="DI8" s="213">
        <f>'Исходные данные'!DK40</f>
        <v>3.4597944249730239</v>
      </c>
      <c r="DJ8" s="213">
        <f>'Исходные данные'!DL40</f>
        <v>3.4990548609774281</v>
      </c>
      <c r="DK8" s="213">
        <f>'Исходные данные'!DM40</f>
        <v>3.5387608095314009</v>
      </c>
      <c r="DL8" s="213">
        <f>'Исходные данные'!DN40</f>
        <v>3.5789173261425242</v>
      </c>
      <c r="DM8" s="213">
        <f>'Исходные данные'!DO40</f>
        <v>3.6195295236863609</v>
      </c>
      <c r="DN8" s="213">
        <f>'Исходные данные'!DP40</f>
        <v>3.6606025730574516</v>
      </c>
      <c r="DO8" s="213">
        <f>'Исходные данные'!DQ40</f>
        <v>3.7021417038276847</v>
      </c>
      <c r="DP8" s="213">
        <f>'Исходные данные'!DR40</f>
        <v>3.7441522049121518</v>
      </c>
      <c r="DQ8" s="213">
        <f>'Исходные данные'!DS40</f>
        <v>3.786639425242547</v>
      </c>
      <c r="DR8" s="213">
        <f>'Исходные данные'!DT40</f>
        <v>3.8296087744482152</v>
      </c>
      <c r="DS8" s="213">
        <f>'Исходные данные'!DU40</f>
        <v>3.8730657235449226</v>
      </c>
    </row>
    <row r="9" spans="1:123" ht="20">
      <c r="A9" s="209" t="s">
        <v>56</v>
      </c>
      <c r="B9" s="210" t="s">
        <v>35</v>
      </c>
      <c r="C9" s="211">
        <f t="shared" si="4"/>
        <v>82014455400623.422</v>
      </c>
      <c r="D9" s="211">
        <f>D7+D7*D8</f>
        <v>91278535241.475464</v>
      </c>
      <c r="E9" s="211">
        <f t="shared" ref="E9:BP9" si="7">E7+E7*E8</f>
        <v>93644521246.794586</v>
      </c>
      <c r="F9" s="211">
        <f t="shared" si="7"/>
        <v>96074892476.972198</v>
      </c>
      <c r="G9" s="211">
        <f t="shared" si="7"/>
        <v>98571476142.548843</v>
      </c>
      <c r="H9" s="211">
        <f t="shared" si="7"/>
        <v>101136153066.28827</v>
      </c>
      <c r="I9" s="211">
        <f t="shared" si="7"/>
        <v>103770859295.63654</v>
      </c>
      <c r="J9" s="211">
        <f t="shared" si="7"/>
        <v>106477587764.53366</v>
      </c>
      <c r="K9" s="211">
        <f t="shared" si="7"/>
        <v>109258390006.10591</v>
      </c>
      <c r="L9" s="211">
        <f t="shared" si="7"/>
        <v>112115377917.8158</v>
      </c>
      <c r="M9" s="211">
        <f t="shared" si="7"/>
        <v>115050725580.69447</v>
      </c>
      <c r="N9" s="211">
        <f t="shared" si="7"/>
        <v>118066671134.33347</v>
      </c>
      <c r="O9" s="211">
        <f t="shared" si="7"/>
        <v>121165518709.36453</v>
      </c>
      <c r="P9" s="211">
        <f t="shared" si="7"/>
        <v>124349640419.20969</v>
      </c>
      <c r="Q9" s="211">
        <f t="shared" si="7"/>
        <v>127621478412.94052</v>
      </c>
      <c r="R9" s="211">
        <f t="shared" si="7"/>
        <v>130983546991.14232</v>
      </c>
      <c r="S9" s="211">
        <f t="shared" si="7"/>
        <v>134438434786.73795</v>
      </c>
      <c r="T9" s="211">
        <f t="shared" si="7"/>
        <v>137988807012.78815</v>
      </c>
      <c r="U9" s="211">
        <f t="shared" si="7"/>
        <v>141637407779.34702</v>
      </c>
      <c r="V9" s="211">
        <f t="shared" si="7"/>
        <v>145387062481.51724</v>
      </c>
      <c r="W9" s="211">
        <f t="shared" si="7"/>
        <v>149240680260.91635</v>
      </c>
      <c r="X9" s="211">
        <f t="shared" si="7"/>
        <v>153201256542.83444</v>
      </c>
      <c r="Y9" s="211">
        <f t="shared" si="7"/>
        <v>157271875651.43488</v>
      </c>
      <c r="Z9" s="211">
        <f t="shared" si="7"/>
        <v>161455713505.42404</v>
      </c>
      <c r="AA9" s="211">
        <f t="shared" si="7"/>
        <v>165756040396.6908</v>
      </c>
      <c r="AB9" s="211">
        <f t="shared" si="7"/>
        <v>170176223854.4953</v>
      </c>
      <c r="AC9" s="211">
        <f t="shared" si="7"/>
        <v>174719731597.86774</v>
      </c>
      <c r="AD9" s="211">
        <f t="shared" si="7"/>
        <v>179390134578.96024</v>
      </c>
      <c r="AE9" s="211">
        <f t="shared" si="7"/>
        <v>184191110120.18152</v>
      </c>
      <c r="AF9" s="211">
        <f t="shared" si="7"/>
        <v>189126445148.03214</v>
      </c>
      <c r="AG9" s="211">
        <f t="shared" si="7"/>
        <v>194200039526.65012</v>
      </c>
      <c r="AH9" s="211">
        <f t="shared" si="7"/>
        <v>199415909494.17014</v>
      </c>
      <c r="AI9" s="211">
        <f t="shared" si="7"/>
        <v>204778191205.0972</v>
      </c>
      <c r="AJ9" s="211">
        <f t="shared" si="7"/>
        <v>210291144381.9964</v>
      </c>
      <c r="AK9" s="211">
        <f t="shared" si="7"/>
        <v>215959156079.90256</v>
      </c>
      <c r="AL9" s="211">
        <f t="shared" si="7"/>
        <v>221786744566.96155</v>
      </c>
      <c r="AM9" s="211">
        <f t="shared" si="7"/>
        <v>227778563324.92413</v>
      </c>
      <c r="AN9" s="211">
        <f t="shared" si="7"/>
        <v>233939405173.22748</v>
      </c>
      <c r="AO9" s="211">
        <f t="shared" si="7"/>
        <v>240274206520.51562</v>
      </c>
      <c r="AP9" s="211">
        <f t="shared" si="7"/>
        <v>246788051747.57178</v>
      </c>
      <c r="AQ9" s="211">
        <f t="shared" si="7"/>
        <v>253486177725.75928</v>
      </c>
      <c r="AR9" s="211">
        <f t="shared" si="7"/>
        <v>260373978475.19733</v>
      </c>
      <c r="AS9" s="211">
        <f t="shared" si="7"/>
        <v>267457009967.02826</v>
      </c>
      <c r="AT9" s="211">
        <f t="shared" si="7"/>
        <v>274740995074.27289</v>
      </c>
      <c r="AU9" s="211">
        <f t="shared" si="7"/>
        <v>282231828675.90784</v>
      </c>
      <c r="AV9" s="211">
        <f t="shared" si="7"/>
        <v>289935582918.94702</v>
      </c>
      <c r="AW9" s="211">
        <f t="shared" si="7"/>
        <v>297858512643.45813</v>
      </c>
      <c r="AX9" s="211">
        <f t="shared" si="7"/>
        <v>306007060975.59979</v>
      </c>
      <c r="AY9" s="211">
        <f t="shared" si="7"/>
        <v>314387865093.92462</v>
      </c>
      <c r="AZ9" s="211">
        <f t="shared" si="7"/>
        <v>323007762174.35895</v>
      </c>
      <c r="BA9" s="211">
        <f t="shared" si="7"/>
        <v>331873795519.43768</v>
      </c>
      <c r="BB9" s="211">
        <f t="shared" si="7"/>
        <v>340993220877.55115</v>
      </c>
      <c r="BC9" s="211">
        <f t="shared" si="7"/>
        <v>350373512958.1366</v>
      </c>
      <c r="BD9" s="211">
        <f t="shared" si="7"/>
        <v>360022372148.94019</v>
      </c>
      <c r="BE9" s="211">
        <f t="shared" si="7"/>
        <v>369947731441.65918</v>
      </c>
      <c r="BF9" s="211">
        <f t="shared" si="7"/>
        <v>380157763572.48083</v>
      </c>
      <c r="BG9" s="211">
        <f t="shared" si="7"/>
        <v>390660888384.23169</v>
      </c>
      <c r="BH9" s="211">
        <f t="shared" si="7"/>
        <v>401465780417.0675</v>
      </c>
      <c r="BI9" s="211">
        <f t="shared" si="7"/>
        <v>412581376734.84717</v>
      </c>
      <c r="BJ9" s="211">
        <f t="shared" si="7"/>
        <v>424016884994.56213</v>
      </c>
      <c r="BK9" s="211">
        <f t="shared" si="7"/>
        <v>435781791766.42285</v>
      </c>
      <c r="BL9" s="211">
        <f t="shared" si="7"/>
        <v>447885871112.44031</v>
      </c>
      <c r="BM9" s="211">
        <f t="shared" si="7"/>
        <v>460339193431.59229</v>
      </c>
      <c r="BN9" s="211">
        <f t="shared" si="7"/>
        <v>473152134579.91248</v>
      </c>
      <c r="BO9" s="211">
        <f t="shared" si="7"/>
        <v>486335385274.10681</v>
      </c>
      <c r="BP9" s="211">
        <f t="shared" si="7"/>
        <v>499899960787.57031</v>
      </c>
      <c r="BQ9" s="211">
        <f t="shared" ref="BQ9:DS9" si="8">BQ7+BQ7*BQ8</f>
        <v>513857210947.95453</v>
      </c>
      <c r="BR9" s="211">
        <f t="shared" si="8"/>
        <v>528218830445.72852</v>
      </c>
      <c r="BS9" s="211">
        <f t="shared" si="8"/>
        <v>542996869463.46735</v>
      </c>
      <c r="BT9" s="211">
        <f t="shared" si="8"/>
        <v>558203744635.91125</v>
      </c>
      <c r="BU9" s="211">
        <f t="shared" si="8"/>
        <v>573852250351.15564</v>
      </c>
      <c r="BV9" s="211">
        <f t="shared" si="8"/>
        <v>589955570403.65381</v>
      </c>
      <c r="BW9" s="211">
        <f t="shared" si="8"/>
        <v>606527290010.0531</v>
      </c>
      <c r="BX9" s="211">
        <f t="shared" si="8"/>
        <v>623581408199.2334</v>
      </c>
      <c r="BY9" s="211">
        <f t="shared" si="8"/>
        <v>641132350588.26782</v>
      </c>
      <c r="BZ9" s="211">
        <f t="shared" si="8"/>
        <v>659194982556.40344</v>
      </c>
      <c r="CA9" s="211">
        <f t="shared" si="8"/>
        <v>677784622829.53198</v>
      </c>
      <c r="CB9" s="211">
        <f t="shared" si="8"/>
        <v>696917057488.01843</v>
      </c>
      <c r="CC9" s="211">
        <f t="shared" si="8"/>
        <v>716608554411.15637</v>
      </c>
      <c r="CD9" s="211">
        <f t="shared" si="8"/>
        <v>736875878171.94031</v>
      </c>
      <c r="CE9" s="211">
        <f t="shared" si="8"/>
        <v>757736305396.271</v>
      </c>
      <c r="CF9" s="211">
        <f t="shared" si="8"/>
        <v>779207640601.16162</v>
      </c>
      <c r="CG9" s="211">
        <f t="shared" si="8"/>
        <v>801308232526.96008</v>
      </c>
      <c r="CH9" s="211">
        <f t="shared" si="8"/>
        <v>824056990979.08838</v>
      </c>
      <c r="CI9" s="211">
        <f t="shared" si="8"/>
        <v>847473404195.27466</v>
      </c>
      <c r="CJ9" s="211">
        <f t="shared" si="8"/>
        <v>871577556754.76978</v>
      </c>
      <c r="CK9" s="211">
        <f t="shared" si="8"/>
        <v>896390148046.54517</v>
      </c>
      <c r="CL9" s="211">
        <f t="shared" si="8"/>
        <v>921932511314.0177</v>
      </c>
      <c r="CM9" s="211">
        <f t="shared" si="8"/>
        <v>948226633294.38904</v>
      </c>
      <c r="CN9" s="211">
        <f t="shared" si="8"/>
        <v>975295174471.26428</v>
      </c>
      <c r="CO9" s="211">
        <f t="shared" si="8"/>
        <v>1003161489959.7925</v>
      </c>
      <c r="CP9" s="211">
        <f t="shared" si="8"/>
        <v>1031849651044.1936</v>
      </c>
      <c r="CQ9" s="211">
        <f t="shared" si="8"/>
        <v>1061384467388.1416</v>
      </c>
      <c r="CR9" s="211">
        <f t="shared" si="8"/>
        <v>1091791509939.1392</v>
      </c>
      <c r="CS9" s="211">
        <f t="shared" si="8"/>
        <v>1123097134548.6646</v>
      </c>
      <c r="CT9" s="211">
        <f t="shared" si="8"/>
        <v>1155328506330.5784</v>
      </c>
      <c r="CU9" s="211">
        <f t="shared" si="8"/>
        <v>1188513624780.9651</v>
      </c>
      <c r="CV9" s="211">
        <f t="shared" si="8"/>
        <v>1222681349683.333</v>
      </c>
      <c r="CW9" s="211">
        <f t="shared" si="8"/>
        <v>1257861427823.8369</v>
      </c>
      <c r="CX9" s="211">
        <f t="shared" si="8"/>
        <v>1294084520541.9709</v>
      </c>
      <c r="CY9" s="211">
        <f t="shared" si="8"/>
        <v>1331382232142.9805</v>
      </c>
      <c r="CZ9" s="211">
        <f t="shared" si="8"/>
        <v>1369787139199.0657</v>
      </c>
      <c r="DA9" s="211">
        <f t="shared" si="8"/>
        <v>1409332820767.3103</v>
      </c>
      <c r="DB9" s="211">
        <f t="shared" si="8"/>
        <v>1450053889553.135</v>
      </c>
      <c r="DC9" s="211">
        <f t="shared" si="8"/>
        <v>1491986024049.002</v>
      </c>
      <c r="DD9" s="211">
        <f t="shared" si="8"/>
        <v>1535166001679.0156</v>
      </c>
      <c r="DE9" s="211">
        <f t="shared" si="8"/>
        <v>1579631732981.0408</v>
      </c>
      <c r="DF9" s="211">
        <f t="shared" si="8"/>
        <v>1625422296858.9597</v>
      </c>
      <c r="DG9" s="211">
        <f t="shared" si="8"/>
        <v>1672577976938.6987</v>
      </c>
      <c r="DH9" s="211">
        <f t="shared" si="8"/>
        <v>1721140299062.7432</v>
      </c>
      <c r="DI9" s="211">
        <f t="shared" si="8"/>
        <v>1771152069958.9316</v>
      </c>
      <c r="DJ9" s="211">
        <f t="shared" si="8"/>
        <v>1822657417120.4541</v>
      </c>
      <c r="DK9" s="211">
        <f t="shared" si="8"/>
        <v>1875701829935.1536</v>
      </c>
      <c r="DL9" s="211">
        <f t="shared" si="8"/>
        <v>1930332202103.417</v>
      </c>
      <c r="DM9" s="211">
        <f t="shared" si="8"/>
        <v>1986596875385.1885</v>
      </c>
      <c r="DN9" s="211">
        <f t="shared" si="8"/>
        <v>2044545684717.9182</v>
      </c>
      <c r="DO9" s="211">
        <f t="shared" si="8"/>
        <v>2104230004748.5667</v>
      </c>
      <c r="DP9" s="211">
        <f t="shared" si="8"/>
        <v>2165702797824.1626</v>
      </c>
      <c r="DQ9" s="211">
        <f t="shared" si="8"/>
        <v>2229018663486.7983</v>
      </c>
      <c r="DR9" s="211">
        <f t="shared" si="8"/>
        <v>2294233889520.4053</v>
      </c>
      <c r="DS9" s="211">
        <f t="shared" si="8"/>
        <v>2361406504598.1382</v>
      </c>
    </row>
  </sheetData>
  <mergeCells count="14">
    <mergeCell ref="BL2:BW2"/>
    <mergeCell ref="BX2:CI2"/>
    <mergeCell ref="CJ2:CU2"/>
    <mergeCell ref="CV2:DG2"/>
    <mergeCell ref="DH2:DS2"/>
    <mergeCell ref="A3:A4"/>
    <mergeCell ref="B3:B4"/>
    <mergeCell ref="C3:C4"/>
    <mergeCell ref="AZ2:BK2"/>
    <mergeCell ref="A1:C1"/>
    <mergeCell ref="D2:O2"/>
    <mergeCell ref="P2:AA2"/>
    <mergeCell ref="AB2:AM2"/>
    <mergeCell ref="AN2:AY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T28"/>
  <sheetViews>
    <sheetView zoomScale="52" workbookViewId="0">
      <pane xSplit="4" ySplit="5" topLeftCell="E6" activePane="bottomRight" state="frozen"/>
      <selection activeCell="AG7" sqref="AG7"/>
      <selection pane="topRight"/>
      <selection pane="bottomLeft"/>
      <selection pane="bottomRight" activeCell="R12" sqref="R12"/>
    </sheetView>
  </sheetViews>
  <sheetFormatPr baseColWidth="10" defaultColWidth="8.83203125" defaultRowHeight="15"/>
  <cols>
    <col min="2" max="2" width="18.33203125" customWidth="1"/>
    <col min="4" max="4" width="25.5" customWidth="1"/>
    <col min="5" max="124" width="14.5" customWidth="1"/>
  </cols>
  <sheetData>
    <row r="2" spans="2:124" ht="16" thickBot="1">
      <c r="B2" s="358" t="s">
        <v>52</v>
      </c>
      <c r="C2" s="358"/>
      <c r="D2" s="358"/>
    </row>
    <row r="3" spans="2:124" ht="16">
      <c r="E3" s="333" t="s">
        <v>23</v>
      </c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6"/>
      <c r="Q3" s="333" t="s">
        <v>24</v>
      </c>
      <c r="R3" s="334"/>
      <c r="S3" s="334"/>
      <c r="T3" s="334"/>
      <c r="U3" s="334"/>
      <c r="V3" s="334"/>
      <c r="W3" s="334"/>
      <c r="X3" s="334"/>
      <c r="Y3" s="334"/>
      <c r="Z3" s="334"/>
      <c r="AA3" s="334"/>
      <c r="AB3" s="336"/>
      <c r="AC3" s="333" t="s">
        <v>25</v>
      </c>
      <c r="AD3" s="334"/>
      <c r="AE3" s="334"/>
      <c r="AF3" s="334"/>
      <c r="AG3" s="334"/>
      <c r="AH3" s="334"/>
      <c r="AI3" s="334"/>
      <c r="AJ3" s="334"/>
      <c r="AK3" s="334"/>
      <c r="AL3" s="334"/>
      <c r="AM3" s="334"/>
      <c r="AN3" s="335"/>
      <c r="AO3" s="357" t="s">
        <v>346</v>
      </c>
      <c r="AP3" s="334"/>
      <c r="AQ3" s="334"/>
      <c r="AR3" s="334"/>
      <c r="AS3" s="334"/>
      <c r="AT3" s="334"/>
      <c r="AU3" s="334"/>
      <c r="AV3" s="334"/>
      <c r="AW3" s="334"/>
      <c r="AX3" s="334"/>
      <c r="AY3" s="334"/>
      <c r="AZ3" s="336"/>
      <c r="BA3" s="333" t="s">
        <v>347</v>
      </c>
      <c r="BB3" s="334"/>
      <c r="BC3" s="334"/>
      <c r="BD3" s="334"/>
      <c r="BE3" s="334"/>
      <c r="BF3" s="334"/>
      <c r="BG3" s="334"/>
      <c r="BH3" s="334"/>
      <c r="BI3" s="334"/>
      <c r="BJ3" s="334"/>
      <c r="BK3" s="334"/>
      <c r="BL3" s="336"/>
      <c r="BM3" s="333" t="s">
        <v>348</v>
      </c>
      <c r="BN3" s="334"/>
      <c r="BO3" s="334"/>
      <c r="BP3" s="334"/>
      <c r="BQ3" s="334"/>
      <c r="BR3" s="334"/>
      <c r="BS3" s="334"/>
      <c r="BT3" s="334"/>
      <c r="BU3" s="334"/>
      <c r="BV3" s="334"/>
      <c r="BW3" s="334"/>
      <c r="BX3" s="336"/>
      <c r="BY3" s="333" t="s">
        <v>349</v>
      </c>
      <c r="BZ3" s="334"/>
      <c r="CA3" s="334"/>
      <c r="CB3" s="334"/>
      <c r="CC3" s="334"/>
      <c r="CD3" s="334"/>
      <c r="CE3" s="334"/>
      <c r="CF3" s="334"/>
      <c r="CG3" s="334"/>
      <c r="CH3" s="334"/>
      <c r="CI3" s="334"/>
      <c r="CJ3" s="336"/>
      <c r="CK3" s="333" t="s">
        <v>350</v>
      </c>
      <c r="CL3" s="334"/>
      <c r="CM3" s="334"/>
      <c r="CN3" s="334"/>
      <c r="CO3" s="334"/>
      <c r="CP3" s="334"/>
      <c r="CQ3" s="334"/>
      <c r="CR3" s="334"/>
      <c r="CS3" s="334"/>
      <c r="CT3" s="334"/>
      <c r="CU3" s="334"/>
      <c r="CV3" s="335"/>
      <c r="CW3" s="333" t="s">
        <v>351</v>
      </c>
      <c r="CX3" s="334"/>
      <c r="CY3" s="334"/>
      <c r="CZ3" s="334"/>
      <c r="DA3" s="334"/>
      <c r="DB3" s="334"/>
      <c r="DC3" s="334"/>
      <c r="DD3" s="334"/>
      <c r="DE3" s="334"/>
      <c r="DF3" s="334"/>
      <c r="DG3" s="334"/>
      <c r="DH3" s="336"/>
      <c r="DI3" s="333" t="s">
        <v>352</v>
      </c>
      <c r="DJ3" s="334"/>
      <c r="DK3" s="334"/>
      <c r="DL3" s="334"/>
      <c r="DM3" s="334"/>
      <c r="DN3" s="334"/>
      <c r="DO3" s="334"/>
      <c r="DP3" s="334"/>
      <c r="DQ3" s="334"/>
      <c r="DR3" s="334"/>
      <c r="DS3" s="334"/>
      <c r="DT3" s="336"/>
    </row>
    <row r="4" spans="2:124" ht="16">
      <c r="B4" s="359" t="s">
        <v>53</v>
      </c>
      <c r="C4" s="345" t="s">
        <v>54</v>
      </c>
      <c r="D4" s="359" t="s">
        <v>27</v>
      </c>
      <c r="E4" s="19">
        <v>1</v>
      </c>
      <c r="F4" s="19">
        <v>2</v>
      </c>
      <c r="G4" s="19">
        <v>3</v>
      </c>
      <c r="H4" s="19">
        <v>4</v>
      </c>
      <c r="I4" s="19">
        <v>5</v>
      </c>
      <c r="J4" s="19">
        <v>6</v>
      </c>
      <c r="K4" s="19">
        <v>7</v>
      </c>
      <c r="L4" s="19">
        <v>8</v>
      </c>
      <c r="M4" s="19">
        <v>9</v>
      </c>
      <c r="N4" s="19">
        <v>10</v>
      </c>
      <c r="O4" s="19">
        <v>11</v>
      </c>
      <c r="P4" s="19">
        <v>12</v>
      </c>
      <c r="Q4" s="19">
        <v>1</v>
      </c>
      <c r="R4" s="19">
        <v>2</v>
      </c>
      <c r="S4" s="19">
        <v>3</v>
      </c>
      <c r="T4" s="19">
        <v>4</v>
      </c>
      <c r="U4" s="19">
        <v>5</v>
      </c>
      <c r="V4" s="19">
        <v>6</v>
      </c>
      <c r="W4" s="19">
        <v>7</v>
      </c>
      <c r="X4" s="19">
        <v>8</v>
      </c>
      <c r="Y4" s="19">
        <v>9</v>
      </c>
      <c r="Z4" s="19">
        <v>10</v>
      </c>
      <c r="AA4" s="19">
        <v>11</v>
      </c>
      <c r="AB4" s="19">
        <v>12</v>
      </c>
      <c r="AC4" s="19">
        <v>1</v>
      </c>
      <c r="AD4" s="19">
        <v>2</v>
      </c>
      <c r="AE4" s="19">
        <v>3</v>
      </c>
      <c r="AF4" s="19">
        <v>4</v>
      </c>
      <c r="AG4" s="19">
        <v>5</v>
      </c>
      <c r="AH4" s="19">
        <v>6</v>
      </c>
      <c r="AI4" s="19">
        <v>7</v>
      </c>
      <c r="AJ4" s="19">
        <v>8</v>
      </c>
      <c r="AK4" s="19">
        <v>9</v>
      </c>
      <c r="AL4" s="19">
        <v>10</v>
      </c>
      <c r="AM4" s="19">
        <v>11</v>
      </c>
      <c r="AN4" s="20">
        <v>12</v>
      </c>
      <c r="AO4" s="19">
        <v>1</v>
      </c>
      <c r="AP4" s="19">
        <v>2</v>
      </c>
      <c r="AQ4" s="19">
        <v>3</v>
      </c>
      <c r="AR4" s="19">
        <v>4</v>
      </c>
      <c r="AS4" s="19">
        <v>5</v>
      </c>
      <c r="AT4" s="19">
        <v>6</v>
      </c>
      <c r="AU4" s="19">
        <v>7</v>
      </c>
      <c r="AV4" s="19">
        <v>8</v>
      </c>
      <c r="AW4" s="19">
        <v>9</v>
      </c>
      <c r="AX4" s="19">
        <v>10</v>
      </c>
      <c r="AY4" s="19">
        <v>11</v>
      </c>
      <c r="AZ4" s="19">
        <v>12</v>
      </c>
      <c r="BA4" s="19">
        <v>1</v>
      </c>
      <c r="BB4" s="19">
        <v>2</v>
      </c>
      <c r="BC4" s="19">
        <v>3</v>
      </c>
      <c r="BD4" s="19">
        <v>4</v>
      </c>
      <c r="BE4" s="19">
        <v>5</v>
      </c>
      <c r="BF4" s="19">
        <v>6</v>
      </c>
      <c r="BG4" s="19">
        <v>7</v>
      </c>
      <c r="BH4" s="19">
        <v>8</v>
      </c>
      <c r="BI4" s="19">
        <v>9</v>
      </c>
      <c r="BJ4" s="19">
        <v>10</v>
      </c>
      <c r="BK4" s="19">
        <v>11</v>
      </c>
      <c r="BL4" s="19">
        <v>12</v>
      </c>
      <c r="BM4" s="19">
        <v>1</v>
      </c>
      <c r="BN4" s="19">
        <v>2</v>
      </c>
      <c r="BO4" s="19">
        <v>3</v>
      </c>
      <c r="BP4" s="19">
        <v>4</v>
      </c>
      <c r="BQ4" s="19">
        <v>5</v>
      </c>
      <c r="BR4" s="19">
        <v>6</v>
      </c>
      <c r="BS4" s="19">
        <v>7</v>
      </c>
      <c r="BT4" s="19">
        <v>8</v>
      </c>
      <c r="BU4" s="19">
        <v>9</v>
      </c>
      <c r="BV4" s="19">
        <v>10</v>
      </c>
      <c r="BW4" s="19">
        <v>11</v>
      </c>
      <c r="BX4" s="19">
        <v>12</v>
      </c>
      <c r="BY4" s="19">
        <v>1</v>
      </c>
      <c r="BZ4" s="19">
        <v>2</v>
      </c>
      <c r="CA4" s="19">
        <v>3</v>
      </c>
      <c r="CB4" s="19">
        <v>4</v>
      </c>
      <c r="CC4" s="19">
        <v>5</v>
      </c>
      <c r="CD4" s="19">
        <v>6</v>
      </c>
      <c r="CE4" s="19">
        <v>7</v>
      </c>
      <c r="CF4" s="19">
        <v>8</v>
      </c>
      <c r="CG4" s="19">
        <v>9</v>
      </c>
      <c r="CH4" s="19">
        <v>10</v>
      </c>
      <c r="CI4" s="19">
        <v>11</v>
      </c>
      <c r="CJ4" s="19">
        <v>12</v>
      </c>
      <c r="CK4" s="19">
        <v>1</v>
      </c>
      <c r="CL4" s="19">
        <v>2</v>
      </c>
      <c r="CM4" s="19">
        <v>3</v>
      </c>
      <c r="CN4" s="19">
        <v>4</v>
      </c>
      <c r="CO4" s="19">
        <v>5</v>
      </c>
      <c r="CP4" s="19">
        <v>6</v>
      </c>
      <c r="CQ4" s="19">
        <v>7</v>
      </c>
      <c r="CR4" s="19">
        <v>8</v>
      </c>
      <c r="CS4" s="19">
        <v>9</v>
      </c>
      <c r="CT4" s="19">
        <v>10</v>
      </c>
      <c r="CU4" s="19">
        <v>11</v>
      </c>
      <c r="CV4" s="20">
        <v>12</v>
      </c>
      <c r="CW4" s="19">
        <v>1</v>
      </c>
      <c r="CX4" s="19">
        <v>2</v>
      </c>
      <c r="CY4" s="19">
        <v>3</v>
      </c>
      <c r="CZ4" s="19">
        <v>4</v>
      </c>
      <c r="DA4" s="19">
        <v>5</v>
      </c>
      <c r="DB4" s="19">
        <v>6</v>
      </c>
      <c r="DC4" s="19">
        <v>7</v>
      </c>
      <c r="DD4" s="19">
        <v>8</v>
      </c>
      <c r="DE4" s="19">
        <v>9</v>
      </c>
      <c r="DF4" s="19">
        <v>10</v>
      </c>
      <c r="DG4" s="19">
        <v>11</v>
      </c>
      <c r="DH4" s="19">
        <v>12</v>
      </c>
      <c r="DI4" s="19">
        <v>1</v>
      </c>
      <c r="DJ4" s="19">
        <v>2</v>
      </c>
      <c r="DK4" s="19">
        <v>3</v>
      </c>
      <c r="DL4" s="19">
        <v>4</v>
      </c>
      <c r="DM4" s="19">
        <v>5</v>
      </c>
      <c r="DN4" s="19">
        <v>6</v>
      </c>
      <c r="DO4" s="19">
        <v>7</v>
      </c>
      <c r="DP4" s="19">
        <v>8</v>
      </c>
      <c r="DQ4" s="19">
        <v>9</v>
      </c>
      <c r="DR4" s="19">
        <v>10</v>
      </c>
      <c r="DS4" s="19">
        <v>11</v>
      </c>
      <c r="DT4" s="19">
        <v>12</v>
      </c>
    </row>
    <row r="5" spans="2:124">
      <c r="B5" s="360"/>
      <c r="C5" s="345"/>
      <c r="D5" s="360"/>
      <c r="E5" s="79">
        <v>1</v>
      </c>
      <c r="F5" s="79">
        <v>2</v>
      </c>
      <c r="G5" s="79">
        <v>3</v>
      </c>
      <c r="H5" s="79">
        <v>4</v>
      </c>
      <c r="I5" s="79">
        <v>5</v>
      </c>
      <c r="J5" s="79">
        <v>6</v>
      </c>
      <c r="K5" s="79">
        <v>7</v>
      </c>
      <c r="L5" s="79">
        <v>8</v>
      </c>
      <c r="M5" s="79">
        <v>9</v>
      </c>
      <c r="N5" s="79">
        <v>10</v>
      </c>
      <c r="O5" s="79">
        <v>11</v>
      </c>
      <c r="P5" s="79">
        <v>12</v>
      </c>
      <c r="Q5" s="79">
        <v>13</v>
      </c>
      <c r="R5" s="79">
        <v>14</v>
      </c>
      <c r="S5" s="79">
        <v>15</v>
      </c>
      <c r="T5" s="79">
        <v>16</v>
      </c>
      <c r="U5" s="79">
        <v>17</v>
      </c>
      <c r="V5" s="79">
        <v>18</v>
      </c>
      <c r="W5" s="79">
        <v>19</v>
      </c>
      <c r="X5" s="79">
        <v>20</v>
      </c>
      <c r="Y5" s="79">
        <v>21</v>
      </c>
      <c r="Z5" s="79">
        <v>22</v>
      </c>
      <c r="AA5" s="79">
        <v>23</v>
      </c>
      <c r="AB5" s="79">
        <v>24</v>
      </c>
      <c r="AC5" s="79">
        <v>25</v>
      </c>
      <c r="AD5" s="79">
        <v>26</v>
      </c>
      <c r="AE5" s="79">
        <v>27</v>
      </c>
      <c r="AF5" s="79">
        <v>28</v>
      </c>
      <c r="AG5" s="79">
        <v>29</v>
      </c>
      <c r="AH5" s="79">
        <v>30</v>
      </c>
      <c r="AI5" s="79">
        <v>31</v>
      </c>
      <c r="AJ5" s="79">
        <v>32</v>
      </c>
      <c r="AK5" s="79">
        <v>33</v>
      </c>
      <c r="AL5" s="79">
        <v>34</v>
      </c>
      <c r="AM5" s="79">
        <v>35</v>
      </c>
      <c r="AN5" s="79">
        <v>36</v>
      </c>
      <c r="AO5" s="79">
        <v>1</v>
      </c>
      <c r="AP5" s="79">
        <v>2</v>
      </c>
      <c r="AQ5" s="79">
        <v>3</v>
      </c>
      <c r="AR5" s="79">
        <v>4</v>
      </c>
      <c r="AS5" s="79">
        <v>5</v>
      </c>
      <c r="AT5" s="79">
        <v>6</v>
      </c>
      <c r="AU5" s="79">
        <v>7</v>
      </c>
      <c r="AV5" s="79">
        <v>8</v>
      </c>
      <c r="AW5" s="79">
        <v>9</v>
      </c>
      <c r="AX5" s="79">
        <v>10</v>
      </c>
      <c r="AY5" s="79">
        <v>11</v>
      </c>
      <c r="AZ5" s="79">
        <v>12</v>
      </c>
      <c r="BA5" s="79">
        <v>13</v>
      </c>
      <c r="BB5" s="79">
        <v>14</v>
      </c>
      <c r="BC5" s="79">
        <v>15</v>
      </c>
      <c r="BD5" s="79">
        <v>16</v>
      </c>
      <c r="BE5" s="79">
        <v>17</v>
      </c>
      <c r="BF5" s="79">
        <v>18</v>
      </c>
      <c r="BG5" s="79">
        <v>19</v>
      </c>
      <c r="BH5" s="79">
        <v>20</v>
      </c>
      <c r="BI5" s="79">
        <v>21</v>
      </c>
      <c r="BJ5" s="79">
        <v>22</v>
      </c>
      <c r="BK5" s="79">
        <v>23</v>
      </c>
      <c r="BL5" s="79">
        <v>24</v>
      </c>
      <c r="BM5" s="79">
        <v>1</v>
      </c>
      <c r="BN5" s="79">
        <v>2</v>
      </c>
      <c r="BO5" s="79">
        <v>3</v>
      </c>
      <c r="BP5" s="79">
        <v>4</v>
      </c>
      <c r="BQ5" s="79">
        <v>5</v>
      </c>
      <c r="BR5" s="79">
        <v>6</v>
      </c>
      <c r="BS5" s="79">
        <v>7</v>
      </c>
      <c r="BT5" s="79">
        <v>8</v>
      </c>
      <c r="BU5" s="79">
        <v>9</v>
      </c>
      <c r="BV5" s="79">
        <v>10</v>
      </c>
      <c r="BW5" s="79">
        <v>11</v>
      </c>
      <c r="BX5" s="79">
        <v>12</v>
      </c>
      <c r="BY5" s="79">
        <v>13</v>
      </c>
      <c r="BZ5" s="79">
        <v>14</v>
      </c>
      <c r="CA5" s="79">
        <v>15</v>
      </c>
      <c r="CB5" s="79">
        <v>16</v>
      </c>
      <c r="CC5" s="79">
        <v>17</v>
      </c>
      <c r="CD5" s="79">
        <v>18</v>
      </c>
      <c r="CE5" s="79">
        <v>19</v>
      </c>
      <c r="CF5" s="79">
        <v>20</v>
      </c>
      <c r="CG5" s="79">
        <v>21</v>
      </c>
      <c r="CH5" s="79">
        <v>22</v>
      </c>
      <c r="CI5" s="79">
        <v>23</v>
      </c>
      <c r="CJ5" s="79">
        <v>24</v>
      </c>
      <c r="CK5" s="79">
        <v>25</v>
      </c>
      <c r="CL5" s="79">
        <v>26</v>
      </c>
      <c r="CM5" s="79">
        <v>27</v>
      </c>
      <c r="CN5" s="79">
        <v>28</v>
      </c>
      <c r="CO5" s="79">
        <v>29</v>
      </c>
      <c r="CP5" s="79">
        <v>30</v>
      </c>
      <c r="CQ5" s="79">
        <v>31</v>
      </c>
      <c r="CR5" s="79">
        <v>32</v>
      </c>
      <c r="CS5" s="79">
        <v>33</v>
      </c>
      <c r="CT5" s="79">
        <v>34</v>
      </c>
      <c r="CU5" s="79">
        <v>35</v>
      </c>
      <c r="CV5" s="79">
        <v>36</v>
      </c>
      <c r="CW5" s="79">
        <v>1</v>
      </c>
      <c r="CX5" s="79">
        <v>2</v>
      </c>
      <c r="CY5" s="79">
        <v>3</v>
      </c>
      <c r="CZ5" s="79">
        <v>4</v>
      </c>
      <c r="DA5" s="79">
        <v>5</v>
      </c>
      <c r="DB5" s="79">
        <v>6</v>
      </c>
      <c r="DC5" s="79">
        <v>7</v>
      </c>
      <c r="DD5" s="79">
        <v>8</v>
      </c>
      <c r="DE5" s="79">
        <v>9</v>
      </c>
      <c r="DF5" s="79">
        <v>10</v>
      </c>
      <c r="DG5" s="79">
        <v>11</v>
      </c>
      <c r="DH5" s="79">
        <v>12</v>
      </c>
      <c r="DI5" s="79">
        <v>13</v>
      </c>
      <c r="DJ5" s="79">
        <v>14</v>
      </c>
      <c r="DK5" s="79">
        <v>15</v>
      </c>
      <c r="DL5" s="79">
        <v>16</v>
      </c>
      <c r="DM5" s="79">
        <v>17</v>
      </c>
      <c r="DN5" s="79">
        <v>18</v>
      </c>
      <c r="DO5" s="79">
        <v>19</v>
      </c>
      <c r="DP5" s="79">
        <v>20</v>
      </c>
      <c r="DQ5" s="79">
        <v>21</v>
      </c>
      <c r="DR5" s="79">
        <v>22</v>
      </c>
      <c r="DS5" s="79">
        <v>23</v>
      </c>
      <c r="DT5" s="79">
        <v>24</v>
      </c>
    </row>
    <row r="6" spans="2:124" s="217" customFormat="1" ht="45">
      <c r="B6" s="219" t="s">
        <v>442</v>
      </c>
      <c r="C6" s="216"/>
      <c r="D6" s="221">
        <f>D7</f>
        <v>11718224190.437853</v>
      </c>
      <c r="E6" s="221">
        <f t="shared" ref="E6:BP6" si="0">E7</f>
        <v>0</v>
      </c>
      <c r="F6" s="221">
        <f t="shared" si="0"/>
        <v>0</v>
      </c>
      <c r="G6" s="221">
        <f t="shared" si="0"/>
        <v>0</v>
      </c>
      <c r="H6" s="221">
        <f t="shared" si="0"/>
        <v>0</v>
      </c>
      <c r="I6" s="221">
        <f t="shared" si="0"/>
        <v>0</v>
      </c>
      <c r="J6" s="221">
        <f t="shared" si="0"/>
        <v>0</v>
      </c>
      <c r="K6" s="221">
        <f t="shared" si="0"/>
        <v>0</v>
      </c>
      <c r="L6" s="221">
        <f t="shared" si="0"/>
        <v>0</v>
      </c>
      <c r="M6" s="221">
        <f t="shared" si="0"/>
        <v>0</v>
      </c>
      <c r="N6" s="221">
        <f t="shared" si="0"/>
        <v>0</v>
      </c>
      <c r="O6" s="221">
        <f t="shared" si="0"/>
        <v>0</v>
      </c>
      <c r="P6" s="221">
        <f t="shared" si="0"/>
        <v>0</v>
      </c>
      <c r="Q6" s="221">
        <f t="shared" si="0"/>
        <v>60750000</v>
      </c>
      <c r="R6" s="221">
        <f t="shared" si="0"/>
        <v>61357500</v>
      </c>
      <c r="S6" s="221">
        <f t="shared" si="0"/>
        <v>61971075</v>
      </c>
      <c r="T6" s="221">
        <f t="shared" si="0"/>
        <v>62590785.75</v>
      </c>
      <c r="U6" s="221">
        <f t="shared" si="0"/>
        <v>63216693.607500002</v>
      </c>
      <c r="V6" s="221">
        <f t="shared" si="0"/>
        <v>63848860.543575004</v>
      </c>
      <c r="W6" s="221">
        <f t="shared" si="0"/>
        <v>64487349.149010755</v>
      </c>
      <c r="X6" s="221">
        <f t="shared" si="0"/>
        <v>65132222.640500866</v>
      </c>
      <c r="Y6" s="221">
        <f t="shared" si="0"/>
        <v>65783544.866905876</v>
      </c>
      <c r="Z6" s="221">
        <f t="shared" si="0"/>
        <v>66441380.315574937</v>
      </c>
      <c r="AA6" s="221">
        <f t="shared" si="0"/>
        <v>67105794.118730687</v>
      </c>
      <c r="AB6" s="221">
        <f t="shared" si="0"/>
        <v>67776852.059918001</v>
      </c>
      <c r="AC6" s="221">
        <f t="shared" si="0"/>
        <v>68454620.580517188</v>
      </c>
      <c r="AD6" s="221">
        <f t="shared" si="0"/>
        <v>69139166.786322355</v>
      </c>
      <c r="AE6" s="221">
        <f t="shared" si="0"/>
        <v>69830558.454185575</v>
      </c>
      <c r="AF6" s="221">
        <f t="shared" si="0"/>
        <v>70528864.038727432</v>
      </c>
      <c r="AG6" s="221">
        <f t="shared" si="0"/>
        <v>71234152.679114714</v>
      </c>
      <c r="AH6" s="221">
        <f t="shared" si="0"/>
        <v>71946494.205905855</v>
      </c>
      <c r="AI6" s="221">
        <f t="shared" si="0"/>
        <v>72665959.14796491</v>
      </c>
      <c r="AJ6" s="221">
        <f t="shared" si="0"/>
        <v>73392618.739444554</v>
      </c>
      <c r="AK6" s="221">
        <f t="shared" si="0"/>
        <v>74126544.926838994</v>
      </c>
      <c r="AL6" s="221">
        <f t="shared" si="0"/>
        <v>74867810.37610738</v>
      </c>
      <c r="AM6" s="221">
        <f t="shared" si="0"/>
        <v>75616488.479868457</v>
      </c>
      <c r="AN6" s="221">
        <f t="shared" si="0"/>
        <v>76372653.364667147</v>
      </c>
      <c r="AO6" s="221">
        <f t="shared" si="0"/>
        <v>77136379.89831382</v>
      </c>
      <c r="AP6" s="221">
        <f t="shared" si="0"/>
        <v>77907743.697296962</v>
      </c>
      <c r="AQ6" s="221">
        <f t="shared" si="0"/>
        <v>78686821.134269938</v>
      </c>
      <c r="AR6" s="221">
        <f t="shared" si="0"/>
        <v>79473689.345612645</v>
      </c>
      <c r="AS6" s="221">
        <f t="shared" si="0"/>
        <v>80268426.239068776</v>
      </c>
      <c r="AT6" s="221">
        <f t="shared" si="0"/>
        <v>81071110.501459464</v>
      </c>
      <c r="AU6" s="221">
        <f t="shared" si="0"/>
        <v>81881821.606474057</v>
      </c>
      <c r="AV6" s="221">
        <f t="shared" si="0"/>
        <v>82700639.822538793</v>
      </c>
      <c r="AW6" s="221">
        <f t="shared" si="0"/>
        <v>83527646.220764175</v>
      </c>
      <c r="AX6" s="221">
        <f t="shared" si="0"/>
        <v>84362922.68297182</v>
      </c>
      <c r="AY6" s="221">
        <f t="shared" si="0"/>
        <v>85206551.909801543</v>
      </c>
      <c r="AZ6" s="221">
        <f t="shared" si="0"/>
        <v>86058617.428899556</v>
      </c>
      <c r="BA6" s="221">
        <f t="shared" si="0"/>
        <v>86919203.603188559</v>
      </c>
      <c r="BB6" s="221">
        <f t="shared" si="0"/>
        <v>87788395.639220446</v>
      </c>
      <c r="BC6" s="221">
        <f t="shared" si="0"/>
        <v>88666279.595612645</v>
      </c>
      <c r="BD6" s="221">
        <f t="shared" si="0"/>
        <v>89552942.391568765</v>
      </c>
      <c r="BE6" s="221">
        <f t="shared" si="0"/>
        <v>90448471.815484449</v>
      </c>
      <c r="BF6" s="221">
        <f t="shared" si="0"/>
        <v>91352956.533639297</v>
      </c>
      <c r="BG6" s="221">
        <f t="shared" si="0"/>
        <v>92266486.098975688</v>
      </c>
      <c r="BH6" s="221">
        <f t="shared" si="0"/>
        <v>93189150.959965453</v>
      </c>
      <c r="BI6" s="221">
        <f t="shared" si="0"/>
        <v>94121042.469565108</v>
      </c>
      <c r="BJ6" s="221">
        <f t="shared" si="0"/>
        <v>95062252.894260764</v>
      </c>
      <c r="BK6" s="221">
        <f t="shared" si="0"/>
        <v>96012875.423203379</v>
      </c>
      <c r="BL6" s="221">
        <f t="shared" si="0"/>
        <v>96973004.177435413</v>
      </c>
      <c r="BM6" s="221">
        <f t="shared" si="0"/>
        <v>97942734.219209775</v>
      </c>
      <c r="BN6" s="221">
        <f t="shared" si="0"/>
        <v>98922161.561401874</v>
      </c>
      <c r="BO6" s="221">
        <f t="shared" si="0"/>
        <v>99911383.177015901</v>
      </c>
      <c r="BP6" s="221">
        <f t="shared" si="0"/>
        <v>100910497.00878607</v>
      </c>
      <c r="BQ6" s="221">
        <f t="shared" ref="BQ6:DT6" si="1">BQ7</f>
        <v>101919601.97887392</v>
      </c>
      <c r="BR6" s="221">
        <f t="shared" si="1"/>
        <v>102938797.99866267</v>
      </c>
      <c r="BS6" s="221">
        <f t="shared" si="1"/>
        <v>103968185.97864929</v>
      </c>
      <c r="BT6" s="221">
        <f t="shared" si="1"/>
        <v>105007867.83843578</v>
      </c>
      <c r="BU6" s="221">
        <f t="shared" si="1"/>
        <v>106057946.51682015</v>
      </c>
      <c r="BV6" s="221">
        <f t="shared" si="1"/>
        <v>107118525.98198836</v>
      </c>
      <c r="BW6" s="221">
        <f t="shared" si="1"/>
        <v>108189711.24180824</v>
      </c>
      <c r="BX6" s="221">
        <f t="shared" si="1"/>
        <v>109271608.35422632</v>
      </c>
      <c r="BY6" s="221">
        <f t="shared" si="1"/>
        <v>110364324.43776858</v>
      </c>
      <c r="BZ6" s="221">
        <f t="shared" si="1"/>
        <v>111467967.68214627</v>
      </c>
      <c r="CA6" s="221">
        <f t="shared" si="1"/>
        <v>112582647.35896774</v>
      </c>
      <c r="CB6" s="221">
        <f t="shared" si="1"/>
        <v>113708473.83255741</v>
      </c>
      <c r="CC6" s="221">
        <f t="shared" si="1"/>
        <v>114845558.57088299</v>
      </c>
      <c r="CD6" s="221">
        <f t="shared" si="1"/>
        <v>115994014.15659182</v>
      </c>
      <c r="CE6" s="221">
        <f t="shared" si="1"/>
        <v>117153954.29815774</v>
      </c>
      <c r="CF6" s="221">
        <f t="shared" si="1"/>
        <v>118325493.84113932</v>
      </c>
      <c r="CG6" s="221">
        <f t="shared" si="1"/>
        <v>119508748.77955072</v>
      </c>
      <c r="CH6" s="221">
        <f t="shared" si="1"/>
        <v>120703836.26734622</v>
      </c>
      <c r="CI6" s="221">
        <f t="shared" si="1"/>
        <v>121910874.63001968</v>
      </c>
      <c r="CJ6" s="221">
        <f t="shared" si="1"/>
        <v>123129983.37631987</v>
      </c>
      <c r="CK6" s="221">
        <f t="shared" si="1"/>
        <v>124361283.21008307</v>
      </c>
      <c r="CL6" s="221">
        <f t="shared" si="1"/>
        <v>125604896.04218391</v>
      </c>
      <c r="CM6" s="221">
        <f t="shared" si="1"/>
        <v>126860945.00260575</v>
      </c>
      <c r="CN6" s="221">
        <f t="shared" si="1"/>
        <v>128129554.45263182</v>
      </c>
      <c r="CO6" s="221">
        <f t="shared" si="1"/>
        <v>129410849.99715814</v>
      </c>
      <c r="CP6" s="221">
        <f t="shared" si="1"/>
        <v>130704958.49712972</v>
      </c>
      <c r="CQ6" s="221">
        <f t="shared" si="1"/>
        <v>132012008.08210102</v>
      </c>
      <c r="CR6" s="221">
        <f t="shared" si="1"/>
        <v>133332128.16292202</v>
      </c>
      <c r="CS6" s="221">
        <f t="shared" si="1"/>
        <v>134665449.44455126</v>
      </c>
      <c r="CT6" s="221">
        <f t="shared" si="1"/>
        <v>136012103.93899676</v>
      </c>
      <c r="CU6" s="221">
        <f t="shared" si="1"/>
        <v>137372224.97838673</v>
      </c>
      <c r="CV6" s="221">
        <f t="shared" si="1"/>
        <v>138745947.2281706</v>
      </c>
      <c r="CW6" s="221">
        <f t="shared" si="1"/>
        <v>140133406.7004523</v>
      </c>
      <c r="CX6" s="221">
        <f t="shared" si="1"/>
        <v>141534740.76745683</v>
      </c>
      <c r="CY6" s="221">
        <f t="shared" si="1"/>
        <v>142950088.17513141</v>
      </c>
      <c r="CZ6" s="221">
        <f t="shared" si="1"/>
        <v>144379589.05688274</v>
      </c>
      <c r="DA6" s="221">
        <f t="shared" si="1"/>
        <v>145823384.94745156</v>
      </c>
      <c r="DB6" s="221">
        <f t="shared" si="1"/>
        <v>147281618.79692608</v>
      </c>
      <c r="DC6" s="221">
        <f t="shared" si="1"/>
        <v>148754434.98489535</v>
      </c>
      <c r="DD6" s="221">
        <f t="shared" si="1"/>
        <v>150241979.3347443</v>
      </c>
      <c r="DE6" s="221">
        <f t="shared" si="1"/>
        <v>151744399.12809175</v>
      </c>
      <c r="DF6" s="221">
        <f t="shared" si="1"/>
        <v>153261843.11937267</v>
      </c>
      <c r="DG6" s="221">
        <f t="shared" si="1"/>
        <v>154794461.55056641</v>
      </c>
      <c r="DH6" s="221">
        <f t="shared" si="1"/>
        <v>156342406.16607207</v>
      </c>
      <c r="DI6" s="221">
        <f t="shared" si="1"/>
        <v>157905830.22773281</v>
      </c>
      <c r="DJ6" s="221">
        <f t="shared" si="1"/>
        <v>159484888.53001013</v>
      </c>
      <c r="DK6" s="221">
        <f t="shared" si="1"/>
        <v>161079737.41531023</v>
      </c>
      <c r="DL6" s="221">
        <f t="shared" si="1"/>
        <v>162690534.78946334</v>
      </c>
      <c r="DM6" s="221">
        <f t="shared" si="1"/>
        <v>164317440.13735798</v>
      </c>
      <c r="DN6" s="221">
        <f t="shared" si="1"/>
        <v>165960614.53873158</v>
      </c>
      <c r="DO6" s="221">
        <f t="shared" si="1"/>
        <v>167620220.6841189</v>
      </c>
      <c r="DP6" s="221">
        <f t="shared" si="1"/>
        <v>169296422.8909601</v>
      </c>
      <c r="DQ6" s="221">
        <f t="shared" si="1"/>
        <v>170989387.11986971</v>
      </c>
      <c r="DR6" s="221">
        <f t="shared" si="1"/>
        <v>172699280.99106839</v>
      </c>
      <c r="DS6" s="221">
        <f t="shared" si="1"/>
        <v>174426273.80097908</v>
      </c>
      <c r="DT6" s="221">
        <f t="shared" si="1"/>
        <v>176170536.53898886</v>
      </c>
    </row>
    <row r="7" spans="2:124" ht="45" customHeight="1">
      <c r="B7" s="8" t="s">
        <v>420</v>
      </c>
      <c r="C7" s="5" t="s">
        <v>55</v>
      </c>
      <c r="D7" s="80">
        <f>SUM(E7:DT7)</f>
        <v>11718224190.437853</v>
      </c>
      <c r="E7" s="80">
        <v>0</v>
      </c>
      <c r="F7" s="80">
        <v>0</v>
      </c>
      <c r="G7" s="80">
        <v>0</v>
      </c>
      <c r="H7" s="80">
        <v>0</v>
      </c>
      <c r="I7" s="80">
        <v>0</v>
      </c>
      <c r="J7" s="80">
        <v>0</v>
      </c>
      <c r="K7" s="80">
        <v>0</v>
      </c>
      <c r="L7" s="80">
        <v>0</v>
      </c>
      <c r="M7" s="80">
        <v>0</v>
      </c>
      <c r="N7" s="80">
        <v>0</v>
      </c>
      <c r="O7" s="80">
        <v>0</v>
      </c>
      <c r="P7" s="80">
        <v>0</v>
      </c>
      <c r="Q7" s="80">
        <v>60750000</v>
      </c>
      <c r="R7" s="80">
        <f>Q7*1.01</f>
        <v>61357500</v>
      </c>
      <c r="S7" s="80">
        <f t="shared" ref="S7:CD7" si="2">R7*1.01</f>
        <v>61971075</v>
      </c>
      <c r="T7" s="80">
        <f t="shared" si="2"/>
        <v>62590785.75</v>
      </c>
      <c r="U7" s="80">
        <f t="shared" si="2"/>
        <v>63216693.607500002</v>
      </c>
      <c r="V7" s="80">
        <f t="shared" si="2"/>
        <v>63848860.543575004</v>
      </c>
      <c r="W7" s="80">
        <f t="shared" si="2"/>
        <v>64487349.149010755</v>
      </c>
      <c r="X7" s="80">
        <f t="shared" si="2"/>
        <v>65132222.640500866</v>
      </c>
      <c r="Y7" s="80">
        <f t="shared" si="2"/>
        <v>65783544.866905876</v>
      </c>
      <c r="Z7" s="80">
        <f t="shared" si="2"/>
        <v>66441380.315574937</v>
      </c>
      <c r="AA7" s="80">
        <f t="shared" si="2"/>
        <v>67105794.118730687</v>
      </c>
      <c r="AB7" s="80">
        <f t="shared" si="2"/>
        <v>67776852.059918001</v>
      </c>
      <c r="AC7" s="80">
        <f t="shared" si="2"/>
        <v>68454620.580517188</v>
      </c>
      <c r="AD7" s="80">
        <f t="shared" si="2"/>
        <v>69139166.786322355</v>
      </c>
      <c r="AE7" s="80">
        <f t="shared" si="2"/>
        <v>69830558.454185575</v>
      </c>
      <c r="AF7" s="80">
        <f t="shared" si="2"/>
        <v>70528864.038727432</v>
      </c>
      <c r="AG7" s="80">
        <f t="shared" si="2"/>
        <v>71234152.679114714</v>
      </c>
      <c r="AH7" s="80">
        <f t="shared" si="2"/>
        <v>71946494.205905855</v>
      </c>
      <c r="AI7" s="80">
        <f t="shared" si="2"/>
        <v>72665959.14796491</v>
      </c>
      <c r="AJ7" s="80">
        <f t="shared" si="2"/>
        <v>73392618.739444554</v>
      </c>
      <c r="AK7" s="80">
        <f t="shared" si="2"/>
        <v>74126544.926838994</v>
      </c>
      <c r="AL7" s="80">
        <f t="shared" si="2"/>
        <v>74867810.37610738</v>
      </c>
      <c r="AM7" s="80">
        <f t="shared" si="2"/>
        <v>75616488.479868457</v>
      </c>
      <c r="AN7" s="80">
        <f t="shared" si="2"/>
        <v>76372653.364667147</v>
      </c>
      <c r="AO7" s="80">
        <f t="shared" si="2"/>
        <v>77136379.89831382</v>
      </c>
      <c r="AP7" s="80">
        <f t="shared" si="2"/>
        <v>77907743.697296962</v>
      </c>
      <c r="AQ7" s="80">
        <f t="shared" si="2"/>
        <v>78686821.134269938</v>
      </c>
      <c r="AR7" s="80">
        <f t="shared" si="2"/>
        <v>79473689.345612645</v>
      </c>
      <c r="AS7" s="80">
        <f t="shared" si="2"/>
        <v>80268426.239068776</v>
      </c>
      <c r="AT7" s="80">
        <f t="shared" si="2"/>
        <v>81071110.501459464</v>
      </c>
      <c r="AU7" s="80">
        <f t="shared" si="2"/>
        <v>81881821.606474057</v>
      </c>
      <c r="AV7" s="80">
        <f t="shared" si="2"/>
        <v>82700639.822538793</v>
      </c>
      <c r="AW7" s="80">
        <f t="shared" si="2"/>
        <v>83527646.220764175</v>
      </c>
      <c r="AX7" s="80">
        <f t="shared" si="2"/>
        <v>84362922.68297182</v>
      </c>
      <c r="AY7" s="80">
        <f t="shared" si="2"/>
        <v>85206551.909801543</v>
      </c>
      <c r="AZ7" s="80">
        <f t="shared" si="2"/>
        <v>86058617.428899556</v>
      </c>
      <c r="BA7" s="80">
        <f t="shared" si="2"/>
        <v>86919203.603188559</v>
      </c>
      <c r="BB7" s="80">
        <f t="shared" si="2"/>
        <v>87788395.639220446</v>
      </c>
      <c r="BC7" s="80">
        <f t="shared" si="2"/>
        <v>88666279.595612645</v>
      </c>
      <c r="BD7" s="80">
        <f t="shared" si="2"/>
        <v>89552942.391568765</v>
      </c>
      <c r="BE7" s="80">
        <f t="shared" si="2"/>
        <v>90448471.815484449</v>
      </c>
      <c r="BF7" s="80">
        <f t="shared" si="2"/>
        <v>91352956.533639297</v>
      </c>
      <c r="BG7" s="80">
        <f t="shared" si="2"/>
        <v>92266486.098975688</v>
      </c>
      <c r="BH7" s="80">
        <f t="shared" si="2"/>
        <v>93189150.959965453</v>
      </c>
      <c r="BI7" s="80">
        <f t="shared" si="2"/>
        <v>94121042.469565108</v>
      </c>
      <c r="BJ7" s="80">
        <f t="shared" si="2"/>
        <v>95062252.894260764</v>
      </c>
      <c r="BK7" s="80">
        <f t="shared" si="2"/>
        <v>96012875.423203379</v>
      </c>
      <c r="BL7" s="80">
        <f t="shared" si="2"/>
        <v>96973004.177435413</v>
      </c>
      <c r="BM7" s="80">
        <f t="shared" si="2"/>
        <v>97942734.219209775</v>
      </c>
      <c r="BN7" s="80">
        <f t="shared" si="2"/>
        <v>98922161.561401874</v>
      </c>
      <c r="BO7" s="80">
        <f t="shared" si="2"/>
        <v>99911383.177015901</v>
      </c>
      <c r="BP7" s="80">
        <f t="shared" si="2"/>
        <v>100910497.00878607</v>
      </c>
      <c r="BQ7" s="80">
        <f t="shared" si="2"/>
        <v>101919601.97887392</v>
      </c>
      <c r="BR7" s="80">
        <f t="shared" si="2"/>
        <v>102938797.99866267</v>
      </c>
      <c r="BS7" s="80">
        <f t="shared" si="2"/>
        <v>103968185.97864929</v>
      </c>
      <c r="BT7" s="80">
        <f t="shared" si="2"/>
        <v>105007867.83843578</v>
      </c>
      <c r="BU7" s="80">
        <f t="shared" si="2"/>
        <v>106057946.51682015</v>
      </c>
      <c r="BV7" s="80">
        <f t="shared" si="2"/>
        <v>107118525.98198836</v>
      </c>
      <c r="BW7" s="80">
        <f t="shared" si="2"/>
        <v>108189711.24180824</v>
      </c>
      <c r="BX7" s="80">
        <f t="shared" si="2"/>
        <v>109271608.35422632</v>
      </c>
      <c r="BY7" s="80">
        <f t="shared" si="2"/>
        <v>110364324.43776858</v>
      </c>
      <c r="BZ7" s="80">
        <f t="shared" si="2"/>
        <v>111467967.68214627</v>
      </c>
      <c r="CA7" s="80">
        <f t="shared" si="2"/>
        <v>112582647.35896774</v>
      </c>
      <c r="CB7" s="80">
        <f t="shared" si="2"/>
        <v>113708473.83255741</v>
      </c>
      <c r="CC7" s="80">
        <f t="shared" si="2"/>
        <v>114845558.57088299</v>
      </c>
      <c r="CD7" s="80">
        <f t="shared" si="2"/>
        <v>115994014.15659182</v>
      </c>
      <c r="CE7" s="80">
        <f t="shared" ref="CE7:DT7" si="3">CD7*1.01</f>
        <v>117153954.29815774</v>
      </c>
      <c r="CF7" s="80">
        <f t="shared" si="3"/>
        <v>118325493.84113932</v>
      </c>
      <c r="CG7" s="80">
        <f t="shared" si="3"/>
        <v>119508748.77955072</v>
      </c>
      <c r="CH7" s="80">
        <f t="shared" si="3"/>
        <v>120703836.26734622</v>
      </c>
      <c r="CI7" s="80">
        <f t="shared" si="3"/>
        <v>121910874.63001968</v>
      </c>
      <c r="CJ7" s="80">
        <f t="shared" si="3"/>
        <v>123129983.37631987</v>
      </c>
      <c r="CK7" s="80">
        <f t="shared" si="3"/>
        <v>124361283.21008307</v>
      </c>
      <c r="CL7" s="80">
        <f t="shared" si="3"/>
        <v>125604896.04218391</v>
      </c>
      <c r="CM7" s="80">
        <f t="shared" si="3"/>
        <v>126860945.00260575</v>
      </c>
      <c r="CN7" s="80">
        <f t="shared" si="3"/>
        <v>128129554.45263182</v>
      </c>
      <c r="CO7" s="80">
        <f t="shared" si="3"/>
        <v>129410849.99715814</v>
      </c>
      <c r="CP7" s="80">
        <f t="shared" si="3"/>
        <v>130704958.49712972</v>
      </c>
      <c r="CQ7" s="80">
        <f t="shared" si="3"/>
        <v>132012008.08210102</v>
      </c>
      <c r="CR7" s="80">
        <f t="shared" si="3"/>
        <v>133332128.16292202</v>
      </c>
      <c r="CS7" s="80">
        <f t="shared" si="3"/>
        <v>134665449.44455126</v>
      </c>
      <c r="CT7" s="80">
        <f t="shared" si="3"/>
        <v>136012103.93899676</v>
      </c>
      <c r="CU7" s="80">
        <f t="shared" si="3"/>
        <v>137372224.97838673</v>
      </c>
      <c r="CV7" s="80">
        <f t="shared" si="3"/>
        <v>138745947.2281706</v>
      </c>
      <c r="CW7" s="80">
        <f t="shared" si="3"/>
        <v>140133406.7004523</v>
      </c>
      <c r="CX7" s="80">
        <f t="shared" si="3"/>
        <v>141534740.76745683</v>
      </c>
      <c r="CY7" s="80">
        <f t="shared" si="3"/>
        <v>142950088.17513141</v>
      </c>
      <c r="CZ7" s="80">
        <f t="shared" si="3"/>
        <v>144379589.05688274</v>
      </c>
      <c r="DA7" s="80">
        <f t="shared" si="3"/>
        <v>145823384.94745156</v>
      </c>
      <c r="DB7" s="80">
        <f t="shared" si="3"/>
        <v>147281618.79692608</v>
      </c>
      <c r="DC7" s="80">
        <f t="shared" si="3"/>
        <v>148754434.98489535</v>
      </c>
      <c r="DD7" s="80">
        <f t="shared" si="3"/>
        <v>150241979.3347443</v>
      </c>
      <c r="DE7" s="80">
        <f t="shared" si="3"/>
        <v>151744399.12809175</v>
      </c>
      <c r="DF7" s="80">
        <f t="shared" si="3"/>
        <v>153261843.11937267</v>
      </c>
      <c r="DG7" s="80">
        <f t="shared" si="3"/>
        <v>154794461.55056641</v>
      </c>
      <c r="DH7" s="80">
        <f t="shared" si="3"/>
        <v>156342406.16607207</v>
      </c>
      <c r="DI7" s="80">
        <f t="shared" si="3"/>
        <v>157905830.22773281</v>
      </c>
      <c r="DJ7" s="80">
        <f t="shared" si="3"/>
        <v>159484888.53001013</v>
      </c>
      <c r="DK7" s="80">
        <f t="shared" si="3"/>
        <v>161079737.41531023</v>
      </c>
      <c r="DL7" s="80">
        <f t="shared" si="3"/>
        <v>162690534.78946334</v>
      </c>
      <c r="DM7" s="80">
        <f t="shared" si="3"/>
        <v>164317440.13735798</v>
      </c>
      <c r="DN7" s="80">
        <f t="shared" si="3"/>
        <v>165960614.53873158</v>
      </c>
      <c r="DO7" s="80">
        <f t="shared" si="3"/>
        <v>167620220.6841189</v>
      </c>
      <c r="DP7" s="80">
        <f t="shared" si="3"/>
        <v>169296422.8909601</v>
      </c>
      <c r="DQ7" s="80">
        <f t="shared" si="3"/>
        <v>170989387.11986971</v>
      </c>
      <c r="DR7" s="80">
        <f t="shared" si="3"/>
        <v>172699280.99106839</v>
      </c>
      <c r="DS7" s="80">
        <f t="shared" si="3"/>
        <v>174426273.80097908</v>
      </c>
      <c r="DT7" s="80">
        <f t="shared" si="3"/>
        <v>176170536.53898886</v>
      </c>
    </row>
    <row r="8" spans="2:124" s="217" customFormat="1" ht="45" customHeight="1">
      <c r="B8" s="220" t="s">
        <v>443</v>
      </c>
      <c r="C8" s="216" t="s">
        <v>35</v>
      </c>
      <c r="D8" s="218">
        <f>SUM(D9,D12)</f>
        <v>9258843804.7904034</v>
      </c>
      <c r="E8" s="218">
        <f t="shared" ref="E8:BP8" si="4">SUM(E9,E12)</f>
        <v>0</v>
      </c>
      <c r="F8" s="218">
        <f t="shared" si="4"/>
        <v>0</v>
      </c>
      <c r="G8" s="218">
        <f t="shared" si="4"/>
        <v>0</v>
      </c>
      <c r="H8" s="218">
        <f t="shared" si="4"/>
        <v>0</v>
      </c>
      <c r="I8" s="218">
        <f t="shared" si="4"/>
        <v>0</v>
      </c>
      <c r="J8" s="218">
        <f t="shared" si="4"/>
        <v>0</v>
      </c>
      <c r="K8" s="218">
        <f t="shared" si="4"/>
        <v>0</v>
      </c>
      <c r="L8" s="218">
        <f t="shared" si="4"/>
        <v>0</v>
      </c>
      <c r="M8" s="218">
        <f t="shared" si="4"/>
        <v>0</v>
      </c>
      <c r="N8" s="218">
        <f t="shared" si="4"/>
        <v>0</v>
      </c>
      <c r="O8" s="218">
        <f t="shared" si="4"/>
        <v>0</v>
      </c>
      <c r="P8" s="218">
        <f t="shared" si="4"/>
        <v>0</v>
      </c>
      <c r="Q8" s="218">
        <f t="shared" si="4"/>
        <v>48000000</v>
      </c>
      <c r="R8" s="218">
        <f t="shared" si="4"/>
        <v>48480000</v>
      </c>
      <c r="S8" s="218">
        <f t="shared" si="4"/>
        <v>48964800</v>
      </c>
      <c r="T8" s="218">
        <f t="shared" si="4"/>
        <v>49454448</v>
      </c>
      <c r="U8" s="218">
        <f t="shared" si="4"/>
        <v>49948992.480000004</v>
      </c>
      <c r="V8" s="218">
        <f t="shared" si="4"/>
        <v>50448482.404799998</v>
      </c>
      <c r="W8" s="218">
        <f t="shared" si="4"/>
        <v>50952967.228847995</v>
      </c>
      <c r="X8" s="218">
        <f t="shared" si="4"/>
        <v>51462496.90113648</v>
      </c>
      <c r="Y8" s="218">
        <f t="shared" si="4"/>
        <v>51977121.870147847</v>
      </c>
      <c r="Z8" s="218">
        <f t="shared" si="4"/>
        <v>52496893.088849328</v>
      </c>
      <c r="AA8" s="218">
        <f t="shared" si="4"/>
        <v>53021862.019737817</v>
      </c>
      <c r="AB8" s="218">
        <f t="shared" si="4"/>
        <v>53552080.639935195</v>
      </c>
      <c r="AC8" s="218">
        <f t="shared" si="4"/>
        <v>54087601.446334556</v>
      </c>
      <c r="AD8" s="218">
        <f t="shared" si="4"/>
        <v>54628477.460797898</v>
      </c>
      <c r="AE8" s="218">
        <f t="shared" si="4"/>
        <v>55174762.235405877</v>
      </c>
      <c r="AF8" s="218">
        <f t="shared" si="4"/>
        <v>55726509.857759938</v>
      </c>
      <c r="AG8" s="218">
        <f t="shared" si="4"/>
        <v>56283774.956337534</v>
      </c>
      <c r="AH8" s="218">
        <f t="shared" si="4"/>
        <v>56846612.705900915</v>
      </c>
      <c r="AI8" s="218">
        <f t="shared" si="4"/>
        <v>57415078.83295992</v>
      </c>
      <c r="AJ8" s="218">
        <f t="shared" si="4"/>
        <v>57989229.621289521</v>
      </c>
      <c r="AK8" s="218">
        <f t="shared" si="4"/>
        <v>58569121.917502426</v>
      </c>
      <c r="AL8" s="218">
        <f t="shared" si="4"/>
        <v>59154813.136677444</v>
      </c>
      <c r="AM8" s="218">
        <f t="shared" si="4"/>
        <v>59746361.268044218</v>
      </c>
      <c r="AN8" s="218">
        <f t="shared" si="4"/>
        <v>60343824.880724669</v>
      </c>
      <c r="AO8" s="218">
        <f t="shared" si="4"/>
        <v>60947263.12953192</v>
      </c>
      <c r="AP8" s="218">
        <f t="shared" si="4"/>
        <v>61556735.760827236</v>
      </c>
      <c r="AQ8" s="218">
        <f t="shared" si="4"/>
        <v>62172303.11843551</v>
      </c>
      <c r="AR8" s="218">
        <f t="shared" si="4"/>
        <v>62794026.14961987</v>
      </c>
      <c r="AS8" s="218">
        <f t="shared" si="4"/>
        <v>63421966.411116071</v>
      </c>
      <c r="AT8" s="218">
        <f t="shared" si="4"/>
        <v>64056186.075227231</v>
      </c>
      <c r="AU8" s="218">
        <f t="shared" si="4"/>
        <v>64696747.935979508</v>
      </c>
      <c r="AV8" s="218">
        <f t="shared" si="4"/>
        <v>65343715.415339306</v>
      </c>
      <c r="AW8" s="218">
        <f t="shared" si="4"/>
        <v>65997152.569492698</v>
      </c>
      <c r="AX8" s="218">
        <f t="shared" si="4"/>
        <v>66657124.095187627</v>
      </c>
      <c r="AY8" s="218">
        <f t="shared" si="4"/>
        <v>67323695.3361395</v>
      </c>
      <c r="AZ8" s="218">
        <f t="shared" si="4"/>
        <v>67996932.289500892</v>
      </c>
      <c r="BA8" s="218">
        <f t="shared" si="4"/>
        <v>68676901.612395912</v>
      </c>
      <c r="BB8" s="218">
        <f t="shared" si="4"/>
        <v>69363670.628519878</v>
      </c>
      <c r="BC8" s="218">
        <f t="shared" si="4"/>
        <v>70057307.334805071</v>
      </c>
      <c r="BD8" s="218">
        <f t="shared" si="4"/>
        <v>70757880.408153117</v>
      </c>
      <c r="BE8" s="218">
        <f t="shared" si="4"/>
        <v>71465459.212234646</v>
      </c>
      <c r="BF8" s="218">
        <f t="shared" si="4"/>
        <v>72180113.804357007</v>
      </c>
      <c r="BG8" s="218">
        <f t="shared" si="4"/>
        <v>72901914.942400575</v>
      </c>
      <c r="BH8" s="218">
        <f t="shared" si="4"/>
        <v>73630934.091824576</v>
      </c>
      <c r="BI8" s="218">
        <f t="shared" si="4"/>
        <v>74367243.432742819</v>
      </c>
      <c r="BJ8" s="218">
        <f t="shared" si="4"/>
        <v>75110915.867070258</v>
      </c>
      <c r="BK8" s="218">
        <f t="shared" si="4"/>
        <v>75862025.025740966</v>
      </c>
      <c r="BL8" s="218">
        <f t="shared" si="4"/>
        <v>76620645.275998369</v>
      </c>
      <c r="BM8" s="218">
        <f t="shared" si="4"/>
        <v>77386851.72875835</v>
      </c>
      <c r="BN8" s="218">
        <f t="shared" si="4"/>
        <v>78160720.246045947</v>
      </c>
      <c r="BO8" s="218">
        <f t="shared" si="4"/>
        <v>78942327.4485064</v>
      </c>
      <c r="BP8" s="218">
        <f t="shared" si="4"/>
        <v>79731750.722991467</v>
      </c>
      <c r="BQ8" s="218">
        <f t="shared" ref="BQ8:DT8" si="5">SUM(BQ9,BQ12)</f>
        <v>80529068.230221376</v>
      </c>
      <c r="BR8" s="218">
        <f t="shared" si="5"/>
        <v>81334358.912523597</v>
      </c>
      <c r="BS8" s="218">
        <f t="shared" si="5"/>
        <v>82147702.501648843</v>
      </c>
      <c r="BT8" s="218">
        <f t="shared" si="5"/>
        <v>82969179.52666533</v>
      </c>
      <c r="BU8" s="218">
        <f t="shared" si="5"/>
        <v>83798871.321931988</v>
      </c>
      <c r="BV8" s="218">
        <f t="shared" si="5"/>
        <v>84636860.035151303</v>
      </c>
      <c r="BW8" s="218">
        <f t="shared" si="5"/>
        <v>85483228.635502815</v>
      </c>
      <c r="BX8" s="218">
        <f t="shared" si="5"/>
        <v>86338060.921857864</v>
      </c>
      <c r="BY8" s="218">
        <f t="shared" si="5"/>
        <v>87201441.531076431</v>
      </c>
      <c r="BZ8" s="218">
        <f t="shared" si="5"/>
        <v>88073455.946387202</v>
      </c>
      <c r="CA8" s="218">
        <f t="shared" si="5"/>
        <v>88954190.50585109</v>
      </c>
      <c r="CB8" s="218">
        <f t="shared" si="5"/>
        <v>89843732.410909593</v>
      </c>
      <c r="CC8" s="218">
        <f t="shared" si="5"/>
        <v>90742169.7350187</v>
      </c>
      <c r="CD8" s="218">
        <f t="shared" si="5"/>
        <v>91649591.432368889</v>
      </c>
      <c r="CE8" s="218">
        <f t="shared" si="5"/>
        <v>92566087.346692592</v>
      </c>
      <c r="CF8" s="218">
        <f t="shared" si="5"/>
        <v>93491748.220159516</v>
      </c>
      <c r="CG8" s="218">
        <f t="shared" si="5"/>
        <v>94426665.702361107</v>
      </c>
      <c r="CH8" s="218">
        <f t="shared" si="5"/>
        <v>95370932.359384716</v>
      </c>
      <c r="CI8" s="218">
        <f t="shared" si="5"/>
        <v>96324641.682978556</v>
      </c>
      <c r="CJ8" s="218">
        <f t="shared" si="5"/>
        <v>97287888.09980835</v>
      </c>
      <c r="CK8" s="218">
        <f t="shared" si="5"/>
        <v>98260766.98080644</v>
      </c>
      <c r="CL8" s="218">
        <f t="shared" si="5"/>
        <v>99243374.6506145</v>
      </c>
      <c r="CM8" s="218">
        <f t="shared" si="5"/>
        <v>100235808.39712065</v>
      </c>
      <c r="CN8" s="218">
        <f t="shared" si="5"/>
        <v>101238166.48109186</v>
      </c>
      <c r="CO8" s="218">
        <f t="shared" si="5"/>
        <v>102250548.14590278</v>
      </c>
      <c r="CP8" s="218">
        <f t="shared" si="5"/>
        <v>103273053.6273618</v>
      </c>
      <c r="CQ8" s="218">
        <f t="shared" si="5"/>
        <v>104305784.16363542</v>
      </c>
      <c r="CR8" s="218">
        <f t="shared" si="5"/>
        <v>105348842.00527176</v>
      </c>
      <c r="CS8" s="218">
        <f t="shared" si="5"/>
        <v>106402330.4253245</v>
      </c>
      <c r="CT8" s="218">
        <f t="shared" si="5"/>
        <v>107466353.72957775</v>
      </c>
      <c r="CU8" s="218">
        <f t="shared" si="5"/>
        <v>108541017.26687352</v>
      </c>
      <c r="CV8" s="218">
        <f t="shared" si="5"/>
        <v>109626427.43954226</v>
      </c>
      <c r="CW8" s="218">
        <f t="shared" si="5"/>
        <v>110722691.71393768</v>
      </c>
      <c r="CX8" s="218">
        <f t="shared" si="5"/>
        <v>111829918.63107707</v>
      </c>
      <c r="CY8" s="218">
        <f t="shared" si="5"/>
        <v>112948217.81738783</v>
      </c>
      <c r="CZ8" s="218">
        <f t="shared" si="5"/>
        <v>114077699.9955617</v>
      </c>
      <c r="DA8" s="218">
        <f t="shared" si="5"/>
        <v>115218476.99551733</v>
      </c>
      <c r="DB8" s="218">
        <f t="shared" si="5"/>
        <v>116370661.7654725</v>
      </c>
      <c r="DC8" s="218">
        <f t="shared" si="5"/>
        <v>117534368.38312723</v>
      </c>
      <c r="DD8" s="218">
        <f t="shared" si="5"/>
        <v>118709712.0669585</v>
      </c>
      <c r="DE8" s="218">
        <f t="shared" si="5"/>
        <v>119896809.18762809</v>
      </c>
      <c r="DF8" s="218">
        <f t="shared" si="5"/>
        <v>121095777.27950436</v>
      </c>
      <c r="DG8" s="218">
        <f t="shared" si="5"/>
        <v>122306735.05229941</v>
      </c>
      <c r="DH8" s="218">
        <f t="shared" si="5"/>
        <v>123529802.40282241</v>
      </c>
      <c r="DI8" s="218">
        <f t="shared" si="5"/>
        <v>124765100.42685063</v>
      </c>
      <c r="DJ8" s="218">
        <f t="shared" si="5"/>
        <v>126012751.43111913</v>
      </c>
      <c r="DK8" s="218">
        <f t="shared" si="5"/>
        <v>127272878.94543032</v>
      </c>
      <c r="DL8" s="218">
        <f t="shared" si="5"/>
        <v>128545607.73488462</v>
      </c>
      <c r="DM8" s="218">
        <f t="shared" si="5"/>
        <v>129831063.81223348</v>
      </c>
      <c r="DN8" s="218">
        <f t="shared" si="5"/>
        <v>131129374.45035583</v>
      </c>
      <c r="DO8" s="218">
        <f t="shared" si="5"/>
        <v>132440668.19485939</v>
      </c>
      <c r="DP8" s="218">
        <f t="shared" si="5"/>
        <v>133765074.87680797</v>
      </c>
      <c r="DQ8" s="218">
        <f t="shared" si="5"/>
        <v>135102725.62557605</v>
      </c>
      <c r="DR8" s="218">
        <f t="shared" si="5"/>
        <v>136453752.88183182</v>
      </c>
      <c r="DS8" s="218">
        <f t="shared" si="5"/>
        <v>137818290.41065013</v>
      </c>
      <c r="DT8" s="218">
        <f t="shared" si="5"/>
        <v>139196473.31475663</v>
      </c>
    </row>
    <row r="9" spans="2:124" ht="30">
      <c r="B9" s="8" t="s">
        <v>435</v>
      </c>
      <c r="C9" s="5" t="s">
        <v>35</v>
      </c>
      <c r="D9" s="80">
        <f t="shared" ref="D9:D15" si="6">SUM(E9:DT9)</f>
        <v>1591363778.94835</v>
      </c>
      <c r="E9" s="80">
        <v>0</v>
      </c>
      <c r="F9" s="80">
        <f t="shared" ref="F9" si="7">E9*1.01</f>
        <v>0</v>
      </c>
      <c r="G9" s="80">
        <f t="shared" ref="G9" si="8">F9*1.01</f>
        <v>0</v>
      </c>
      <c r="H9" s="80">
        <f t="shared" ref="H9" si="9">G9*1.01</f>
        <v>0</v>
      </c>
      <c r="I9" s="80">
        <f t="shared" ref="I9" si="10">H9*1.01</f>
        <v>0</v>
      </c>
      <c r="J9" s="80">
        <f t="shared" ref="J9" si="11">I9*1.01</f>
        <v>0</v>
      </c>
      <c r="K9" s="80">
        <f t="shared" ref="K9" si="12">J9*1.01</f>
        <v>0</v>
      </c>
      <c r="L9" s="80">
        <f t="shared" ref="L9" si="13">K9*1.01</f>
        <v>0</v>
      </c>
      <c r="M9" s="80">
        <f t="shared" ref="M9" si="14">L9*1.01</f>
        <v>0</v>
      </c>
      <c r="N9" s="80">
        <f t="shared" ref="N9" si="15">M9*1.01</f>
        <v>0</v>
      </c>
      <c r="O9" s="80">
        <f t="shared" ref="O9" si="16">N9*1.01</f>
        <v>0</v>
      </c>
      <c r="P9" s="80">
        <f t="shared" ref="P9" si="17">O9*1.01</f>
        <v>0</v>
      </c>
      <c r="Q9" s="80">
        <v>8250000</v>
      </c>
      <c r="R9" s="80">
        <f t="shared" ref="R9:R12" si="18">Q9*1.01</f>
        <v>8332500</v>
      </c>
      <c r="S9" s="80">
        <f t="shared" ref="S9:S12" si="19">R9*1.01</f>
        <v>8415825</v>
      </c>
      <c r="T9" s="80">
        <f t="shared" ref="T9:T12" si="20">S9*1.01</f>
        <v>8499983.25</v>
      </c>
      <c r="U9" s="80">
        <f t="shared" ref="U9:U12" si="21">T9*1.01</f>
        <v>8584983.0824999996</v>
      </c>
      <c r="V9" s="80">
        <f t="shared" ref="V9:V12" si="22">U9*1.01</f>
        <v>8670832.9133250006</v>
      </c>
      <c r="W9" s="80">
        <f t="shared" ref="W9:W12" si="23">V9*1.01</f>
        <v>8757541.2424582504</v>
      </c>
      <c r="X9" s="80">
        <f t="shared" ref="X9:X12" si="24">W9*1.01</f>
        <v>8845116.6548828334</v>
      </c>
      <c r="Y9" s="80">
        <f t="shared" ref="Y9:Y12" si="25">X9*1.01</f>
        <v>8933567.821431661</v>
      </c>
      <c r="Z9" s="80">
        <f t="shared" ref="Z9:Z12" si="26">Y9*1.01</f>
        <v>9022903.4996459782</v>
      </c>
      <c r="AA9" s="80">
        <f t="shared" ref="AA9:AA12" si="27">Z9*1.01</f>
        <v>9113132.5346424375</v>
      </c>
      <c r="AB9" s="80">
        <f t="shared" ref="AB9:AB12" si="28">AA9*1.01</f>
        <v>9204263.8599888626</v>
      </c>
      <c r="AC9" s="80">
        <f t="shared" ref="AC9:AC12" si="29">AB9*1.01</f>
        <v>9296306.498588752</v>
      </c>
      <c r="AD9" s="80">
        <f t="shared" ref="AD9:AD12" si="30">AC9*1.01</f>
        <v>9389269.5635746401</v>
      </c>
      <c r="AE9" s="80">
        <f t="shared" ref="AE9:AE12" si="31">AD9*1.01</f>
        <v>9483162.2592103872</v>
      </c>
      <c r="AF9" s="80">
        <f t="shared" ref="AF9:AF12" si="32">AE9*1.01</f>
        <v>9577993.8818024918</v>
      </c>
      <c r="AG9" s="80">
        <f t="shared" ref="AG9:AG12" si="33">AF9*1.01</f>
        <v>9673773.8206205163</v>
      </c>
      <c r="AH9" s="80">
        <f t="shared" ref="AH9:AH12" si="34">AG9*1.01</f>
        <v>9770511.5588267222</v>
      </c>
      <c r="AI9" s="80">
        <f t="shared" ref="AI9:AI12" si="35">AH9*1.01</f>
        <v>9868216.6744149886</v>
      </c>
      <c r="AJ9" s="80">
        <f t="shared" ref="AJ9:AJ12" si="36">AI9*1.01</f>
        <v>9966898.8411591388</v>
      </c>
      <c r="AK9" s="80">
        <f t="shared" ref="AK9:AK12" si="37">AJ9*1.01</f>
        <v>10066567.829570731</v>
      </c>
      <c r="AL9" s="80">
        <f t="shared" ref="AL9:AL12" si="38">AK9*1.01</f>
        <v>10167233.507866438</v>
      </c>
      <c r="AM9" s="80">
        <f t="shared" ref="AM9:AM12" si="39">AL9*1.01</f>
        <v>10268905.842945103</v>
      </c>
      <c r="AN9" s="80">
        <f t="shared" ref="AN9:AN12" si="40">AM9*1.01</f>
        <v>10371594.901374554</v>
      </c>
      <c r="AO9" s="80">
        <f t="shared" ref="AO9:AO12" si="41">AN9*1.01</f>
        <v>10475310.8503883</v>
      </c>
      <c r="AP9" s="80">
        <f t="shared" ref="AP9:AP12" si="42">AO9*1.01</f>
        <v>10580063.958892183</v>
      </c>
      <c r="AQ9" s="80">
        <f t="shared" ref="AQ9:AQ12" si="43">AP9*1.01</f>
        <v>10685864.598481106</v>
      </c>
      <c r="AR9" s="80">
        <f t="shared" ref="AR9:AR12" si="44">AQ9*1.01</f>
        <v>10792723.244465917</v>
      </c>
      <c r="AS9" s="80">
        <f t="shared" ref="AS9:AS12" si="45">AR9*1.01</f>
        <v>10900650.476910576</v>
      </c>
      <c r="AT9" s="80">
        <f t="shared" ref="AT9:AT12" si="46">AS9*1.01</f>
        <v>11009656.981679682</v>
      </c>
      <c r="AU9" s="80">
        <f t="shared" ref="AU9:AU12" si="47">AT9*1.01</f>
        <v>11119753.551496478</v>
      </c>
      <c r="AV9" s="80">
        <f t="shared" ref="AV9:AV12" si="48">AU9*1.01</f>
        <v>11230951.087011443</v>
      </c>
      <c r="AW9" s="80">
        <f t="shared" ref="AW9:AW12" si="49">AV9*1.01</f>
        <v>11343260.597881557</v>
      </c>
      <c r="AX9" s="80">
        <f t="shared" ref="AX9:AX12" si="50">AW9*1.01</f>
        <v>11456693.203860372</v>
      </c>
      <c r="AY9" s="80">
        <f t="shared" ref="AY9:AY12" si="51">AX9*1.01</f>
        <v>11571260.135898976</v>
      </c>
      <c r="AZ9" s="80">
        <f t="shared" ref="AZ9:AZ12" si="52">AY9*1.01</f>
        <v>11686972.737257965</v>
      </c>
      <c r="BA9" s="80">
        <f t="shared" ref="BA9:BA12" si="53">AZ9*1.01</f>
        <v>11803842.464630544</v>
      </c>
      <c r="BB9" s="80">
        <f t="shared" ref="BB9:BB12" si="54">BA9*1.01</f>
        <v>11921880.889276849</v>
      </c>
      <c r="BC9" s="80">
        <f t="shared" ref="BC9:BC12" si="55">BB9*1.01</f>
        <v>12041099.698169617</v>
      </c>
      <c r="BD9" s="80">
        <f t="shared" ref="BD9:BD12" si="56">BC9*1.01</f>
        <v>12161510.695151314</v>
      </c>
      <c r="BE9" s="80">
        <f t="shared" ref="BE9:BE12" si="57">BD9*1.01</f>
        <v>12283125.802102827</v>
      </c>
      <c r="BF9" s="80">
        <f t="shared" ref="BF9:BF12" si="58">BE9*1.01</f>
        <v>12405957.060123855</v>
      </c>
      <c r="BG9" s="80">
        <f t="shared" ref="BG9:BG12" si="59">BF9*1.01</f>
        <v>12530016.630725093</v>
      </c>
      <c r="BH9" s="80">
        <f t="shared" ref="BH9:BH12" si="60">BG9*1.01</f>
        <v>12655316.797032345</v>
      </c>
      <c r="BI9" s="80">
        <f t="shared" ref="BI9:BI12" si="61">BH9*1.01</f>
        <v>12781869.965002669</v>
      </c>
      <c r="BJ9" s="80">
        <f t="shared" ref="BJ9:BJ12" si="62">BI9*1.01</f>
        <v>12909688.664652696</v>
      </c>
      <c r="BK9" s="80">
        <f t="shared" ref="BK9:BK12" si="63">BJ9*1.01</f>
        <v>13038785.551299224</v>
      </c>
      <c r="BL9" s="80">
        <f t="shared" ref="BL9:BL12" si="64">BK9*1.01</f>
        <v>13169173.406812215</v>
      </c>
      <c r="BM9" s="80">
        <f t="shared" ref="BM9:BM12" si="65">BL9*1.01</f>
        <v>13300865.140880337</v>
      </c>
      <c r="BN9" s="80">
        <f t="shared" ref="BN9:BN12" si="66">BM9*1.01</f>
        <v>13433873.79228914</v>
      </c>
      <c r="BO9" s="80">
        <f t="shared" ref="BO9:BO12" si="67">BN9*1.01</f>
        <v>13568212.530212032</v>
      </c>
      <c r="BP9" s="80">
        <f t="shared" ref="BP9:BP12" si="68">BO9*1.01</f>
        <v>13703894.655514153</v>
      </c>
      <c r="BQ9" s="80">
        <f t="shared" ref="BQ9:BQ12" si="69">BP9*1.01</f>
        <v>13840933.602069294</v>
      </c>
      <c r="BR9" s="80">
        <f t="shared" ref="BR9:BR12" si="70">BQ9*1.01</f>
        <v>13979342.938089987</v>
      </c>
      <c r="BS9" s="80">
        <f t="shared" ref="BS9:BS12" si="71">BR9*1.01</f>
        <v>14119136.367470887</v>
      </c>
      <c r="BT9" s="80">
        <f t="shared" ref="BT9:BT12" si="72">BS9*1.01</f>
        <v>14260327.731145596</v>
      </c>
      <c r="BU9" s="80">
        <f t="shared" ref="BU9:BU12" si="73">BT9*1.01</f>
        <v>14402931.008457052</v>
      </c>
      <c r="BV9" s="80">
        <f t="shared" ref="BV9:BV12" si="74">BU9*1.01</f>
        <v>14546960.318541622</v>
      </c>
      <c r="BW9" s="80">
        <f t="shared" ref="BW9:BW12" si="75">BV9*1.01</f>
        <v>14692429.921727039</v>
      </c>
      <c r="BX9" s="80">
        <f t="shared" ref="BX9:BX12" si="76">BW9*1.01</f>
        <v>14839354.22094431</v>
      </c>
      <c r="BY9" s="80">
        <f t="shared" ref="BY9:BY12" si="77">BX9*1.01</f>
        <v>14987747.763153752</v>
      </c>
      <c r="BZ9" s="80">
        <f t="shared" ref="BZ9:BZ12" si="78">BY9*1.01</f>
        <v>15137625.24078529</v>
      </c>
      <c r="CA9" s="80">
        <f t="shared" ref="CA9:CA12" si="79">BZ9*1.01</f>
        <v>15289001.493193142</v>
      </c>
      <c r="CB9" s="80">
        <f t="shared" ref="CB9:CB12" si="80">CA9*1.01</f>
        <v>15441891.508125074</v>
      </c>
      <c r="CC9" s="80">
        <f t="shared" ref="CC9:CC12" si="81">CB9*1.01</f>
        <v>15596310.423206326</v>
      </c>
      <c r="CD9" s="80">
        <f t="shared" ref="CD9:CD12" si="82">CC9*1.01</f>
        <v>15752273.527438389</v>
      </c>
      <c r="CE9" s="80">
        <f t="shared" ref="CE9:CE12" si="83">CD9*1.01</f>
        <v>15909796.262712773</v>
      </c>
      <c r="CF9" s="80">
        <f t="shared" ref="CF9:CF12" si="84">CE9*1.01</f>
        <v>16068894.225339901</v>
      </c>
      <c r="CG9" s="80">
        <f t="shared" ref="CG9:CG12" si="85">CF9*1.01</f>
        <v>16229583.1675933</v>
      </c>
      <c r="CH9" s="80">
        <f t="shared" ref="CH9:CH12" si="86">CG9*1.01</f>
        <v>16391878.999269234</v>
      </c>
      <c r="CI9" s="80">
        <f t="shared" ref="CI9:CI12" si="87">CH9*1.01</f>
        <v>16555797.789261926</v>
      </c>
      <c r="CJ9" s="80">
        <f t="shared" ref="CJ9:CJ12" si="88">CI9*1.01</f>
        <v>16721355.767154545</v>
      </c>
      <c r="CK9" s="80">
        <f t="shared" ref="CK9:CK12" si="89">CJ9*1.01</f>
        <v>16888569.324826092</v>
      </c>
      <c r="CL9" s="80">
        <f t="shared" ref="CL9:CL12" si="90">CK9*1.01</f>
        <v>17057455.018074352</v>
      </c>
      <c r="CM9" s="80">
        <f t="shared" ref="CM9:CM12" si="91">CL9*1.01</f>
        <v>17228029.568255097</v>
      </c>
      <c r="CN9" s="80">
        <f t="shared" ref="CN9:CN12" si="92">CM9*1.01</f>
        <v>17400309.863937646</v>
      </c>
      <c r="CO9" s="80">
        <f t="shared" ref="CO9:CO12" si="93">CN9*1.01</f>
        <v>17574312.962577023</v>
      </c>
      <c r="CP9" s="80">
        <f t="shared" ref="CP9:CP12" si="94">CO9*1.01</f>
        <v>17750056.092202794</v>
      </c>
      <c r="CQ9" s="80">
        <f t="shared" ref="CQ9:CQ12" si="95">CP9*1.01</f>
        <v>17927556.65312482</v>
      </c>
      <c r="CR9" s="80">
        <f t="shared" ref="CR9:CR12" si="96">CQ9*1.01</f>
        <v>18106832.219656069</v>
      </c>
      <c r="CS9" s="80">
        <f t="shared" ref="CS9:CS12" si="97">CR9*1.01</f>
        <v>18287900.541852631</v>
      </c>
      <c r="CT9" s="80">
        <f t="shared" ref="CT9:CT12" si="98">CS9*1.01</f>
        <v>18470779.547271159</v>
      </c>
      <c r="CU9" s="80">
        <f t="shared" ref="CU9:CU12" si="99">CT9*1.01</f>
        <v>18655487.34274387</v>
      </c>
      <c r="CV9" s="80">
        <f t="shared" ref="CV9:CV12" si="100">CU9*1.01</f>
        <v>18842042.216171309</v>
      </c>
      <c r="CW9" s="80">
        <f t="shared" ref="CW9:CW12" si="101">CV9*1.01</f>
        <v>19030462.638333023</v>
      </c>
      <c r="CX9" s="80">
        <f t="shared" ref="CX9:CX12" si="102">CW9*1.01</f>
        <v>19220767.264716353</v>
      </c>
      <c r="CY9" s="80">
        <f t="shared" ref="CY9:CY12" si="103">CX9*1.01</f>
        <v>19412974.937363517</v>
      </c>
      <c r="CZ9" s="80">
        <f t="shared" ref="CZ9:CZ12" si="104">CY9*1.01</f>
        <v>19607104.686737154</v>
      </c>
      <c r="DA9" s="80">
        <f t="shared" ref="DA9:DA12" si="105">CZ9*1.01</f>
        <v>19803175.733604524</v>
      </c>
      <c r="DB9" s="80">
        <f t="shared" ref="DB9:DB12" si="106">DA9*1.01</f>
        <v>20001207.490940571</v>
      </c>
      <c r="DC9" s="80">
        <f t="shared" ref="DC9:DC12" si="107">DB9*1.01</f>
        <v>20201219.565849978</v>
      </c>
      <c r="DD9" s="80">
        <f t="shared" ref="DD9:DD12" si="108">DC9*1.01</f>
        <v>20403231.76150848</v>
      </c>
      <c r="DE9" s="80">
        <f t="shared" ref="DE9:DE12" si="109">DD9*1.01</f>
        <v>20607264.079123564</v>
      </c>
      <c r="DF9" s="80">
        <f t="shared" ref="DF9:DF12" si="110">DE9*1.01</f>
        <v>20813336.719914801</v>
      </c>
      <c r="DG9" s="80">
        <f t="shared" ref="DG9:DG12" si="111">DF9*1.01</f>
        <v>21021470.08711395</v>
      </c>
      <c r="DH9" s="80">
        <f t="shared" ref="DH9:DH12" si="112">DG9*1.01</f>
        <v>21231684.78798509</v>
      </c>
      <c r="DI9" s="80">
        <f t="shared" ref="DI9:DI12" si="113">DH9*1.01</f>
        <v>21444001.63586494</v>
      </c>
      <c r="DJ9" s="80">
        <f t="shared" ref="DJ9:DJ12" si="114">DI9*1.01</f>
        <v>21658441.652223591</v>
      </c>
      <c r="DK9" s="80">
        <f t="shared" ref="DK9:DK12" si="115">DJ9*1.01</f>
        <v>21875026.068745825</v>
      </c>
      <c r="DL9" s="80">
        <f t="shared" ref="DL9:DL12" si="116">DK9*1.01</f>
        <v>22093776.329433285</v>
      </c>
      <c r="DM9" s="80">
        <f t="shared" ref="DM9:DM12" si="117">DL9*1.01</f>
        <v>22314714.092727616</v>
      </c>
      <c r="DN9" s="80">
        <f t="shared" ref="DN9:DN12" si="118">DM9*1.01</f>
        <v>22537861.233654894</v>
      </c>
      <c r="DO9" s="80">
        <f t="shared" ref="DO9:DO12" si="119">DN9*1.01</f>
        <v>22763239.845991444</v>
      </c>
      <c r="DP9" s="80">
        <f t="shared" ref="DP9:DP12" si="120">DO9*1.01</f>
        <v>22990872.244451359</v>
      </c>
      <c r="DQ9" s="80">
        <f t="shared" ref="DQ9:DQ12" si="121">DP9*1.01</f>
        <v>23220780.966895871</v>
      </c>
      <c r="DR9" s="80">
        <f t="shared" ref="DR9:DR12" si="122">DQ9*1.01</f>
        <v>23452988.776564829</v>
      </c>
      <c r="DS9" s="80">
        <f t="shared" ref="DS9:DS12" si="123">DR9*1.01</f>
        <v>23687518.664330479</v>
      </c>
      <c r="DT9" s="80">
        <f t="shared" ref="DT9:DT12" si="124">DS9*1.01</f>
        <v>23924393.850973785</v>
      </c>
    </row>
    <row r="10" spans="2:124" ht="45">
      <c r="B10" s="8" t="s">
        <v>438</v>
      </c>
      <c r="C10" s="5" t="s">
        <v>35</v>
      </c>
      <c r="D10" s="80">
        <f t="shared" si="6"/>
        <v>9720000000</v>
      </c>
      <c r="E10" s="80">
        <v>0</v>
      </c>
      <c r="F10" s="80">
        <v>0</v>
      </c>
      <c r="G10" s="80">
        <v>0</v>
      </c>
      <c r="H10" s="80">
        <v>0</v>
      </c>
      <c r="I10" s="80">
        <v>0</v>
      </c>
      <c r="J10" s="80">
        <v>0</v>
      </c>
      <c r="K10" s="80">
        <v>0</v>
      </c>
      <c r="L10" s="80">
        <v>0</v>
      </c>
      <c r="M10" s="80">
        <v>0</v>
      </c>
      <c r="N10" s="80">
        <v>0</v>
      </c>
      <c r="O10" s="80">
        <v>0</v>
      </c>
      <c r="P10" s="80">
        <v>0</v>
      </c>
      <c r="Q10" s="80">
        <v>90000000</v>
      </c>
      <c r="R10" s="80">
        <v>90000000</v>
      </c>
      <c r="S10" s="80">
        <v>90000000</v>
      </c>
      <c r="T10" s="80">
        <v>90000000</v>
      </c>
      <c r="U10" s="80">
        <v>90000000</v>
      </c>
      <c r="V10" s="80">
        <v>90000000</v>
      </c>
      <c r="W10" s="80">
        <v>90000000</v>
      </c>
      <c r="X10" s="80">
        <v>90000000</v>
      </c>
      <c r="Y10" s="80">
        <v>90000000</v>
      </c>
      <c r="Z10" s="80">
        <v>90000000</v>
      </c>
      <c r="AA10" s="80">
        <v>90000000</v>
      </c>
      <c r="AB10" s="80">
        <v>90000000</v>
      </c>
      <c r="AC10" s="80">
        <v>90000000</v>
      </c>
      <c r="AD10" s="80">
        <v>90000000</v>
      </c>
      <c r="AE10" s="80">
        <v>90000000</v>
      </c>
      <c r="AF10" s="80">
        <v>90000000</v>
      </c>
      <c r="AG10" s="80">
        <v>90000000</v>
      </c>
      <c r="AH10" s="80">
        <v>90000000</v>
      </c>
      <c r="AI10" s="80">
        <v>90000000</v>
      </c>
      <c r="AJ10" s="80">
        <v>90000000</v>
      </c>
      <c r="AK10" s="80">
        <v>90000000</v>
      </c>
      <c r="AL10" s="80">
        <v>90000000</v>
      </c>
      <c r="AM10" s="80">
        <v>90000000</v>
      </c>
      <c r="AN10" s="80">
        <v>90000000</v>
      </c>
      <c r="AO10" s="80">
        <v>90000000</v>
      </c>
      <c r="AP10" s="80">
        <v>90000000</v>
      </c>
      <c r="AQ10" s="80">
        <v>90000000</v>
      </c>
      <c r="AR10" s="80">
        <v>90000000</v>
      </c>
      <c r="AS10" s="80">
        <v>90000000</v>
      </c>
      <c r="AT10" s="80">
        <v>90000000</v>
      </c>
      <c r="AU10" s="80">
        <v>90000000</v>
      </c>
      <c r="AV10" s="80">
        <v>90000000</v>
      </c>
      <c r="AW10" s="80">
        <v>90000000</v>
      </c>
      <c r="AX10" s="80">
        <v>90000000</v>
      </c>
      <c r="AY10" s="80">
        <v>90000000</v>
      </c>
      <c r="AZ10" s="80">
        <v>90000000</v>
      </c>
      <c r="BA10" s="80">
        <v>90000000</v>
      </c>
      <c r="BB10" s="80">
        <v>90000000</v>
      </c>
      <c r="BC10" s="80">
        <v>90000000</v>
      </c>
      <c r="BD10" s="80">
        <v>90000000</v>
      </c>
      <c r="BE10" s="80">
        <v>90000000</v>
      </c>
      <c r="BF10" s="80">
        <v>90000000</v>
      </c>
      <c r="BG10" s="80">
        <v>90000000</v>
      </c>
      <c r="BH10" s="80">
        <v>90000000</v>
      </c>
      <c r="BI10" s="80">
        <v>90000000</v>
      </c>
      <c r="BJ10" s="80">
        <v>90000000</v>
      </c>
      <c r="BK10" s="80">
        <v>90000000</v>
      </c>
      <c r="BL10" s="80">
        <v>90000000</v>
      </c>
      <c r="BM10" s="80">
        <v>90000000</v>
      </c>
      <c r="BN10" s="80">
        <v>90000000</v>
      </c>
      <c r="BO10" s="80">
        <v>90000000</v>
      </c>
      <c r="BP10" s="80">
        <v>90000000</v>
      </c>
      <c r="BQ10" s="80">
        <v>90000000</v>
      </c>
      <c r="BR10" s="80">
        <v>90000000</v>
      </c>
      <c r="BS10" s="80">
        <v>90000000</v>
      </c>
      <c r="BT10" s="80">
        <v>90000000</v>
      </c>
      <c r="BU10" s="80">
        <v>90000000</v>
      </c>
      <c r="BV10" s="80">
        <v>90000000</v>
      </c>
      <c r="BW10" s="80">
        <v>90000000</v>
      </c>
      <c r="BX10" s="80">
        <v>90000000</v>
      </c>
      <c r="BY10" s="80">
        <v>90000000</v>
      </c>
      <c r="BZ10" s="80">
        <v>90000000</v>
      </c>
      <c r="CA10" s="80">
        <v>90000000</v>
      </c>
      <c r="CB10" s="80">
        <v>90000000</v>
      </c>
      <c r="CC10" s="80">
        <v>90000000</v>
      </c>
      <c r="CD10" s="80">
        <v>90000000</v>
      </c>
      <c r="CE10" s="80">
        <v>90000000</v>
      </c>
      <c r="CF10" s="80">
        <v>90000000</v>
      </c>
      <c r="CG10" s="80">
        <v>90000000</v>
      </c>
      <c r="CH10" s="80">
        <v>90000000</v>
      </c>
      <c r="CI10" s="80">
        <v>90000000</v>
      </c>
      <c r="CJ10" s="80">
        <v>90000000</v>
      </c>
      <c r="CK10" s="80">
        <v>90000000</v>
      </c>
      <c r="CL10" s="80">
        <v>90000000</v>
      </c>
      <c r="CM10" s="80">
        <v>90000000</v>
      </c>
      <c r="CN10" s="80">
        <v>90000000</v>
      </c>
      <c r="CO10" s="80">
        <v>90000000</v>
      </c>
      <c r="CP10" s="80">
        <v>90000000</v>
      </c>
      <c r="CQ10" s="80">
        <v>90000000</v>
      </c>
      <c r="CR10" s="80">
        <v>90000000</v>
      </c>
      <c r="CS10" s="80">
        <v>90000000</v>
      </c>
      <c r="CT10" s="80">
        <v>90000000</v>
      </c>
      <c r="CU10" s="80">
        <v>90000000</v>
      </c>
      <c r="CV10" s="80">
        <v>90000000</v>
      </c>
      <c r="CW10" s="80">
        <v>90000000</v>
      </c>
      <c r="CX10" s="80">
        <v>90000000</v>
      </c>
      <c r="CY10" s="80">
        <v>90000000</v>
      </c>
      <c r="CZ10" s="80">
        <v>90000000</v>
      </c>
      <c r="DA10" s="80">
        <v>90000000</v>
      </c>
      <c r="DB10" s="80">
        <v>90000000</v>
      </c>
      <c r="DC10" s="80">
        <v>90000000</v>
      </c>
      <c r="DD10" s="80">
        <v>90000000</v>
      </c>
      <c r="DE10" s="80">
        <v>90000000</v>
      </c>
      <c r="DF10" s="80">
        <v>90000000</v>
      </c>
      <c r="DG10" s="80">
        <v>90000000</v>
      </c>
      <c r="DH10" s="80">
        <v>90000000</v>
      </c>
      <c r="DI10" s="80">
        <v>90000000</v>
      </c>
      <c r="DJ10" s="80">
        <v>90000000</v>
      </c>
      <c r="DK10" s="80">
        <v>90000000</v>
      </c>
      <c r="DL10" s="80">
        <v>90000000</v>
      </c>
      <c r="DM10" s="80">
        <v>90000000</v>
      </c>
      <c r="DN10" s="80">
        <v>90000000</v>
      </c>
      <c r="DO10" s="80">
        <v>90000000</v>
      </c>
      <c r="DP10" s="80">
        <v>90000000</v>
      </c>
      <c r="DQ10" s="80">
        <v>90000000</v>
      </c>
      <c r="DR10" s="80">
        <v>90000000</v>
      </c>
      <c r="DS10" s="80">
        <v>90000000</v>
      </c>
      <c r="DT10" s="80">
        <v>90000000</v>
      </c>
    </row>
    <row r="11" spans="2:124" ht="45">
      <c r="B11" s="8" t="s">
        <v>436</v>
      </c>
      <c r="C11" s="5" t="s">
        <v>35</v>
      </c>
      <c r="D11" s="80">
        <f t="shared" si="6"/>
        <v>8128636221.0516481</v>
      </c>
      <c r="E11" s="80">
        <v>0</v>
      </c>
      <c r="F11" s="80">
        <v>0</v>
      </c>
      <c r="G11" s="80">
        <v>0</v>
      </c>
      <c r="H11" s="80">
        <v>0</v>
      </c>
      <c r="I11" s="80">
        <v>0</v>
      </c>
      <c r="J11" s="80">
        <v>0</v>
      </c>
      <c r="K11" s="80">
        <v>0</v>
      </c>
      <c r="L11" s="80">
        <v>0</v>
      </c>
      <c r="M11" s="80">
        <v>0</v>
      </c>
      <c r="N11" s="80">
        <v>0</v>
      </c>
      <c r="O11" s="80">
        <v>0</v>
      </c>
      <c r="P11" s="80">
        <v>0</v>
      </c>
      <c r="Q11" s="80">
        <f>Q10-Q9</f>
        <v>81750000</v>
      </c>
      <c r="R11" s="80">
        <f t="shared" ref="R11:CC11" si="125">R10-R9</f>
        <v>81667500</v>
      </c>
      <c r="S11" s="80">
        <f t="shared" si="125"/>
        <v>81584175</v>
      </c>
      <c r="T11" s="80">
        <f t="shared" si="125"/>
        <v>81500016.75</v>
      </c>
      <c r="U11" s="80">
        <f t="shared" si="125"/>
        <v>81415016.917500004</v>
      </c>
      <c r="V11" s="80">
        <f t="shared" si="125"/>
        <v>81329167.086675003</v>
      </c>
      <c r="W11" s="80">
        <f t="shared" si="125"/>
        <v>81242458.757541746</v>
      </c>
      <c r="X11" s="80">
        <f t="shared" si="125"/>
        <v>81154883.345117167</v>
      </c>
      <c r="Y11" s="80">
        <f t="shared" si="125"/>
        <v>81066432.178568333</v>
      </c>
      <c r="Z11" s="80">
        <f t="shared" si="125"/>
        <v>80977096.500354022</v>
      </c>
      <c r="AA11" s="80">
        <f t="shared" si="125"/>
        <v>80886867.465357557</v>
      </c>
      <c r="AB11" s="80">
        <f t="shared" si="125"/>
        <v>80795736.140011132</v>
      </c>
      <c r="AC11" s="80">
        <f t="shared" si="125"/>
        <v>80703693.501411244</v>
      </c>
      <c r="AD11" s="80">
        <f t="shared" si="125"/>
        <v>80610730.436425358</v>
      </c>
      <c r="AE11" s="80">
        <f t="shared" si="125"/>
        <v>80516837.740789607</v>
      </c>
      <c r="AF11" s="80">
        <f t="shared" si="125"/>
        <v>80422006.118197501</v>
      </c>
      <c r="AG11" s="80">
        <f t="shared" si="125"/>
        <v>80326226.179379478</v>
      </c>
      <c r="AH11" s="80">
        <f t="shared" si="125"/>
        <v>80229488.441173285</v>
      </c>
      <c r="AI11" s="80">
        <f t="shared" si="125"/>
        <v>80131783.325585008</v>
      </c>
      <c r="AJ11" s="80">
        <f t="shared" si="125"/>
        <v>80033101.158840865</v>
      </c>
      <c r="AK11" s="80">
        <f t="shared" si="125"/>
        <v>79933432.170429274</v>
      </c>
      <c r="AL11" s="80">
        <f t="shared" si="125"/>
        <v>79832766.492133558</v>
      </c>
      <c r="AM11" s="80">
        <f t="shared" si="125"/>
        <v>79731094.157054901</v>
      </c>
      <c r="AN11" s="80">
        <f t="shared" si="125"/>
        <v>79628405.098625451</v>
      </c>
      <c r="AO11" s="80">
        <f t="shared" si="125"/>
        <v>79524689.149611697</v>
      </c>
      <c r="AP11" s="80">
        <f t="shared" si="125"/>
        <v>79419936.041107818</v>
      </c>
      <c r="AQ11" s="80">
        <f t="shared" si="125"/>
        <v>79314135.401518896</v>
      </c>
      <c r="AR11" s="80">
        <f t="shared" si="125"/>
        <v>79207276.755534083</v>
      </c>
      <c r="AS11" s="80">
        <f t="shared" si="125"/>
        <v>79099349.523089424</v>
      </c>
      <c r="AT11" s="80">
        <f t="shared" si="125"/>
        <v>78990343.018320322</v>
      </c>
      <c r="AU11" s="80">
        <f t="shared" si="125"/>
        <v>78880246.448503524</v>
      </c>
      <c r="AV11" s="80">
        <f t="shared" si="125"/>
        <v>78769048.912988558</v>
      </c>
      <c r="AW11" s="80">
        <f t="shared" si="125"/>
        <v>78656739.402118444</v>
      </c>
      <c r="AX11" s="80">
        <f t="shared" si="125"/>
        <v>78543306.796139628</v>
      </c>
      <c r="AY11" s="80">
        <f t="shared" si="125"/>
        <v>78428739.864101022</v>
      </c>
      <c r="AZ11" s="80">
        <f t="shared" si="125"/>
        <v>78313027.262742043</v>
      </c>
      <c r="BA11" s="80">
        <f t="shared" si="125"/>
        <v>78196157.535369456</v>
      </c>
      <c r="BB11" s="80">
        <f t="shared" si="125"/>
        <v>78078119.110723153</v>
      </c>
      <c r="BC11" s="80">
        <f t="shared" si="125"/>
        <v>77958900.301830381</v>
      </c>
      <c r="BD11" s="80">
        <f t="shared" si="125"/>
        <v>77838489.304848686</v>
      </c>
      <c r="BE11" s="80">
        <f t="shared" si="125"/>
        <v>77716874.197897166</v>
      </c>
      <c r="BF11" s="80">
        <f t="shared" si="125"/>
        <v>77594042.939876139</v>
      </c>
      <c r="BG11" s="80">
        <f t="shared" si="125"/>
        <v>77469983.369274914</v>
      </c>
      <c r="BH11" s="80">
        <f t="shared" si="125"/>
        <v>77344683.202967659</v>
      </c>
      <c r="BI11" s="80">
        <f t="shared" si="125"/>
        <v>77218130.034997329</v>
      </c>
      <c r="BJ11" s="80">
        <f t="shared" si="125"/>
        <v>77090311.33534731</v>
      </c>
      <c r="BK11" s="80">
        <f t="shared" si="125"/>
        <v>76961214.448700771</v>
      </c>
      <c r="BL11" s="80">
        <f t="shared" si="125"/>
        <v>76830826.593187779</v>
      </c>
      <c r="BM11" s="80">
        <f t="shared" si="125"/>
        <v>76699134.859119669</v>
      </c>
      <c r="BN11" s="80">
        <f t="shared" si="125"/>
        <v>76566126.207710862</v>
      </c>
      <c r="BO11" s="80">
        <f t="shared" si="125"/>
        <v>76431787.46978797</v>
      </c>
      <c r="BP11" s="80">
        <f t="shared" si="125"/>
        <v>76296105.344485849</v>
      </c>
      <c r="BQ11" s="80">
        <f t="shared" si="125"/>
        <v>76159066.397930712</v>
      </c>
      <c r="BR11" s="80">
        <f t="shared" si="125"/>
        <v>76020657.061910018</v>
      </c>
      <c r="BS11" s="80">
        <f t="shared" si="125"/>
        <v>75880863.63252911</v>
      </c>
      <c r="BT11" s="80">
        <f t="shared" si="125"/>
        <v>75739672.268854409</v>
      </c>
      <c r="BU11" s="80">
        <f t="shared" si="125"/>
        <v>75597068.99154295</v>
      </c>
      <c r="BV11" s="80">
        <f t="shared" si="125"/>
        <v>75453039.681458384</v>
      </c>
      <c r="BW11" s="80">
        <f t="shared" si="125"/>
        <v>75307570.078272969</v>
      </c>
      <c r="BX11" s="80">
        <f t="shared" si="125"/>
        <v>75160645.779055685</v>
      </c>
      <c r="BY11" s="80">
        <f t="shared" si="125"/>
        <v>75012252.236846253</v>
      </c>
      <c r="BZ11" s="80">
        <f t="shared" si="125"/>
        <v>74862374.759214714</v>
      </c>
      <c r="CA11" s="80">
        <f t="shared" si="125"/>
        <v>74710998.50680685</v>
      </c>
      <c r="CB11" s="80">
        <f t="shared" si="125"/>
        <v>74558108.491874933</v>
      </c>
      <c r="CC11" s="80">
        <f t="shared" si="125"/>
        <v>74403689.576793671</v>
      </c>
      <c r="CD11" s="80">
        <f t="shared" ref="CD11:DT11" si="126">CD10-CD9</f>
        <v>74247726.472561613</v>
      </c>
      <c r="CE11" s="80">
        <f t="shared" si="126"/>
        <v>74090203.737287223</v>
      </c>
      <c r="CF11" s="80">
        <f t="shared" si="126"/>
        <v>73931105.774660096</v>
      </c>
      <c r="CG11" s="80">
        <f t="shared" si="126"/>
        <v>73770416.8324067</v>
      </c>
      <c r="CH11" s="80">
        <f t="shared" si="126"/>
        <v>73608121.000730768</v>
      </c>
      <c r="CI11" s="80">
        <f t="shared" si="126"/>
        <v>73444202.210738078</v>
      </c>
      <c r="CJ11" s="80">
        <f t="shared" si="126"/>
        <v>73278644.232845455</v>
      </c>
      <c r="CK11" s="80">
        <f t="shared" si="126"/>
        <v>73111430.675173908</v>
      </c>
      <c r="CL11" s="80">
        <f t="shared" si="126"/>
        <v>72942544.981925651</v>
      </c>
      <c r="CM11" s="80">
        <f t="shared" si="126"/>
        <v>72771970.431744903</v>
      </c>
      <c r="CN11" s="80">
        <f t="shared" si="126"/>
        <v>72599690.136062354</v>
      </c>
      <c r="CO11" s="80">
        <f t="shared" si="126"/>
        <v>72425687.037422985</v>
      </c>
      <c r="CP11" s="80">
        <f t="shared" si="126"/>
        <v>72249943.907797202</v>
      </c>
      <c r="CQ11" s="80">
        <f t="shared" si="126"/>
        <v>72072443.346875176</v>
      </c>
      <c r="CR11" s="80">
        <f t="shared" si="126"/>
        <v>71893167.780343935</v>
      </c>
      <c r="CS11" s="80">
        <f t="shared" si="126"/>
        <v>71712099.458147377</v>
      </c>
      <c r="CT11" s="80">
        <f t="shared" si="126"/>
        <v>71529220.452728838</v>
      </c>
      <c r="CU11" s="80">
        <f t="shared" si="126"/>
        <v>71344512.657256126</v>
      </c>
      <c r="CV11" s="80">
        <f t="shared" si="126"/>
        <v>71157957.783828691</v>
      </c>
      <c r="CW11" s="80">
        <f t="shared" si="126"/>
        <v>70969537.361666977</v>
      </c>
      <c r="CX11" s="80">
        <f t="shared" si="126"/>
        <v>70779232.735283643</v>
      </c>
      <c r="CY11" s="80">
        <f t="shared" si="126"/>
        <v>70587025.06263648</v>
      </c>
      <c r="CZ11" s="80">
        <f t="shared" si="126"/>
        <v>70392895.31326285</v>
      </c>
      <c r="DA11" s="80">
        <f t="shared" si="126"/>
        <v>70196824.266395479</v>
      </c>
      <c r="DB11" s="80">
        <f t="shared" si="126"/>
        <v>69998792.509059429</v>
      </c>
      <c r="DC11" s="80">
        <f t="shared" si="126"/>
        <v>69798780.434150025</v>
      </c>
      <c r="DD11" s="80">
        <f t="shared" si="126"/>
        <v>69596768.23849152</v>
      </c>
      <c r="DE11" s="80">
        <f t="shared" si="126"/>
        <v>69392735.920876443</v>
      </c>
      <c r="DF11" s="80">
        <f t="shared" si="126"/>
        <v>69186663.280085206</v>
      </c>
      <c r="DG11" s="80">
        <f t="shared" si="126"/>
        <v>68978529.912886053</v>
      </c>
      <c r="DH11" s="80">
        <f t="shared" si="126"/>
        <v>68768315.212014914</v>
      </c>
      <c r="DI11" s="80">
        <f t="shared" si="126"/>
        <v>68555998.364135057</v>
      </c>
      <c r="DJ11" s="80">
        <f t="shared" si="126"/>
        <v>68341558.347776413</v>
      </c>
      <c r="DK11" s="80">
        <f t="shared" si="126"/>
        <v>68124973.931254178</v>
      </c>
      <c r="DL11" s="80">
        <f t="shared" si="126"/>
        <v>67906223.670566708</v>
      </c>
      <c r="DM11" s="80">
        <f t="shared" si="126"/>
        <v>67685285.907272384</v>
      </c>
      <c r="DN11" s="80">
        <f t="shared" si="126"/>
        <v>67462138.766345114</v>
      </c>
      <c r="DO11" s="80">
        <f t="shared" si="126"/>
        <v>67236760.154008552</v>
      </c>
      <c r="DP11" s="80">
        <f t="shared" si="126"/>
        <v>67009127.755548641</v>
      </c>
      <c r="DQ11" s="80">
        <f t="shared" si="126"/>
        <v>66779219.033104129</v>
      </c>
      <c r="DR11" s="80">
        <f t="shared" si="126"/>
        <v>66547011.223435171</v>
      </c>
      <c r="DS11" s="80">
        <f t="shared" si="126"/>
        <v>66312481.335669518</v>
      </c>
      <c r="DT11" s="80">
        <f t="shared" si="126"/>
        <v>66075606.149026215</v>
      </c>
    </row>
    <row r="12" spans="2:124" ht="60">
      <c r="B12" s="8" t="s">
        <v>440</v>
      </c>
      <c r="C12" s="5" t="s">
        <v>35</v>
      </c>
      <c r="D12" s="80">
        <f t="shared" si="6"/>
        <v>7667480025.8420534</v>
      </c>
      <c r="E12" s="80">
        <v>0</v>
      </c>
      <c r="F12" s="80">
        <v>0</v>
      </c>
      <c r="G12" s="80">
        <v>0</v>
      </c>
      <c r="H12" s="80">
        <v>0</v>
      </c>
      <c r="I12" s="80">
        <v>0</v>
      </c>
      <c r="J12" s="80">
        <v>0</v>
      </c>
      <c r="K12" s="80">
        <v>0</v>
      </c>
      <c r="L12" s="80">
        <v>0</v>
      </c>
      <c r="M12" s="80">
        <v>0</v>
      </c>
      <c r="N12" s="80">
        <v>0</v>
      </c>
      <c r="O12" s="80">
        <v>0</v>
      </c>
      <c r="P12" s="80">
        <v>0</v>
      </c>
      <c r="Q12" s="80">
        <v>39750000</v>
      </c>
      <c r="R12" s="80">
        <f t="shared" si="18"/>
        <v>40147500</v>
      </c>
      <c r="S12" s="80">
        <f t="shared" si="19"/>
        <v>40548975</v>
      </c>
      <c r="T12" s="80">
        <f t="shared" si="20"/>
        <v>40954464.75</v>
      </c>
      <c r="U12" s="80">
        <f t="shared" si="21"/>
        <v>41364009.397500001</v>
      </c>
      <c r="V12" s="80">
        <f t="shared" si="22"/>
        <v>41777649.491475001</v>
      </c>
      <c r="W12" s="80">
        <f t="shared" si="23"/>
        <v>42195425.986389749</v>
      </c>
      <c r="X12" s="80">
        <f t="shared" si="24"/>
        <v>42617380.246253647</v>
      </c>
      <c r="Y12" s="80">
        <f t="shared" si="25"/>
        <v>43043554.048716187</v>
      </c>
      <c r="Z12" s="80">
        <f t="shared" si="26"/>
        <v>43473989.58920335</v>
      </c>
      <c r="AA12" s="80">
        <f t="shared" si="27"/>
        <v>43908729.485095382</v>
      </c>
      <c r="AB12" s="80">
        <f t="shared" si="28"/>
        <v>44347816.779946335</v>
      </c>
      <c r="AC12" s="80">
        <f t="shared" si="29"/>
        <v>44791294.9477458</v>
      </c>
      <c r="AD12" s="80">
        <f t="shared" si="30"/>
        <v>45239207.897223257</v>
      </c>
      <c r="AE12" s="80">
        <f t="shared" si="31"/>
        <v>45691599.976195492</v>
      </c>
      <c r="AF12" s="80">
        <f t="shared" si="32"/>
        <v>46148515.975957446</v>
      </c>
      <c r="AG12" s="80">
        <f t="shared" si="33"/>
        <v>46610001.135717019</v>
      </c>
      <c r="AH12" s="80">
        <f t="shared" si="34"/>
        <v>47076101.147074193</v>
      </c>
      <c r="AI12" s="80">
        <f t="shared" si="35"/>
        <v>47546862.158544935</v>
      </c>
      <c r="AJ12" s="80">
        <f t="shared" si="36"/>
        <v>48022330.780130386</v>
      </c>
      <c r="AK12" s="80">
        <f t="shared" si="37"/>
        <v>48502554.087931693</v>
      </c>
      <c r="AL12" s="80">
        <f t="shared" si="38"/>
        <v>48987579.628811009</v>
      </c>
      <c r="AM12" s="80">
        <f t="shared" si="39"/>
        <v>49477455.42509912</v>
      </c>
      <c r="AN12" s="80">
        <f t="shared" si="40"/>
        <v>49972229.979350112</v>
      </c>
      <c r="AO12" s="80">
        <f t="shared" si="41"/>
        <v>50471952.279143617</v>
      </c>
      <c r="AP12" s="80">
        <f t="shared" si="42"/>
        <v>50976671.801935054</v>
      </c>
      <c r="AQ12" s="80">
        <f t="shared" si="43"/>
        <v>51486438.519954406</v>
      </c>
      <c r="AR12" s="80">
        <f t="shared" si="44"/>
        <v>52001302.905153953</v>
      </c>
      <c r="AS12" s="80">
        <f t="shared" si="45"/>
        <v>52521315.934205495</v>
      </c>
      <c r="AT12" s="80">
        <f t="shared" si="46"/>
        <v>53046529.093547553</v>
      </c>
      <c r="AU12" s="80">
        <f t="shared" si="47"/>
        <v>53576994.384483032</v>
      </c>
      <c r="AV12" s="80">
        <f t="shared" si="48"/>
        <v>54112764.328327864</v>
      </c>
      <c r="AW12" s="80">
        <f t="shared" si="49"/>
        <v>54653891.971611142</v>
      </c>
      <c r="AX12" s="80">
        <f t="shared" si="50"/>
        <v>55200430.891327254</v>
      </c>
      <c r="AY12" s="80">
        <f t="shared" si="51"/>
        <v>55752435.20024053</v>
      </c>
      <c r="AZ12" s="80">
        <f t="shared" si="52"/>
        <v>56309959.552242935</v>
      </c>
      <c r="BA12" s="80">
        <f t="shared" si="53"/>
        <v>56873059.147765368</v>
      </c>
      <c r="BB12" s="80">
        <f t="shared" si="54"/>
        <v>57441789.739243023</v>
      </c>
      <c r="BC12" s="80">
        <f t="shared" si="55"/>
        <v>58016207.636635453</v>
      </c>
      <c r="BD12" s="80">
        <f t="shared" si="56"/>
        <v>58596369.71300181</v>
      </c>
      <c r="BE12" s="80">
        <f t="shared" si="57"/>
        <v>59182333.410131827</v>
      </c>
      <c r="BF12" s="80">
        <f t="shared" si="58"/>
        <v>59774156.744233146</v>
      </c>
      <c r="BG12" s="80">
        <f t="shared" si="59"/>
        <v>60371898.311675481</v>
      </c>
      <c r="BH12" s="80">
        <f t="shared" si="60"/>
        <v>60975617.294792235</v>
      </c>
      <c r="BI12" s="80">
        <f t="shared" si="61"/>
        <v>61585373.467740156</v>
      </c>
      <c r="BJ12" s="80">
        <f t="shared" si="62"/>
        <v>62201227.20241756</v>
      </c>
      <c r="BK12" s="80">
        <f t="shared" si="63"/>
        <v>62823239.474441737</v>
      </c>
      <c r="BL12" s="80">
        <f t="shared" si="64"/>
        <v>63451471.869186155</v>
      </c>
      <c r="BM12" s="80">
        <f t="shared" si="65"/>
        <v>64085986.587878019</v>
      </c>
      <c r="BN12" s="80">
        <f t="shared" si="66"/>
        <v>64726846.453756802</v>
      </c>
      <c r="BO12" s="80">
        <f t="shared" si="67"/>
        <v>65374114.91829437</v>
      </c>
      <c r="BP12" s="80">
        <f t="shared" si="68"/>
        <v>66027856.067477316</v>
      </c>
      <c r="BQ12" s="80">
        <f t="shared" si="69"/>
        <v>66688134.628152087</v>
      </c>
      <c r="BR12" s="80">
        <f t="shared" si="70"/>
        <v>67355015.974433616</v>
      </c>
      <c r="BS12" s="80">
        <f t="shared" si="71"/>
        <v>68028566.134177953</v>
      </c>
      <c r="BT12" s="80">
        <f t="shared" si="72"/>
        <v>68708851.795519739</v>
      </c>
      <c r="BU12" s="80">
        <f t="shared" si="73"/>
        <v>69395940.313474938</v>
      </c>
      <c r="BV12" s="80">
        <f t="shared" si="74"/>
        <v>70089899.716609687</v>
      </c>
      <c r="BW12" s="80">
        <f t="shared" si="75"/>
        <v>70790798.713775784</v>
      </c>
      <c r="BX12" s="80">
        <f t="shared" si="76"/>
        <v>71498706.700913548</v>
      </c>
      <c r="BY12" s="80">
        <f t="shared" si="77"/>
        <v>72213693.767922685</v>
      </c>
      <c r="BZ12" s="80">
        <f t="shared" si="78"/>
        <v>72935830.705601916</v>
      </c>
      <c r="CA12" s="80">
        <f t="shared" si="79"/>
        <v>73665189.01265794</v>
      </c>
      <c r="CB12" s="80">
        <f t="shared" si="80"/>
        <v>74401840.902784526</v>
      </c>
      <c r="CC12" s="80">
        <f t="shared" si="81"/>
        <v>75145859.311812371</v>
      </c>
      <c r="CD12" s="80">
        <f t="shared" si="82"/>
        <v>75897317.904930502</v>
      </c>
      <c r="CE12" s="80">
        <f t="shared" si="83"/>
        <v>76656291.083979815</v>
      </c>
      <c r="CF12" s="80">
        <f t="shared" si="84"/>
        <v>77422853.994819611</v>
      </c>
      <c r="CG12" s="80">
        <f t="shared" si="85"/>
        <v>78197082.534767807</v>
      </c>
      <c r="CH12" s="80">
        <f t="shared" si="86"/>
        <v>78979053.360115483</v>
      </c>
      <c r="CI12" s="80">
        <f t="shared" si="87"/>
        <v>79768843.893716633</v>
      </c>
      <c r="CJ12" s="80">
        <f t="shared" si="88"/>
        <v>80566532.332653806</v>
      </c>
      <c r="CK12" s="80">
        <f t="shared" si="89"/>
        <v>81372197.655980349</v>
      </c>
      <c r="CL12" s="80">
        <f t="shared" si="90"/>
        <v>82185919.632540151</v>
      </c>
      <c r="CM12" s="80">
        <f t="shared" si="91"/>
        <v>83007778.828865558</v>
      </c>
      <c r="CN12" s="80">
        <f t="shared" si="92"/>
        <v>83837856.617154211</v>
      </c>
      <c r="CO12" s="80">
        <f t="shared" si="93"/>
        <v>84676235.183325753</v>
      </c>
      <c r="CP12" s="80">
        <f t="shared" si="94"/>
        <v>85522997.535159007</v>
      </c>
      <c r="CQ12" s="80">
        <f t="shared" si="95"/>
        <v>86378227.510510594</v>
      </c>
      <c r="CR12" s="80">
        <f t="shared" si="96"/>
        <v>87242009.785615698</v>
      </c>
      <c r="CS12" s="80">
        <f t="shared" si="97"/>
        <v>88114429.883471861</v>
      </c>
      <c r="CT12" s="80">
        <f t="shared" si="98"/>
        <v>88995574.182306588</v>
      </c>
      <c r="CU12" s="80">
        <f t="shared" si="99"/>
        <v>89885529.92412965</v>
      </c>
      <c r="CV12" s="80">
        <f t="shared" si="100"/>
        <v>90784385.223370954</v>
      </c>
      <c r="CW12" s="80">
        <f t="shared" si="101"/>
        <v>91692229.075604662</v>
      </c>
      <c r="CX12" s="80">
        <f t="shared" si="102"/>
        <v>92609151.366360709</v>
      </c>
      <c r="CY12" s="80">
        <f t="shared" si="103"/>
        <v>93535242.880024314</v>
      </c>
      <c r="CZ12" s="80">
        <f t="shared" si="104"/>
        <v>94470595.308824554</v>
      </c>
      <c r="DA12" s="80">
        <f t="shared" si="105"/>
        <v>95415301.261912808</v>
      </c>
      <c r="DB12" s="80">
        <f t="shared" si="106"/>
        <v>96369454.274531931</v>
      </c>
      <c r="DC12" s="80">
        <f t="shared" si="107"/>
        <v>97333148.817277253</v>
      </c>
      <c r="DD12" s="80">
        <f t="shared" si="108"/>
        <v>98306480.305450022</v>
      </c>
      <c r="DE12" s="80">
        <f t="shared" si="109"/>
        <v>99289545.108504519</v>
      </c>
      <c r="DF12" s="80">
        <f t="shared" si="110"/>
        <v>100282440.55958956</v>
      </c>
      <c r="DG12" s="80">
        <f t="shared" si="111"/>
        <v>101285264.96518546</v>
      </c>
      <c r="DH12" s="80">
        <f t="shared" si="112"/>
        <v>102298117.61483732</v>
      </c>
      <c r="DI12" s="80">
        <f t="shared" si="113"/>
        <v>103321098.79098569</v>
      </c>
      <c r="DJ12" s="80">
        <f t="shared" si="114"/>
        <v>104354309.77889554</v>
      </c>
      <c r="DK12" s="80">
        <f t="shared" si="115"/>
        <v>105397852.8766845</v>
      </c>
      <c r="DL12" s="80">
        <f t="shared" si="116"/>
        <v>106451831.40545134</v>
      </c>
      <c r="DM12" s="80">
        <f t="shared" si="117"/>
        <v>107516349.71950586</v>
      </c>
      <c r="DN12" s="80">
        <f t="shared" si="118"/>
        <v>108591513.21670093</v>
      </c>
      <c r="DO12" s="80">
        <f t="shared" si="119"/>
        <v>109677428.34886794</v>
      </c>
      <c r="DP12" s="80">
        <f t="shared" si="120"/>
        <v>110774202.63235661</v>
      </c>
      <c r="DQ12" s="80">
        <f t="shared" si="121"/>
        <v>111881944.65868019</v>
      </c>
      <c r="DR12" s="80">
        <f t="shared" si="122"/>
        <v>113000764.10526699</v>
      </c>
      <c r="DS12" s="80">
        <f t="shared" si="123"/>
        <v>114130771.74631967</v>
      </c>
      <c r="DT12" s="80">
        <f t="shared" si="124"/>
        <v>115272079.46378286</v>
      </c>
    </row>
    <row r="13" spans="2:124" ht="28" customHeight="1">
      <c r="B13" s="8" t="s">
        <v>421</v>
      </c>
      <c r="C13" s="5" t="s">
        <v>35</v>
      </c>
      <c r="D13" s="80">
        <f t="shared" si="6"/>
        <v>20977067995.22826</v>
      </c>
      <c r="E13" s="80">
        <f t="shared" ref="E13:P13" si="127">SUM(E7:E12)</f>
        <v>0</v>
      </c>
      <c r="F13" s="80">
        <f t="shared" si="127"/>
        <v>0</v>
      </c>
      <c r="G13" s="80">
        <f t="shared" si="127"/>
        <v>0</v>
      </c>
      <c r="H13" s="80">
        <f t="shared" si="127"/>
        <v>0</v>
      </c>
      <c r="I13" s="80">
        <f t="shared" si="127"/>
        <v>0</v>
      </c>
      <c r="J13" s="80">
        <f t="shared" si="127"/>
        <v>0</v>
      </c>
      <c r="K13" s="80">
        <f t="shared" si="127"/>
        <v>0</v>
      </c>
      <c r="L13" s="80">
        <f t="shared" si="127"/>
        <v>0</v>
      </c>
      <c r="M13" s="80">
        <f t="shared" si="127"/>
        <v>0</v>
      </c>
      <c r="N13" s="80">
        <f t="shared" si="127"/>
        <v>0</v>
      </c>
      <c r="O13" s="80">
        <f t="shared" si="127"/>
        <v>0</v>
      </c>
      <c r="P13" s="80">
        <f t="shared" si="127"/>
        <v>0</v>
      </c>
      <c r="Q13" s="80">
        <f t="shared" ref="Q13:AV13" si="128">SUM(Q7+Q9+Q12)</f>
        <v>108750000</v>
      </c>
      <c r="R13" s="80">
        <f t="shared" si="128"/>
        <v>109837500</v>
      </c>
      <c r="S13" s="80">
        <f t="shared" si="128"/>
        <v>110935875</v>
      </c>
      <c r="T13" s="80">
        <f t="shared" si="128"/>
        <v>112045233.75</v>
      </c>
      <c r="U13" s="80">
        <f t="shared" si="128"/>
        <v>113165686.08750001</v>
      </c>
      <c r="V13" s="80">
        <f t="shared" si="128"/>
        <v>114297342.948375</v>
      </c>
      <c r="W13" s="80">
        <f t="shared" si="128"/>
        <v>115440316.37785876</v>
      </c>
      <c r="X13" s="80">
        <f t="shared" si="128"/>
        <v>116594719.54163733</v>
      </c>
      <c r="Y13" s="80">
        <f t="shared" si="128"/>
        <v>117760666.73705372</v>
      </c>
      <c r="Z13" s="80">
        <f t="shared" si="128"/>
        <v>118938273.40442428</v>
      </c>
      <c r="AA13" s="80">
        <f t="shared" si="128"/>
        <v>120127656.1384685</v>
      </c>
      <c r="AB13" s="80">
        <f t="shared" si="128"/>
        <v>121328932.69985321</v>
      </c>
      <c r="AC13" s="80">
        <f t="shared" si="128"/>
        <v>122542222.02685174</v>
      </c>
      <c r="AD13" s="80">
        <f t="shared" si="128"/>
        <v>123767644.24712026</v>
      </c>
      <c r="AE13" s="80">
        <f t="shared" si="128"/>
        <v>125005320.68959147</v>
      </c>
      <c r="AF13" s="80">
        <f t="shared" si="128"/>
        <v>126255373.89648739</v>
      </c>
      <c r="AG13" s="80">
        <f t="shared" si="128"/>
        <v>127517927.63545226</v>
      </c>
      <c r="AH13" s="80">
        <f t="shared" si="128"/>
        <v>128793106.91180676</v>
      </c>
      <c r="AI13" s="80">
        <f t="shared" si="128"/>
        <v>130081037.98092484</v>
      </c>
      <c r="AJ13" s="80">
        <f t="shared" si="128"/>
        <v>131381848.36073408</v>
      </c>
      <c r="AK13" s="80">
        <f t="shared" si="128"/>
        <v>132695666.84434141</v>
      </c>
      <c r="AL13" s="80">
        <f t="shared" si="128"/>
        <v>134022623.51278484</v>
      </c>
      <c r="AM13" s="80">
        <f t="shared" si="128"/>
        <v>135362849.74791268</v>
      </c>
      <c r="AN13" s="80">
        <f t="shared" si="128"/>
        <v>136716478.24539182</v>
      </c>
      <c r="AO13" s="80">
        <f t="shared" si="128"/>
        <v>138083643.02784574</v>
      </c>
      <c r="AP13" s="80">
        <f t="shared" si="128"/>
        <v>139464479.45812419</v>
      </c>
      <c r="AQ13" s="80">
        <f t="shared" si="128"/>
        <v>140859124.25270545</v>
      </c>
      <c r="AR13" s="80">
        <f t="shared" si="128"/>
        <v>142267715.49523252</v>
      </c>
      <c r="AS13" s="80">
        <f t="shared" si="128"/>
        <v>143690392.65018484</v>
      </c>
      <c r="AT13" s="80">
        <f t="shared" si="128"/>
        <v>145127296.57668668</v>
      </c>
      <c r="AU13" s="80">
        <f t="shared" si="128"/>
        <v>146578569.54245356</v>
      </c>
      <c r="AV13" s="80">
        <f t="shared" si="128"/>
        <v>148044355.23787808</v>
      </c>
      <c r="AW13" s="80">
        <f t="shared" ref="AW13:CB13" si="129">SUM(AW7+AW9+AW12)</f>
        <v>149524798.79025686</v>
      </c>
      <c r="AX13" s="80">
        <f t="shared" si="129"/>
        <v>151020046.77815944</v>
      </c>
      <c r="AY13" s="80">
        <f t="shared" si="129"/>
        <v>152530247.24594104</v>
      </c>
      <c r="AZ13" s="80">
        <f t="shared" si="129"/>
        <v>154055549.71840045</v>
      </c>
      <c r="BA13" s="80">
        <f t="shared" si="129"/>
        <v>155596105.21558446</v>
      </c>
      <c r="BB13" s="80">
        <f t="shared" si="129"/>
        <v>157152066.26774031</v>
      </c>
      <c r="BC13" s="80">
        <f t="shared" si="129"/>
        <v>158723586.93041772</v>
      </c>
      <c r="BD13" s="80">
        <f t="shared" si="129"/>
        <v>160310822.7997219</v>
      </c>
      <c r="BE13" s="80">
        <f t="shared" si="129"/>
        <v>161913931.02771908</v>
      </c>
      <c r="BF13" s="80">
        <f t="shared" si="129"/>
        <v>163533070.3379963</v>
      </c>
      <c r="BG13" s="80">
        <f t="shared" si="129"/>
        <v>165168401.04137626</v>
      </c>
      <c r="BH13" s="80">
        <f t="shared" si="129"/>
        <v>166820085.05179003</v>
      </c>
      <c r="BI13" s="80">
        <f t="shared" si="129"/>
        <v>168488285.90230793</v>
      </c>
      <c r="BJ13" s="80">
        <f t="shared" si="129"/>
        <v>170173168.76133102</v>
      </c>
      <c r="BK13" s="80">
        <f t="shared" si="129"/>
        <v>171874900.44894433</v>
      </c>
      <c r="BL13" s="80">
        <f t="shared" si="129"/>
        <v>173593649.45343378</v>
      </c>
      <c r="BM13" s="80">
        <f t="shared" si="129"/>
        <v>175329585.94796813</v>
      </c>
      <c r="BN13" s="80">
        <f t="shared" si="129"/>
        <v>177082881.80744782</v>
      </c>
      <c r="BO13" s="80">
        <f t="shared" si="129"/>
        <v>178853710.62552232</v>
      </c>
      <c r="BP13" s="80">
        <f t="shared" si="129"/>
        <v>180642247.73177755</v>
      </c>
      <c r="BQ13" s="80">
        <f t="shared" si="129"/>
        <v>182448670.2090953</v>
      </c>
      <c r="BR13" s="80">
        <f t="shared" si="129"/>
        <v>184273156.91118628</v>
      </c>
      <c r="BS13" s="80">
        <f t="shared" si="129"/>
        <v>186115888.48029813</v>
      </c>
      <c r="BT13" s="80">
        <f t="shared" si="129"/>
        <v>187977047.3651011</v>
      </c>
      <c r="BU13" s="80">
        <f t="shared" si="129"/>
        <v>189856817.83875215</v>
      </c>
      <c r="BV13" s="80">
        <f t="shared" si="129"/>
        <v>191755386.01713967</v>
      </c>
      <c r="BW13" s="80">
        <f t="shared" si="129"/>
        <v>193672939.87731105</v>
      </c>
      <c r="BX13" s="80">
        <f t="shared" si="129"/>
        <v>195609669.27608418</v>
      </c>
      <c r="BY13" s="80">
        <f t="shared" si="129"/>
        <v>197565765.96884501</v>
      </c>
      <c r="BZ13" s="80">
        <f t="shared" si="129"/>
        <v>199541423.62853348</v>
      </c>
      <c r="CA13" s="80">
        <f t="shared" si="129"/>
        <v>201536837.86481881</v>
      </c>
      <c r="CB13" s="80">
        <f t="shared" si="129"/>
        <v>203552206.243467</v>
      </c>
      <c r="CC13" s="80">
        <f t="shared" ref="CC13:DH13" si="130">SUM(CC7+CC9+CC12)</f>
        <v>205587728.30590171</v>
      </c>
      <c r="CD13" s="80">
        <f t="shared" si="130"/>
        <v>207643605.58896071</v>
      </c>
      <c r="CE13" s="80">
        <f t="shared" si="130"/>
        <v>209720041.64485031</v>
      </c>
      <c r="CF13" s="80">
        <f t="shared" si="130"/>
        <v>211817242.06129882</v>
      </c>
      <c r="CG13" s="80">
        <f t="shared" si="130"/>
        <v>213935414.48191184</v>
      </c>
      <c r="CH13" s="80">
        <f t="shared" si="130"/>
        <v>216074768.62673092</v>
      </c>
      <c r="CI13" s="80">
        <f t="shared" si="130"/>
        <v>218235516.31299824</v>
      </c>
      <c r="CJ13" s="80">
        <f t="shared" si="130"/>
        <v>220417871.47612822</v>
      </c>
      <c r="CK13" s="80">
        <f t="shared" si="130"/>
        <v>222622050.19088951</v>
      </c>
      <c r="CL13" s="80">
        <f t="shared" si="130"/>
        <v>224848270.69279844</v>
      </c>
      <c r="CM13" s="80">
        <f t="shared" si="130"/>
        <v>227096753.39972642</v>
      </c>
      <c r="CN13" s="80">
        <f t="shared" si="130"/>
        <v>229367720.93372366</v>
      </c>
      <c r="CO13" s="80">
        <f t="shared" si="130"/>
        <v>231661398.14306092</v>
      </c>
      <c r="CP13" s="80">
        <f t="shared" si="130"/>
        <v>233978012.12449151</v>
      </c>
      <c r="CQ13" s="80">
        <f t="shared" si="130"/>
        <v>236317792.24573642</v>
      </c>
      <c r="CR13" s="80">
        <f t="shared" si="130"/>
        <v>238680970.16819382</v>
      </c>
      <c r="CS13" s="80">
        <f t="shared" si="130"/>
        <v>241067779.86987573</v>
      </c>
      <c r="CT13" s="80">
        <f t="shared" si="130"/>
        <v>243478457.66857451</v>
      </c>
      <c r="CU13" s="80">
        <f t="shared" si="130"/>
        <v>245913242.24526024</v>
      </c>
      <c r="CV13" s="80">
        <f t="shared" si="130"/>
        <v>248372374.66771287</v>
      </c>
      <c r="CW13" s="80">
        <f t="shared" si="130"/>
        <v>250856098.41438997</v>
      </c>
      <c r="CX13" s="80">
        <f t="shared" si="130"/>
        <v>253364659.39853388</v>
      </c>
      <c r="CY13" s="80">
        <f t="shared" si="130"/>
        <v>255898305.99251923</v>
      </c>
      <c r="CZ13" s="80">
        <f t="shared" si="130"/>
        <v>258457289.05244446</v>
      </c>
      <c r="DA13" s="80">
        <f t="shared" si="130"/>
        <v>261041861.9429689</v>
      </c>
      <c r="DB13" s="80">
        <f t="shared" si="130"/>
        <v>263652280.56239858</v>
      </c>
      <c r="DC13" s="80">
        <f t="shared" si="130"/>
        <v>266288803.36802259</v>
      </c>
      <c r="DD13" s="80">
        <f t="shared" si="130"/>
        <v>268951691.40170282</v>
      </c>
      <c r="DE13" s="80">
        <f t="shared" si="130"/>
        <v>271641208.31571984</v>
      </c>
      <c r="DF13" s="80">
        <f t="shared" si="130"/>
        <v>274357620.39887702</v>
      </c>
      <c r="DG13" s="80">
        <f t="shared" si="130"/>
        <v>277101196.60286582</v>
      </c>
      <c r="DH13" s="80">
        <f t="shared" si="130"/>
        <v>279872208.56889451</v>
      </c>
      <c r="DI13" s="80">
        <f t="shared" ref="DI13:DT13" si="131">SUM(DI7+DI9+DI12)</f>
        <v>282670930.65458345</v>
      </c>
      <c r="DJ13" s="80">
        <f t="shared" si="131"/>
        <v>285497639.96112925</v>
      </c>
      <c r="DK13" s="80">
        <f t="shared" si="131"/>
        <v>288352616.36074054</v>
      </c>
      <c r="DL13" s="80">
        <f t="shared" si="131"/>
        <v>291236142.52434796</v>
      </c>
      <c r="DM13" s="80">
        <f t="shared" si="131"/>
        <v>294148503.94959146</v>
      </c>
      <c r="DN13" s="80">
        <f t="shared" si="131"/>
        <v>297089988.9890874</v>
      </c>
      <c r="DO13" s="80">
        <f t="shared" si="131"/>
        <v>300060888.87897825</v>
      </c>
      <c r="DP13" s="80">
        <f t="shared" si="131"/>
        <v>303061497.76776803</v>
      </c>
      <c r="DQ13" s="80">
        <f t="shared" si="131"/>
        <v>306092112.74544579</v>
      </c>
      <c r="DR13" s="80">
        <f t="shared" si="131"/>
        <v>309153033.87290025</v>
      </c>
      <c r="DS13" s="80">
        <f t="shared" si="131"/>
        <v>312244564.21162921</v>
      </c>
      <c r="DT13" s="80">
        <f t="shared" si="131"/>
        <v>315367009.85374552</v>
      </c>
    </row>
    <row r="14" spans="2:124" ht="28" customHeight="1">
      <c r="B14" s="8" t="s">
        <v>363</v>
      </c>
      <c r="C14" s="5" t="s">
        <v>29</v>
      </c>
      <c r="D14" s="200">
        <f>'Исходные данные'!E40</f>
        <v>0.14499999999999999</v>
      </c>
      <c r="E14" s="215">
        <f>'Исходные данные'!F40</f>
        <v>1.0113476210381229</v>
      </c>
      <c r="F14" s="215">
        <f>'Исходные данные'!G40</f>
        <v>1.0228240105794706</v>
      </c>
      <c r="G14" s="215">
        <f>'Исходные данные'!H40</f>
        <v>1.0344306298402195</v>
      </c>
      <c r="H14" s="215">
        <f>'Исходные данные'!I40</f>
        <v>1.0461689566178729</v>
      </c>
      <c r="I14" s="215">
        <f>'Исходные данные'!J40</f>
        <v>1.058040485479421</v>
      </c>
      <c r="J14" s="215">
        <f>'Исходные данные'!K40</f>
        <v>1.070046727951633</v>
      </c>
      <c r="K14" s="215">
        <f>'Исходные данные'!L40</f>
        <v>1.0821892127135115</v>
      </c>
      <c r="L14" s="215">
        <f>'Исходные данные'!M40</f>
        <v>1.0944694857909287</v>
      </c>
      <c r="M14" s="215">
        <f>'Исходные данные'!N40</f>
        <v>1.1068891107534735</v>
      </c>
      <c r="N14" s="215">
        <f>'Исходные данные'!O40</f>
        <v>1.1194496689135287</v>
      </c>
      <c r="O14" s="215">
        <f>'Исходные данные'!P40</f>
        <v>1.1321527595276115</v>
      </c>
      <c r="P14" s="215">
        <f>'Исходные данные'!Q40</f>
        <v>1.1449999999999958</v>
      </c>
      <c r="Q14" s="215">
        <f>'Исходные данные'!R40</f>
        <v>1.1579930260886464</v>
      </c>
      <c r="R14" s="215">
        <f>'Исходные данные'!S40</f>
        <v>1.1711334921134895</v>
      </c>
      <c r="S14" s="215">
        <f>'Исходные данные'!T40</f>
        <v>1.1844230711670469</v>
      </c>
      <c r="T14" s="215">
        <f>'Исходные данные'!U40</f>
        <v>1.1978634553274599</v>
      </c>
      <c r="U14" s="215">
        <f>'Исходные данные'!V40</f>
        <v>1.2114563558739324</v>
      </c>
      <c r="V14" s="215">
        <f>'Исходные данные'!W40</f>
        <v>1.2252035035046149</v>
      </c>
      <c r="W14" s="215">
        <f>'Исходные данные'!X40</f>
        <v>1.239106648556966</v>
      </c>
      <c r="X14" s="215">
        <f>'Исходные данные'!Y40</f>
        <v>1.2531675612306088</v>
      </c>
      <c r="Y14" s="215">
        <f>'Исходные данные'!Z40</f>
        <v>1.2673880318127224</v>
      </c>
      <c r="Z14" s="215">
        <f>'Исходные данные'!AA40</f>
        <v>1.2817698709059855</v>
      </c>
      <c r="AA14" s="215">
        <f>'Исходные данные'!AB40</f>
        <v>1.2963149096591104</v>
      </c>
      <c r="AB14" s="215">
        <f>'Исходные данные'!AC40</f>
        <v>1.3110249999999901</v>
      </c>
      <c r="AC14" s="215">
        <f>'Исходные данные'!AD40</f>
        <v>1.3259020148714953</v>
      </c>
      <c r="AD14" s="215">
        <f>'Исходные данные'!AE40</f>
        <v>1.3409478484699404</v>
      </c>
      <c r="AE14" s="215">
        <f>'Исходные данные'!AF40</f>
        <v>1.3561644164862634</v>
      </c>
      <c r="AF14" s="215">
        <f>'Исходные данные'!AG40</f>
        <v>1.3715536563499364</v>
      </c>
      <c r="AG14" s="215">
        <f>'Исходные данные'!AH40</f>
        <v>1.3871175274756473</v>
      </c>
      <c r="AH14" s="215">
        <f>'Исходные данные'!AI40</f>
        <v>1.4028580115127789</v>
      </c>
      <c r="AI14" s="215">
        <f>'Исходные данные'!AJ40</f>
        <v>1.4187771125977207</v>
      </c>
      <c r="AJ14" s="215">
        <f>'Исходные данные'!AK40</f>
        <v>1.4348768576090414</v>
      </c>
      <c r="AK14" s="215">
        <f>'Исходные данные'!AL40</f>
        <v>1.4511592964255615</v>
      </c>
      <c r="AL14" s="215">
        <f>'Исходные данные'!AM40</f>
        <v>1.4676265021873476</v>
      </c>
      <c r="AM14" s="215">
        <f>'Исходные данные'!AN40</f>
        <v>1.4842805715596756</v>
      </c>
      <c r="AN14" s="215">
        <f>'Исходные данные'!AO40</f>
        <v>1.5011236249999831</v>
      </c>
      <c r="AO14" s="215">
        <f>'Исходные данные'!AP40</f>
        <v>1.5181578070278561</v>
      </c>
      <c r="AP14" s="215">
        <f>'Исходные данные'!AQ40</f>
        <v>1.5353852864980759</v>
      </c>
      <c r="AQ14" s="215">
        <f>'Исходные данные'!AR40</f>
        <v>1.5528082568767658</v>
      </c>
      <c r="AR14" s="215">
        <f>'Исходные данные'!AS40</f>
        <v>1.5704289365206712</v>
      </c>
      <c r="AS14" s="215">
        <f>'Исходные данные'!AT40</f>
        <v>1.5882495689596103</v>
      </c>
      <c r="AT14" s="215">
        <f>'Исходные данные'!AU40</f>
        <v>1.6062724231821259</v>
      </c>
      <c r="AU14" s="215">
        <f>'Исходные данные'!AV40</f>
        <v>1.6244997939243839</v>
      </c>
      <c r="AV14" s="215">
        <f>'Исходные данные'!AW40</f>
        <v>1.6429340019623464</v>
      </c>
      <c r="AW14" s="215">
        <f>'Исходные данные'!AX40</f>
        <v>1.6615773944072616</v>
      </c>
      <c r="AX14" s="215">
        <f>'Исходные данные'!AY40</f>
        <v>1.6804323450045069</v>
      </c>
      <c r="AY14" s="215">
        <f>'Исходные данные'!AZ40</f>
        <v>1.6995012544358223</v>
      </c>
      <c r="AZ14" s="215">
        <f>'Исходные данные'!BA40</f>
        <v>1.718786550624974</v>
      </c>
      <c r="BA14" s="215">
        <f>'Исходные данные'!BB40</f>
        <v>1.7382906890468888</v>
      </c>
      <c r="BB14" s="215">
        <f>'Исходные данные'!BC40</f>
        <v>1.75801615304029</v>
      </c>
      <c r="BC14" s="215">
        <f>'Исходные данные'!BD40</f>
        <v>1.7779654541238901</v>
      </c>
      <c r="BD14" s="215">
        <f>'Исходные данные'!BE40</f>
        <v>1.7981411323161618</v>
      </c>
      <c r="BE14" s="215">
        <f>'Исходные данные'!BF40</f>
        <v>1.8185457564587468</v>
      </c>
      <c r="BF14" s="215">
        <f>'Исходные данные'!BG40</f>
        <v>1.839181924543527</v>
      </c>
      <c r="BG14" s="215">
        <f>'Исходные данные'!BH40</f>
        <v>1.8600522640434127</v>
      </c>
      <c r="BH14" s="215">
        <f>'Исходные данные'!BI40</f>
        <v>1.8811594322468792</v>
      </c>
      <c r="BI14" s="215">
        <f>'Исходные данные'!BJ40</f>
        <v>1.9025061165963075</v>
      </c>
      <c r="BJ14" s="215">
        <f>'Исходные данные'!BK40</f>
        <v>1.9240950350301531</v>
      </c>
      <c r="BK14" s="215">
        <f>'Исходные данные'!BL40</f>
        <v>1.9459289363290089</v>
      </c>
      <c r="BL14" s="215">
        <f>'Исходные данные'!BM40</f>
        <v>1.9680106004655877</v>
      </c>
      <c r="BM14" s="215">
        <f>'Исходные данные'!BN40</f>
        <v>1.9903428389586799</v>
      </c>
      <c r="BN14" s="215">
        <f>'Исходные данные'!BO40</f>
        <v>2.0129284952311246</v>
      </c>
      <c r="BO14" s="215">
        <f>'Исходные данные'!BP40</f>
        <v>2.0357704449718463</v>
      </c>
      <c r="BP14" s="215">
        <f>'Исходные данные'!BQ40</f>
        <v>2.058871596501997</v>
      </c>
      <c r="BQ14" s="215">
        <f>'Исходные данные'!BR40</f>
        <v>2.0822348911452568</v>
      </c>
      <c r="BR14" s="215">
        <f>'Исходные данные'!BS40</f>
        <v>2.1058633036023302</v>
      </c>
      <c r="BS14" s="215">
        <f>'Исходные данные'!BT40</f>
        <v>2.1297598423296988</v>
      </c>
      <c r="BT14" s="215">
        <f>'Исходные данные'!BU40</f>
        <v>2.1539275499226687</v>
      </c>
      <c r="BU14" s="215">
        <f>'Исходные данные'!BV40</f>
        <v>2.1783695035027635</v>
      </c>
      <c r="BV14" s="215">
        <f>'Исходные данные'!BW40</f>
        <v>2.2030888151095169</v>
      </c>
      <c r="BW14" s="215">
        <f>'Исходные данные'!BX40</f>
        <v>2.2280886320967066</v>
      </c>
      <c r="BX14" s="215">
        <f>'Исходные данные'!BY40</f>
        <v>2.2533721375330891</v>
      </c>
      <c r="BY14" s="215">
        <f>'Исходные данные'!BZ40</f>
        <v>2.2789425506076797</v>
      </c>
      <c r="BZ14" s="215">
        <f>'Исходные данные'!CA40</f>
        <v>2.3048031270396288</v>
      </c>
      <c r="CA14" s="215">
        <f>'Исходные данные'!CB40</f>
        <v>2.3309571594927552</v>
      </c>
      <c r="CB14" s="215">
        <f>'Исходные данные'!CC40</f>
        <v>2.3574079779947779</v>
      </c>
      <c r="CC14" s="215">
        <f>'Исходные данные'!CD40</f>
        <v>2.3841589503613103</v>
      </c>
      <c r="CD14" s="215">
        <f>'Исходные данные'!CE40</f>
        <v>2.411213482624659</v>
      </c>
      <c r="CE14" s="215">
        <f>'Исходные данные'!CF40</f>
        <v>2.4385750194674962</v>
      </c>
      <c r="CF14" s="215">
        <f>'Исходные данные'!CG40</f>
        <v>2.4662470446614457</v>
      </c>
      <c r="CG14" s="215">
        <f>'Исходные данные'!CH40</f>
        <v>2.4942330815106546</v>
      </c>
      <c r="CH14" s="215">
        <f>'Исходные данные'!CI40</f>
        <v>2.5225366933003865</v>
      </c>
      <c r="CI14" s="215">
        <f>'Исходные данные'!CJ40</f>
        <v>2.5511614837507195</v>
      </c>
      <c r="CJ14" s="215">
        <f>'Исходные данные'!CK40</f>
        <v>2.5801110974753776</v>
      </c>
      <c r="CK14" s="215">
        <f>'Исходные данные'!CL40</f>
        <v>2.6093892204457836</v>
      </c>
      <c r="CL14" s="215">
        <f>'Исходные данные'!CM40</f>
        <v>2.6389995804603648</v>
      </c>
      <c r="CM14" s="215">
        <f>'Исходные данные'!CN40</f>
        <v>2.6689459476191946</v>
      </c>
      <c r="CN14" s="215">
        <f>'Исходные данные'!CO40</f>
        <v>2.6992321348040105</v>
      </c>
      <c r="CO14" s="215">
        <f>'Исходные данные'!CP40</f>
        <v>2.72986199816369</v>
      </c>
      <c r="CP14" s="215">
        <f>'Исходные данные'!CQ40</f>
        <v>2.7608394376052243</v>
      </c>
      <c r="CQ14" s="215">
        <f>'Исходные данные'!CR40</f>
        <v>2.7921683972902724</v>
      </c>
      <c r="CR14" s="215">
        <f>'Исходные данные'!CS40</f>
        <v>2.823852866137345</v>
      </c>
      <c r="CS14" s="215">
        <f>'Исходные данные'!CT40</f>
        <v>2.8558968783296885</v>
      </c>
      <c r="CT14" s="215">
        <f>'Исходные данные'!CU40</f>
        <v>2.8883045138289321</v>
      </c>
      <c r="CU14" s="215">
        <f>'Исходные данные'!CV40</f>
        <v>2.9210798988945625</v>
      </c>
      <c r="CV14" s="215">
        <f>'Исходные данные'!CW40</f>
        <v>2.9542272066092958</v>
      </c>
      <c r="CW14" s="215">
        <f>'Исходные данные'!CX40</f>
        <v>2.9877506574104107</v>
      </c>
      <c r="CX14" s="215">
        <f>'Исходные данные'!CY40</f>
        <v>3.0216545196271061</v>
      </c>
      <c r="CY14" s="215">
        <f>'Исходные данные'!CZ40</f>
        <v>3.055943110023966</v>
      </c>
      <c r="CZ14" s="215">
        <f>'Исходные данные'!DA40</f>
        <v>3.0906207943505803</v>
      </c>
      <c r="DA14" s="215">
        <f>'Исходные данные'!DB40</f>
        <v>3.125691987897413</v>
      </c>
      <c r="DB14" s="215">
        <f>'Исходные данные'!DC40</f>
        <v>3.1611611560579695</v>
      </c>
      <c r="DC14" s="215">
        <f>'Исходные данные'!DD40</f>
        <v>3.1970328148973501</v>
      </c>
      <c r="DD14" s="215">
        <f>'Исходные данные'!DE40</f>
        <v>3.2333115317272476</v>
      </c>
      <c r="DE14" s="215">
        <f>'Исходные данные'!DF40</f>
        <v>3.2700019256874815</v>
      </c>
      <c r="DF14" s="215">
        <f>'Исходные данные'!DG40</f>
        <v>3.3071086683341151</v>
      </c>
      <c r="DG14" s="215">
        <f>'Исходные данные'!DH40</f>
        <v>3.3446364842342615</v>
      </c>
      <c r="DH14" s="215">
        <f>'Исходные данные'!DI40</f>
        <v>3.3825901515676313</v>
      </c>
      <c r="DI14" s="215">
        <f>'Исходные данные'!DJ40</f>
        <v>3.4209745027349072</v>
      </c>
      <c r="DJ14" s="215">
        <f>'Исходные данные'!DK40</f>
        <v>3.4597944249730239</v>
      </c>
      <c r="DK14" s="215">
        <f>'Исходные данные'!DL40</f>
        <v>3.4990548609774281</v>
      </c>
      <c r="DL14" s="215">
        <f>'Исходные данные'!DM40</f>
        <v>3.5387608095314009</v>
      </c>
      <c r="DM14" s="215">
        <f>'Исходные данные'!DN40</f>
        <v>3.5789173261425242</v>
      </c>
      <c r="DN14" s="215">
        <f>'Исходные данные'!DO40</f>
        <v>3.6195295236863609</v>
      </c>
      <c r="DO14" s="215">
        <f>'Исходные данные'!DP40</f>
        <v>3.6606025730574516</v>
      </c>
      <c r="DP14" s="215">
        <f>'Исходные данные'!DQ40</f>
        <v>3.7021417038276847</v>
      </c>
      <c r="DQ14" s="215">
        <f>'Исходные данные'!DR40</f>
        <v>3.7441522049121518</v>
      </c>
      <c r="DR14" s="215">
        <f>'Исходные данные'!DS40</f>
        <v>3.786639425242547</v>
      </c>
      <c r="DS14" s="215">
        <f>'Исходные данные'!DT40</f>
        <v>3.8296087744482152</v>
      </c>
      <c r="DT14" s="215">
        <f>'Исходные данные'!DU40</f>
        <v>3.8730657235449226</v>
      </c>
    </row>
    <row r="15" spans="2:124" ht="40.5" customHeight="1">
      <c r="B15" s="81" t="s">
        <v>434</v>
      </c>
      <c r="C15" s="82" t="s">
        <v>35</v>
      </c>
      <c r="D15" s="83">
        <f t="shared" si="6"/>
        <v>73244609734.484741</v>
      </c>
      <c r="E15" s="83">
        <f>E13*'Исходные данные'!F40</f>
        <v>0</v>
      </c>
      <c r="F15" s="83">
        <f>F13*'Исходные данные'!G40</f>
        <v>0</v>
      </c>
      <c r="G15" s="83">
        <f>G13*'Исходные данные'!H40</f>
        <v>0</v>
      </c>
      <c r="H15" s="83">
        <f>H13*'Исходные данные'!I40</f>
        <v>0</v>
      </c>
      <c r="I15" s="83">
        <f>I13*'Исходные данные'!J40</f>
        <v>0</v>
      </c>
      <c r="J15" s="83">
        <f>J13*'Исходные данные'!K40</f>
        <v>0</v>
      </c>
      <c r="K15" s="83">
        <f>K13*'Исходные данные'!L40</f>
        <v>0</v>
      </c>
      <c r="L15" s="83">
        <f>L13*'Исходные данные'!M40</f>
        <v>0</v>
      </c>
      <c r="M15" s="83">
        <f>M13*'Исходные данные'!N40</f>
        <v>0</v>
      </c>
      <c r="N15" s="83">
        <f>N13*'Исходные данные'!O40</f>
        <v>0</v>
      </c>
      <c r="O15" s="83">
        <f>O13*'Исходные данные'!P40</f>
        <v>0</v>
      </c>
      <c r="P15" s="83">
        <f>P13*'Исходные данные'!Q40</f>
        <v>0</v>
      </c>
      <c r="Q15" s="83">
        <f>Q13+Q13*Q14</f>
        <v>234681741.58714029</v>
      </c>
      <c r="R15" s="83">
        <f t="shared" ref="R15:CC15" si="132">R13+R13*R14</f>
        <v>238471874.94001541</v>
      </c>
      <c r="S15" s="83">
        <f t="shared" si="132"/>
        <v>242330884.77010363</v>
      </c>
      <c r="T15" s="83">
        <f t="shared" si="132"/>
        <v>246260124.60274792</v>
      </c>
      <c r="U15" s="83">
        <f t="shared" si="132"/>
        <v>250260975.76503614</v>
      </c>
      <c r="V15" s="83">
        <f t="shared" si="132"/>
        <v>254334847.96999252</v>
      </c>
      <c r="W15" s="83">
        <f t="shared" si="132"/>
        <v>258483179.91318315</v>
      </c>
      <c r="X15" s="83">
        <f t="shared" si="132"/>
        <v>262707439.88199779</v>
      </c>
      <c r="Y15" s="83">
        <f t="shared" si="132"/>
        <v>267009126.37788215</v>
      </c>
      <c r="Z15" s="83">
        <f t="shared" si="132"/>
        <v>271389768.75179398</v>
      </c>
      <c r="AA15" s="83">
        <f t="shared" si="132"/>
        <v>275850927.85316801</v>
      </c>
      <c r="AB15" s="83">
        <f t="shared" si="132"/>
        <v>280394196.69267708</v>
      </c>
      <c r="AC15" s="83">
        <f t="shared" si="132"/>
        <v>285021201.1190846</v>
      </c>
      <c r="AD15" s="83">
        <f t="shared" si="132"/>
        <v>289733600.51048917</v>
      </c>
      <c r="AE15" s="83">
        <f t="shared" si="132"/>
        <v>294533088.48026955</v>
      </c>
      <c r="AF15" s="83">
        <f t="shared" si="132"/>
        <v>299421393.59804296</v>
      </c>
      <c r="AG15" s="83">
        <f t="shared" si="132"/>
        <v>304400280.12595928</v>
      </c>
      <c r="AH15" s="83">
        <f t="shared" si="132"/>
        <v>309471548.7706567</v>
      </c>
      <c r="AI15" s="83">
        <f t="shared" si="132"/>
        <v>314637037.45121586</v>
      </c>
      <c r="AJ15" s="83">
        <f t="shared" si="132"/>
        <v>319898622.08345175</v>
      </c>
      <c r="AK15" s="83">
        <f t="shared" si="132"/>
        <v>325258217.38089663</v>
      </c>
      <c r="AL15" s="83">
        <f t="shared" si="132"/>
        <v>330717777.67282498</v>
      </c>
      <c r="AM15" s="83">
        <f t="shared" si="132"/>
        <v>336279297.73969102</v>
      </c>
      <c r="AN15" s="83">
        <f t="shared" si="132"/>
        <v>341944813.66634572</v>
      </c>
      <c r="AO15" s="83">
        <f t="shared" si="132"/>
        <v>347716403.71341735</v>
      </c>
      <c r="AP15" s="83">
        <f t="shared" si="132"/>
        <v>353596189.20724124</v>
      </c>
      <c r="AQ15" s="83">
        <f t="shared" si="132"/>
        <v>359586335.44873679</v>
      </c>
      <c r="AR15" s="83">
        <f t="shared" si="132"/>
        <v>365689052.64163595</v>
      </c>
      <c r="AS15" s="83">
        <f t="shared" si="132"/>
        <v>371906596.84047806</v>
      </c>
      <c r="AT15" s="83">
        <f t="shared" si="132"/>
        <v>378241270.91879225</v>
      </c>
      <c r="AU15" s="83">
        <f t="shared" si="132"/>
        <v>384695425.55790031</v>
      </c>
      <c r="AV15" s="83">
        <f t="shared" si="132"/>
        <v>391271460.25678039</v>
      </c>
      <c r="AW15" s="83">
        <f t="shared" si="132"/>
        <v>397971824.36344194</v>
      </c>
      <c r="AX15" s="83">
        <f t="shared" si="132"/>
        <v>404799018.12827224</v>
      </c>
      <c r="AY15" s="83">
        <f t="shared" si="132"/>
        <v>411755593.77982402</v>
      </c>
      <c r="AZ15" s="83">
        <f t="shared" si="132"/>
        <v>418844156.62352413</v>
      </c>
      <c r="BA15" s="83">
        <f t="shared" si="132"/>
        <v>426067366.16379499</v>
      </c>
      <c r="BB15" s="83">
        <f t="shared" si="132"/>
        <v>433427937.25008583</v>
      </c>
      <c r="BC15" s="83">
        <f t="shared" si="132"/>
        <v>440928641.24733061</v>
      </c>
      <c r="BD15" s="83">
        <f t="shared" si="132"/>
        <v>448572307.23134941</v>
      </c>
      <c r="BE15" s="83">
        <f t="shared" si="132"/>
        <v>456361823.20973182</v>
      </c>
      <c r="BF15" s="83">
        <f t="shared" si="132"/>
        <v>464300137.36874431</v>
      </c>
      <c r="BG15" s="83">
        <f t="shared" si="132"/>
        <v>472390259.34681857</v>
      </c>
      <c r="BH15" s="83">
        <f t="shared" si="132"/>
        <v>480635261.53519142</v>
      </c>
      <c r="BI15" s="83">
        <f t="shared" si="132"/>
        <v>489038280.40627617</v>
      </c>
      <c r="BJ15" s="83">
        <f t="shared" si="132"/>
        <v>497602517.87035638</v>
      </c>
      <c r="BK15" s="83">
        <f t="shared" si="132"/>
        <v>506331242.66121286</v>
      </c>
      <c r="BL15" s="83">
        <f t="shared" si="132"/>
        <v>515227791.75129879</v>
      </c>
      <c r="BM15" s="83">
        <f t="shared" si="132"/>
        <v>524295571.79709685</v>
      </c>
      <c r="BN15" s="83">
        <f t="shared" si="132"/>
        <v>533538060.61530483</v>
      </c>
      <c r="BO15" s="83">
        <f t="shared" si="132"/>
        <v>542958808.69050765</v>
      </c>
      <c r="BP15" s="83">
        <f t="shared" si="132"/>
        <v>552561440.7150116</v>
      </c>
      <c r="BQ15" s="83">
        <f t="shared" si="132"/>
        <v>562349657.16152763</v>
      </c>
      <c r="BR15" s="83">
        <f t="shared" si="132"/>
        <v>572327235.88940763</v>
      </c>
      <c r="BS15" s="83">
        <f t="shared" si="132"/>
        <v>582498033.78514969</v>
      </c>
      <c r="BT15" s="83">
        <f t="shared" si="132"/>
        <v>592865988.4379108</v>
      </c>
      <c r="BU15" s="83">
        <f t="shared" si="132"/>
        <v>603435119.85076928</v>
      </c>
      <c r="BV15" s="83">
        <f t="shared" si="132"/>
        <v>614209532.18850803</v>
      </c>
      <c r="BW15" s="83">
        <f t="shared" si="132"/>
        <v>625193415.5626967</v>
      </c>
      <c r="BX15" s="83">
        <f t="shared" si="132"/>
        <v>636391047.85487461</v>
      </c>
      <c r="BY15" s="83">
        <f t="shared" si="132"/>
        <v>647806796.57864451</v>
      </c>
      <c r="BZ15" s="83">
        <f t="shared" si="132"/>
        <v>659445120.78151679</v>
      </c>
      <c r="CA15" s="83">
        <f t="shared" si="132"/>
        <v>671310572.98734879</v>
      </c>
      <c r="CB15" s="83">
        <f t="shared" si="132"/>
        <v>683407801.18025458</v>
      </c>
      <c r="CC15" s="83">
        <f t="shared" si="132"/>
        <v>695741550.83086658</v>
      </c>
      <c r="CD15" s="83">
        <f t="shared" ref="CD15:DT15" si="133">CD13+CD13*CD14</f>
        <v>708316666.96585977</v>
      </c>
      <c r="CE15" s="83">
        <f t="shared" si="133"/>
        <v>721138096.28166533</v>
      </c>
      <c r="CF15" s="83">
        <f t="shared" si="133"/>
        <v>734210889.30331516</v>
      </c>
      <c r="CG15" s="83">
        <f t="shared" si="133"/>
        <v>747540202.58938992</v>
      </c>
      <c r="CH15" s="83">
        <f t="shared" si="133"/>
        <v>761131300.98405087</v>
      </c>
      <c r="CI15" s="83">
        <f t="shared" si="133"/>
        <v>774989559.91717124</v>
      </c>
      <c r="CJ15" s="83">
        <f t="shared" si="133"/>
        <v>789120467.75358808</v>
      </c>
      <c r="CK15" s="83">
        <f t="shared" si="133"/>
        <v>803529628.19253671</v>
      </c>
      <c r="CL15" s="83">
        <f t="shared" si="133"/>
        <v>818222762.71833205</v>
      </c>
      <c r="CM15" s="83">
        <f t="shared" si="133"/>
        <v>833205713.10340178</v>
      </c>
      <c r="CN15" s="83">
        <f t="shared" si="133"/>
        <v>848484443.96478915</v>
      </c>
      <c r="CO15" s="83">
        <f t="shared" si="133"/>
        <v>864065045.37527132</v>
      </c>
      <c r="CP15" s="83">
        <f t="shared" si="133"/>
        <v>879953735.53026104</v>
      </c>
      <c r="CQ15" s="83">
        <f t="shared" si="133"/>
        <v>896156863.47168994</v>
      </c>
      <c r="CR15" s="83">
        <f t="shared" si="133"/>
        <v>912680911.87009001</v>
      </c>
      <c r="CS15" s="83">
        <f t="shared" si="133"/>
        <v>929532499.86612225</v>
      </c>
      <c r="CT15" s="83">
        <f t="shared" si="133"/>
        <v>946718385.97282481</v>
      </c>
      <c r="CU15" s="83">
        <f t="shared" si="133"/>
        <v>964245471.03987908</v>
      </c>
      <c r="CV15" s="83">
        <f t="shared" si="133"/>
        <v>982120801.28122759</v>
      </c>
      <c r="CW15" s="83">
        <f t="shared" si="133"/>
        <v>1000351571.3673943</v>
      </c>
      <c r="CX15" s="83">
        <f t="shared" si="133"/>
        <v>1018945127.5838962</v>
      </c>
      <c r="CY15" s="83">
        <f t="shared" si="133"/>
        <v>1037908971.057163</v>
      </c>
      <c r="CZ15" s="83">
        <f t="shared" si="133"/>
        <v>1057250761.049408</v>
      </c>
      <c r="DA15" s="83">
        <f t="shared" si="133"/>
        <v>1076978318.3239293</v>
      </c>
      <c r="DB15" s="83">
        <f t="shared" si="133"/>
        <v>1097099628.5823507</v>
      </c>
      <c r="DC15" s="83">
        <f t="shared" si="133"/>
        <v>1117622845.9753389</v>
      </c>
      <c r="DD15" s="83">
        <f t="shared" si="133"/>
        <v>1138556296.6883767</v>
      </c>
      <c r="DE15" s="83">
        <f t="shared" si="133"/>
        <v>1159908482.604198</v>
      </c>
      <c r="DF15" s="83">
        <f t="shared" si="133"/>
        <v>1181688085.0435238</v>
      </c>
      <c r="DG15" s="83">
        <f t="shared" si="133"/>
        <v>1203903968.5857818</v>
      </c>
      <c r="DH15" s="83">
        <f t="shared" si="133"/>
        <v>1226565184.971519</v>
      </c>
      <c r="DI15" s="83">
        <f t="shared" si="133"/>
        <v>1249680977.0882607</v>
      </c>
      <c r="DJ15" s="83">
        <f t="shared" si="133"/>
        <v>1273260783.0415998</v>
      </c>
      <c r="DK15" s="83">
        <f t="shared" si="133"/>
        <v>1297314240.3133492</v>
      </c>
      <c r="DL15" s="83">
        <f t="shared" si="133"/>
        <v>1321851190.0086119</v>
      </c>
      <c r="DM15" s="83">
        <f t="shared" si="133"/>
        <v>1346881681.193687</v>
      </c>
      <c r="DN15" s="83">
        <f t="shared" si="133"/>
        <v>1372415975.326745</v>
      </c>
      <c r="DO15" s="83">
        <f t="shared" si="133"/>
        <v>1398464550.783272</v>
      </c>
      <c r="DP15" s="83">
        <f t="shared" si="133"/>
        <v>1425038107.478303</v>
      </c>
      <c r="DQ15" s="83">
        <f t="shared" si="133"/>
        <v>1452147571.5875256</v>
      </c>
      <c r="DR15" s="83">
        <f t="shared" si="133"/>
        <v>1479804100.369369</v>
      </c>
      <c r="DS15" s="83">
        <f t="shared" si="133"/>
        <v>1508019087.0902436</v>
      </c>
      <c r="DT15" s="83">
        <f t="shared" si="133"/>
        <v>1536804166.0551412</v>
      </c>
    </row>
    <row r="18" spans="2:5">
      <c r="B18" s="355" t="s">
        <v>441</v>
      </c>
      <c r="C18" s="356"/>
      <c r="D18" s="356"/>
      <c r="E18" s="356"/>
    </row>
    <row r="19" spans="2:5">
      <c r="B19" s="356"/>
      <c r="C19" s="356"/>
      <c r="D19" s="356"/>
      <c r="E19" s="356"/>
    </row>
    <row r="20" spans="2:5">
      <c r="B20" s="356"/>
      <c r="C20" s="356"/>
      <c r="D20" s="356"/>
      <c r="E20" s="356"/>
    </row>
    <row r="21" spans="2:5">
      <c r="B21" s="356"/>
      <c r="C21" s="356"/>
      <c r="D21" s="356"/>
      <c r="E21" s="356"/>
    </row>
    <row r="22" spans="2:5">
      <c r="B22" s="356"/>
      <c r="C22" s="356"/>
      <c r="D22" s="356"/>
      <c r="E22" s="356"/>
    </row>
    <row r="23" spans="2:5">
      <c r="B23" s="356"/>
      <c r="C23" s="356"/>
      <c r="D23" s="356"/>
      <c r="E23" s="356"/>
    </row>
    <row r="24" spans="2:5">
      <c r="B24" s="356"/>
      <c r="C24" s="356"/>
      <c r="D24" s="356"/>
      <c r="E24" s="356"/>
    </row>
    <row r="25" spans="2:5">
      <c r="B25" s="356"/>
      <c r="C25" s="356"/>
      <c r="D25" s="356"/>
      <c r="E25" s="356"/>
    </row>
    <row r="26" spans="2:5">
      <c r="B26" s="356"/>
      <c r="C26" s="356"/>
      <c r="D26" s="356"/>
      <c r="E26" s="356"/>
    </row>
    <row r="27" spans="2:5">
      <c r="B27" s="356"/>
      <c r="C27" s="356"/>
      <c r="D27" s="356"/>
      <c r="E27" s="356"/>
    </row>
    <row r="28" spans="2:5" ht="52" customHeight="1">
      <c r="B28" s="356"/>
      <c r="C28" s="356"/>
      <c r="D28" s="356"/>
      <c r="E28" s="356"/>
    </row>
  </sheetData>
  <mergeCells count="15">
    <mergeCell ref="B2:D2"/>
    <mergeCell ref="E3:P3"/>
    <mergeCell ref="Q3:AB3"/>
    <mergeCell ref="AC3:AN3"/>
    <mergeCell ref="B4:B5"/>
    <mergeCell ref="C4:C5"/>
    <mergeCell ref="D4:D5"/>
    <mergeCell ref="B18:E28"/>
    <mergeCell ref="CW3:DH3"/>
    <mergeCell ref="DI3:DT3"/>
    <mergeCell ref="AO3:AZ3"/>
    <mergeCell ref="BA3:BL3"/>
    <mergeCell ref="BM3:BX3"/>
    <mergeCell ref="BY3:CJ3"/>
    <mergeCell ref="CK3:CV3"/>
  </mergeCells>
  <pageMargins left="0.7" right="0.7" top="0.75" bottom="0.75" header="0.3" footer="0.3"/>
  <pageSetup paperSize="9" firstPageNumber="4294967295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9FAB7-A954-401A-962C-4EA76A78C23C}">
  <dimension ref="A1:DS22"/>
  <sheetViews>
    <sheetView workbookViewId="0">
      <selection activeCell="D19" sqref="D5:DS19"/>
    </sheetView>
  </sheetViews>
  <sheetFormatPr baseColWidth="10" defaultColWidth="8.83203125" defaultRowHeight="15"/>
  <sheetData>
    <row r="1" spans="1:123" ht="16" thickBot="1">
      <c r="A1" s="361" t="s">
        <v>57</v>
      </c>
      <c r="B1" s="361"/>
      <c r="C1" s="361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0"/>
      <c r="AP1" s="230"/>
      <c r="AQ1" s="230"/>
      <c r="AR1" s="230"/>
      <c r="AS1" s="230"/>
      <c r="AT1" s="230"/>
      <c r="AU1" s="230"/>
      <c r="AV1" s="230"/>
      <c r="AW1" s="230"/>
      <c r="AX1" s="230"/>
      <c r="AY1" s="230"/>
      <c r="AZ1" s="230"/>
      <c r="BA1" s="230"/>
      <c r="BB1" s="230"/>
      <c r="BC1" s="230"/>
      <c r="BD1" s="230"/>
      <c r="BE1" s="230"/>
      <c r="BF1" s="230"/>
      <c r="BG1" s="230"/>
      <c r="BH1" s="230"/>
      <c r="BI1" s="230"/>
      <c r="BJ1" s="230"/>
      <c r="BK1" s="230"/>
      <c r="BL1" s="230"/>
      <c r="BM1" s="230"/>
      <c r="BN1" s="230"/>
      <c r="BO1" s="230"/>
      <c r="BP1" s="230"/>
      <c r="BQ1" s="230"/>
      <c r="BR1" s="230"/>
      <c r="BS1" s="230"/>
      <c r="BT1" s="230"/>
      <c r="BU1" s="230"/>
      <c r="BV1" s="230"/>
      <c r="BW1" s="230"/>
      <c r="BX1" s="230"/>
      <c r="BY1" s="230"/>
      <c r="BZ1" s="230"/>
      <c r="CA1" s="230"/>
      <c r="CB1" s="230"/>
      <c r="CC1" s="230"/>
      <c r="CD1" s="230"/>
      <c r="CE1" s="230"/>
      <c r="CF1" s="230"/>
      <c r="CG1" s="230"/>
      <c r="CH1" s="230"/>
      <c r="CI1" s="230"/>
      <c r="CJ1" s="230"/>
      <c r="CK1" s="230"/>
      <c r="CL1" s="230"/>
      <c r="CM1" s="230"/>
      <c r="CN1" s="230"/>
      <c r="CO1" s="230"/>
      <c r="CP1" s="230"/>
      <c r="CQ1" s="230"/>
      <c r="CR1" s="230"/>
      <c r="CS1" s="230"/>
      <c r="CT1" s="230"/>
      <c r="CU1" s="230"/>
      <c r="CV1" s="230"/>
      <c r="CW1" s="230"/>
      <c r="CX1" s="230"/>
      <c r="CY1" s="230"/>
      <c r="CZ1" s="230"/>
      <c r="DA1" s="230"/>
      <c r="DB1" s="230"/>
      <c r="DC1" s="230"/>
      <c r="DD1" s="230"/>
      <c r="DE1" s="230"/>
      <c r="DF1" s="230"/>
      <c r="DG1" s="230"/>
      <c r="DH1" s="230"/>
      <c r="DI1" s="230"/>
      <c r="DJ1" s="230"/>
      <c r="DK1" s="230"/>
      <c r="DL1" s="230"/>
      <c r="DM1" s="230"/>
      <c r="DN1" s="230"/>
      <c r="DO1" s="230"/>
      <c r="DP1" s="230"/>
      <c r="DQ1" s="230"/>
      <c r="DR1" s="230"/>
      <c r="DS1" s="230"/>
    </row>
    <row r="2" spans="1:123">
      <c r="A2" s="230"/>
      <c r="B2" s="230"/>
      <c r="C2" s="230"/>
      <c r="D2" s="317" t="s">
        <v>23</v>
      </c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20"/>
      <c r="P2" s="317" t="s">
        <v>24</v>
      </c>
      <c r="Q2" s="318"/>
      <c r="R2" s="318"/>
      <c r="S2" s="318"/>
      <c r="T2" s="318"/>
      <c r="U2" s="318"/>
      <c r="V2" s="318"/>
      <c r="W2" s="318"/>
      <c r="X2" s="318"/>
      <c r="Y2" s="318"/>
      <c r="Z2" s="318"/>
      <c r="AA2" s="320"/>
      <c r="AB2" s="317" t="s">
        <v>25</v>
      </c>
      <c r="AC2" s="318"/>
      <c r="AD2" s="318"/>
      <c r="AE2" s="318"/>
      <c r="AF2" s="318"/>
      <c r="AG2" s="318"/>
      <c r="AH2" s="318"/>
      <c r="AI2" s="318"/>
      <c r="AJ2" s="318"/>
      <c r="AK2" s="318"/>
      <c r="AL2" s="318"/>
      <c r="AM2" s="319"/>
      <c r="AN2" s="317" t="s">
        <v>346</v>
      </c>
      <c r="AO2" s="318"/>
      <c r="AP2" s="318"/>
      <c r="AQ2" s="318"/>
      <c r="AR2" s="318"/>
      <c r="AS2" s="318"/>
      <c r="AT2" s="318"/>
      <c r="AU2" s="318"/>
      <c r="AV2" s="318"/>
      <c r="AW2" s="318"/>
      <c r="AX2" s="318"/>
      <c r="AY2" s="320"/>
      <c r="AZ2" s="317" t="s">
        <v>347</v>
      </c>
      <c r="BA2" s="318"/>
      <c r="BB2" s="318"/>
      <c r="BC2" s="318"/>
      <c r="BD2" s="318"/>
      <c r="BE2" s="318"/>
      <c r="BF2" s="318"/>
      <c r="BG2" s="318"/>
      <c r="BH2" s="318"/>
      <c r="BI2" s="318"/>
      <c r="BJ2" s="318"/>
      <c r="BK2" s="320"/>
      <c r="BL2" s="317" t="s">
        <v>348</v>
      </c>
      <c r="BM2" s="318"/>
      <c r="BN2" s="318"/>
      <c r="BO2" s="318"/>
      <c r="BP2" s="318"/>
      <c r="BQ2" s="318"/>
      <c r="BR2" s="318"/>
      <c r="BS2" s="318"/>
      <c r="BT2" s="318"/>
      <c r="BU2" s="318"/>
      <c r="BV2" s="318"/>
      <c r="BW2" s="320"/>
      <c r="BX2" s="317" t="s">
        <v>349</v>
      </c>
      <c r="BY2" s="318"/>
      <c r="BZ2" s="318"/>
      <c r="CA2" s="318"/>
      <c r="CB2" s="318"/>
      <c r="CC2" s="318"/>
      <c r="CD2" s="318"/>
      <c r="CE2" s="318"/>
      <c r="CF2" s="318"/>
      <c r="CG2" s="318"/>
      <c r="CH2" s="318"/>
      <c r="CI2" s="320"/>
      <c r="CJ2" s="317" t="s">
        <v>350</v>
      </c>
      <c r="CK2" s="318"/>
      <c r="CL2" s="318"/>
      <c r="CM2" s="318"/>
      <c r="CN2" s="318"/>
      <c r="CO2" s="318"/>
      <c r="CP2" s="318"/>
      <c r="CQ2" s="318"/>
      <c r="CR2" s="318"/>
      <c r="CS2" s="318"/>
      <c r="CT2" s="318"/>
      <c r="CU2" s="319"/>
      <c r="CV2" s="317" t="s">
        <v>351</v>
      </c>
      <c r="CW2" s="318"/>
      <c r="CX2" s="318"/>
      <c r="CY2" s="318"/>
      <c r="CZ2" s="318"/>
      <c r="DA2" s="318"/>
      <c r="DB2" s="318"/>
      <c r="DC2" s="318"/>
      <c r="DD2" s="318"/>
      <c r="DE2" s="318"/>
      <c r="DF2" s="318"/>
      <c r="DG2" s="320"/>
      <c r="DH2" s="317" t="s">
        <v>352</v>
      </c>
      <c r="DI2" s="318"/>
      <c r="DJ2" s="318"/>
      <c r="DK2" s="318"/>
      <c r="DL2" s="318"/>
      <c r="DM2" s="318"/>
      <c r="DN2" s="318"/>
      <c r="DO2" s="318"/>
      <c r="DP2" s="318"/>
      <c r="DQ2" s="318"/>
      <c r="DR2" s="318"/>
      <c r="DS2" s="320"/>
    </row>
    <row r="3" spans="1:123">
      <c r="A3" s="362" t="s">
        <v>58</v>
      </c>
      <c r="B3" s="363" t="s">
        <v>54</v>
      </c>
      <c r="C3" s="364" t="s">
        <v>59</v>
      </c>
      <c r="D3" s="231">
        <v>1</v>
      </c>
      <c r="E3" s="231">
        <v>2</v>
      </c>
      <c r="F3" s="231">
        <v>3</v>
      </c>
      <c r="G3" s="231">
        <v>4</v>
      </c>
      <c r="H3" s="231">
        <v>5</v>
      </c>
      <c r="I3" s="231">
        <v>6</v>
      </c>
      <c r="J3" s="231">
        <v>7</v>
      </c>
      <c r="K3" s="231">
        <v>8</v>
      </c>
      <c r="L3" s="231">
        <v>9</v>
      </c>
      <c r="M3" s="231">
        <v>10</v>
      </c>
      <c r="N3" s="231">
        <v>11</v>
      </c>
      <c r="O3" s="231">
        <v>12</v>
      </c>
      <c r="P3" s="231">
        <v>1</v>
      </c>
      <c r="Q3" s="231">
        <v>2</v>
      </c>
      <c r="R3" s="231">
        <v>3</v>
      </c>
      <c r="S3" s="231">
        <v>4</v>
      </c>
      <c r="T3" s="231">
        <v>5</v>
      </c>
      <c r="U3" s="231">
        <v>6</v>
      </c>
      <c r="V3" s="231">
        <v>7</v>
      </c>
      <c r="W3" s="231">
        <v>8</v>
      </c>
      <c r="X3" s="231">
        <v>9</v>
      </c>
      <c r="Y3" s="231">
        <v>10</v>
      </c>
      <c r="Z3" s="231">
        <v>11</v>
      </c>
      <c r="AA3" s="231">
        <v>12</v>
      </c>
      <c r="AB3" s="231">
        <v>1</v>
      </c>
      <c r="AC3" s="231">
        <v>2</v>
      </c>
      <c r="AD3" s="231">
        <v>3</v>
      </c>
      <c r="AE3" s="231">
        <v>4</v>
      </c>
      <c r="AF3" s="231">
        <v>5</v>
      </c>
      <c r="AG3" s="231">
        <v>6</v>
      </c>
      <c r="AH3" s="231">
        <v>7</v>
      </c>
      <c r="AI3" s="231">
        <v>8</v>
      </c>
      <c r="AJ3" s="231">
        <v>9</v>
      </c>
      <c r="AK3" s="231">
        <v>10</v>
      </c>
      <c r="AL3" s="231">
        <v>11</v>
      </c>
      <c r="AM3" s="232">
        <v>12</v>
      </c>
      <c r="AN3" s="231">
        <v>1</v>
      </c>
      <c r="AO3" s="231">
        <v>2</v>
      </c>
      <c r="AP3" s="231">
        <v>3</v>
      </c>
      <c r="AQ3" s="231">
        <v>4</v>
      </c>
      <c r="AR3" s="231">
        <v>5</v>
      </c>
      <c r="AS3" s="231">
        <v>6</v>
      </c>
      <c r="AT3" s="231">
        <v>7</v>
      </c>
      <c r="AU3" s="231">
        <v>8</v>
      </c>
      <c r="AV3" s="231">
        <v>9</v>
      </c>
      <c r="AW3" s="231">
        <v>10</v>
      </c>
      <c r="AX3" s="231">
        <v>11</v>
      </c>
      <c r="AY3" s="231">
        <v>12</v>
      </c>
      <c r="AZ3" s="231">
        <v>1</v>
      </c>
      <c r="BA3" s="231">
        <v>2</v>
      </c>
      <c r="BB3" s="231">
        <v>3</v>
      </c>
      <c r="BC3" s="231">
        <v>4</v>
      </c>
      <c r="BD3" s="231">
        <v>5</v>
      </c>
      <c r="BE3" s="231">
        <v>6</v>
      </c>
      <c r="BF3" s="231">
        <v>7</v>
      </c>
      <c r="BG3" s="231">
        <v>8</v>
      </c>
      <c r="BH3" s="231">
        <v>9</v>
      </c>
      <c r="BI3" s="231">
        <v>10</v>
      </c>
      <c r="BJ3" s="231">
        <v>11</v>
      </c>
      <c r="BK3" s="231">
        <v>12</v>
      </c>
      <c r="BL3" s="231">
        <v>1</v>
      </c>
      <c r="BM3" s="231">
        <v>2</v>
      </c>
      <c r="BN3" s="231">
        <v>3</v>
      </c>
      <c r="BO3" s="231">
        <v>4</v>
      </c>
      <c r="BP3" s="231">
        <v>5</v>
      </c>
      <c r="BQ3" s="231">
        <v>6</v>
      </c>
      <c r="BR3" s="231">
        <v>7</v>
      </c>
      <c r="BS3" s="231">
        <v>8</v>
      </c>
      <c r="BT3" s="231">
        <v>9</v>
      </c>
      <c r="BU3" s="231">
        <v>10</v>
      </c>
      <c r="BV3" s="231">
        <v>11</v>
      </c>
      <c r="BW3" s="231">
        <v>12</v>
      </c>
      <c r="BX3" s="231">
        <v>1</v>
      </c>
      <c r="BY3" s="231">
        <v>2</v>
      </c>
      <c r="BZ3" s="231">
        <v>3</v>
      </c>
      <c r="CA3" s="231">
        <v>4</v>
      </c>
      <c r="CB3" s="231">
        <v>5</v>
      </c>
      <c r="CC3" s="231">
        <v>6</v>
      </c>
      <c r="CD3" s="231">
        <v>7</v>
      </c>
      <c r="CE3" s="231">
        <v>8</v>
      </c>
      <c r="CF3" s="231">
        <v>9</v>
      </c>
      <c r="CG3" s="231">
        <v>10</v>
      </c>
      <c r="CH3" s="231">
        <v>11</v>
      </c>
      <c r="CI3" s="231">
        <v>12</v>
      </c>
      <c r="CJ3" s="231">
        <v>1</v>
      </c>
      <c r="CK3" s="231">
        <v>2</v>
      </c>
      <c r="CL3" s="231">
        <v>3</v>
      </c>
      <c r="CM3" s="231">
        <v>4</v>
      </c>
      <c r="CN3" s="231">
        <v>5</v>
      </c>
      <c r="CO3" s="231">
        <v>6</v>
      </c>
      <c r="CP3" s="231">
        <v>7</v>
      </c>
      <c r="CQ3" s="231">
        <v>8</v>
      </c>
      <c r="CR3" s="231">
        <v>9</v>
      </c>
      <c r="CS3" s="231">
        <v>10</v>
      </c>
      <c r="CT3" s="231">
        <v>11</v>
      </c>
      <c r="CU3" s="232">
        <v>12</v>
      </c>
      <c r="CV3" s="231">
        <v>1</v>
      </c>
      <c r="CW3" s="231">
        <v>2</v>
      </c>
      <c r="CX3" s="231">
        <v>3</v>
      </c>
      <c r="CY3" s="231">
        <v>4</v>
      </c>
      <c r="CZ3" s="231">
        <v>5</v>
      </c>
      <c r="DA3" s="231">
        <v>6</v>
      </c>
      <c r="DB3" s="231">
        <v>7</v>
      </c>
      <c r="DC3" s="231">
        <v>8</v>
      </c>
      <c r="DD3" s="231">
        <v>9</v>
      </c>
      <c r="DE3" s="231">
        <v>10</v>
      </c>
      <c r="DF3" s="231">
        <v>11</v>
      </c>
      <c r="DG3" s="231">
        <v>12</v>
      </c>
      <c r="DH3" s="231">
        <v>1</v>
      </c>
      <c r="DI3" s="231">
        <v>2</v>
      </c>
      <c r="DJ3" s="231">
        <v>3</v>
      </c>
      <c r="DK3" s="231">
        <v>4</v>
      </c>
      <c r="DL3" s="231">
        <v>5</v>
      </c>
      <c r="DM3" s="231">
        <v>6</v>
      </c>
      <c r="DN3" s="231">
        <v>7</v>
      </c>
      <c r="DO3" s="231">
        <v>8</v>
      </c>
      <c r="DP3" s="231">
        <v>9</v>
      </c>
      <c r="DQ3" s="231">
        <v>10</v>
      </c>
      <c r="DR3" s="231">
        <v>11</v>
      </c>
      <c r="DS3" s="231">
        <v>12</v>
      </c>
    </row>
    <row r="4" spans="1:123">
      <c r="A4" s="362"/>
      <c r="B4" s="363"/>
      <c r="C4" s="364"/>
      <c r="D4" s="270">
        <v>1</v>
      </c>
      <c r="E4" s="270">
        <v>2</v>
      </c>
      <c r="F4" s="270">
        <v>3</v>
      </c>
      <c r="G4" s="270">
        <v>4</v>
      </c>
      <c r="H4" s="270">
        <v>5</v>
      </c>
      <c r="I4" s="270">
        <v>6</v>
      </c>
      <c r="J4" s="270">
        <v>7</v>
      </c>
      <c r="K4" s="270">
        <v>8</v>
      </c>
      <c r="L4" s="270">
        <v>9</v>
      </c>
      <c r="M4" s="270">
        <v>10</v>
      </c>
      <c r="N4" s="270">
        <v>11</v>
      </c>
      <c r="O4" s="270">
        <v>12</v>
      </c>
      <c r="P4" s="270">
        <v>13</v>
      </c>
      <c r="Q4" s="270">
        <v>14</v>
      </c>
      <c r="R4" s="270">
        <v>15</v>
      </c>
      <c r="S4" s="270">
        <v>16</v>
      </c>
      <c r="T4" s="270">
        <v>17</v>
      </c>
      <c r="U4" s="270">
        <v>18</v>
      </c>
      <c r="V4" s="270">
        <v>19</v>
      </c>
      <c r="W4" s="270">
        <v>20</v>
      </c>
      <c r="X4" s="270">
        <v>21</v>
      </c>
      <c r="Y4" s="270">
        <v>22</v>
      </c>
      <c r="Z4" s="270">
        <v>23</v>
      </c>
      <c r="AA4" s="270">
        <v>24</v>
      </c>
      <c r="AB4" s="270">
        <v>25</v>
      </c>
      <c r="AC4" s="270">
        <v>26</v>
      </c>
      <c r="AD4" s="270">
        <v>27</v>
      </c>
      <c r="AE4" s="270">
        <v>28</v>
      </c>
      <c r="AF4" s="270">
        <v>29</v>
      </c>
      <c r="AG4" s="270">
        <v>30</v>
      </c>
      <c r="AH4" s="270">
        <v>31</v>
      </c>
      <c r="AI4" s="270">
        <v>32</v>
      </c>
      <c r="AJ4" s="270">
        <v>33</v>
      </c>
      <c r="AK4" s="270">
        <v>34</v>
      </c>
      <c r="AL4" s="270">
        <v>35</v>
      </c>
      <c r="AM4" s="270">
        <v>36</v>
      </c>
      <c r="AN4" s="270">
        <v>1</v>
      </c>
      <c r="AO4" s="270">
        <v>2</v>
      </c>
      <c r="AP4" s="270">
        <v>3</v>
      </c>
      <c r="AQ4" s="270">
        <v>4</v>
      </c>
      <c r="AR4" s="270">
        <v>5</v>
      </c>
      <c r="AS4" s="270">
        <v>6</v>
      </c>
      <c r="AT4" s="270">
        <v>7</v>
      </c>
      <c r="AU4" s="270">
        <v>8</v>
      </c>
      <c r="AV4" s="270">
        <v>9</v>
      </c>
      <c r="AW4" s="270">
        <v>10</v>
      </c>
      <c r="AX4" s="270">
        <v>11</v>
      </c>
      <c r="AY4" s="270">
        <v>12</v>
      </c>
      <c r="AZ4" s="270">
        <v>13</v>
      </c>
      <c r="BA4" s="270">
        <v>14</v>
      </c>
      <c r="BB4" s="270">
        <v>15</v>
      </c>
      <c r="BC4" s="270">
        <v>16</v>
      </c>
      <c r="BD4" s="270">
        <v>17</v>
      </c>
      <c r="BE4" s="270">
        <v>18</v>
      </c>
      <c r="BF4" s="270">
        <v>19</v>
      </c>
      <c r="BG4" s="270">
        <v>20</v>
      </c>
      <c r="BH4" s="270">
        <v>21</v>
      </c>
      <c r="BI4" s="270">
        <v>22</v>
      </c>
      <c r="BJ4" s="270">
        <v>23</v>
      </c>
      <c r="BK4" s="270">
        <v>24</v>
      </c>
      <c r="BL4" s="270">
        <v>1</v>
      </c>
      <c r="BM4" s="270">
        <v>2</v>
      </c>
      <c r="BN4" s="270">
        <v>3</v>
      </c>
      <c r="BO4" s="270">
        <v>4</v>
      </c>
      <c r="BP4" s="270">
        <v>5</v>
      </c>
      <c r="BQ4" s="270">
        <v>6</v>
      </c>
      <c r="BR4" s="270">
        <v>7</v>
      </c>
      <c r="BS4" s="270">
        <v>8</v>
      </c>
      <c r="BT4" s="270">
        <v>9</v>
      </c>
      <c r="BU4" s="270">
        <v>10</v>
      </c>
      <c r="BV4" s="270">
        <v>11</v>
      </c>
      <c r="BW4" s="270">
        <v>12</v>
      </c>
      <c r="BX4" s="270">
        <v>13</v>
      </c>
      <c r="BY4" s="270">
        <v>14</v>
      </c>
      <c r="BZ4" s="270">
        <v>15</v>
      </c>
      <c r="CA4" s="270">
        <v>16</v>
      </c>
      <c r="CB4" s="270">
        <v>17</v>
      </c>
      <c r="CC4" s="270">
        <v>18</v>
      </c>
      <c r="CD4" s="270">
        <v>19</v>
      </c>
      <c r="CE4" s="270">
        <v>20</v>
      </c>
      <c r="CF4" s="270">
        <v>21</v>
      </c>
      <c r="CG4" s="270">
        <v>22</v>
      </c>
      <c r="CH4" s="270">
        <v>23</v>
      </c>
      <c r="CI4" s="270">
        <v>24</v>
      </c>
      <c r="CJ4" s="270">
        <v>25</v>
      </c>
      <c r="CK4" s="270">
        <v>26</v>
      </c>
      <c r="CL4" s="270">
        <v>27</v>
      </c>
      <c r="CM4" s="270">
        <v>28</v>
      </c>
      <c r="CN4" s="270">
        <v>29</v>
      </c>
      <c r="CO4" s="270">
        <v>30</v>
      </c>
      <c r="CP4" s="270">
        <v>31</v>
      </c>
      <c r="CQ4" s="270">
        <v>32</v>
      </c>
      <c r="CR4" s="270">
        <v>33</v>
      </c>
      <c r="CS4" s="270">
        <v>34</v>
      </c>
      <c r="CT4" s="270">
        <v>35</v>
      </c>
      <c r="CU4" s="270">
        <v>36</v>
      </c>
      <c r="CV4" s="270">
        <v>1</v>
      </c>
      <c r="CW4" s="270">
        <v>2</v>
      </c>
      <c r="CX4" s="270">
        <v>3</v>
      </c>
      <c r="CY4" s="270">
        <v>4</v>
      </c>
      <c r="CZ4" s="270">
        <v>5</v>
      </c>
      <c r="DA4" s="270">
        <v>6</v>
      </c>
      <c r="DB4" s="270">
        <v>7</v>
      </c>
      <c r="DC4" s="270">
        <v>8</v>
      </c>
      <c r="DD4" s="270">
        <v>9</v>
      </c>
      <c r="DE4" s="270">
        <v>10</v>
      </c>
      <c r="DF4" s="270">
        <v>11</v>
      </c>
      <c r="DG4" s="270">
        <v>12</v>
      </c>
      <c r="DH4" s="270">
        <v>13</v>
      </c>
      <c r="DI4" s="270">
        <v>14</v>
      </c>
      <c r="DJ4" s="270">
        <v>15</v>
      </c>
      <c r="DK4" s="270">
        <v>16</v>
      </c>
      <c r="DL4" s="270">
        <v>17</v>
      </c>
      <c r="DM4" s="270">
        <v>18</v>
      </c>
      <c r="DN4" s="270">
        <v>19</v>
      </c>
      <c r="DO4" s="270">
        <v>20</v>
      </c>
      <c r="DP4" s="270">
        <v>21</v>
      </c>
      <c r="DQ4" s="270">
        <v>22</v>
      </c>
      <c r="DR4" s="270">
        <v>23</v>
      </c>
      <c r="DS4" s="270">
        <v>24</v>
      </c>
    </row>
    <row r="5" spans="1:123" ht="45" thickBot="1">
      <c r="A5" s="271" t="s">
        <v>406</v>
      </c>
      <c r="B5" s="237" t="s">
        <v>35</v>
      </c>
      <c r="C5" s="272">
        <f>SUM(D5:DS5)</f>
        <v>0</v>
      </c>
      <c r="D5" s="240">
        <v>0</v>
      </c>
      <c r="E5" s="240">
        <v>0</v>
      </c>
      <c r="F5" s="240">
        <v>0</v>
      </c>
      <c r="G5" s="240">
        <v>0</v>
      </c>
      <c r="H5" s="240">
        <v>0</v>
      </c>
      <c r="I5" s="240">
        <v>0</v>
      </c>
      <c r="J5" s="240">
        <v>0</v>
      </c>
      <c r="K5" s="240">
        <v>0</v>
      </c>
      <c r="L5" s="240">
        <v>0</v>
      </c>
      <c r="M5" s="240">
        <v>0</v>
      </c>
      <c r="N5" s="240">
        <v>0</v>
      </c>
      <c r="O5" s="240">
        <v>0</v>
      </c>
      <c r="P5" s="240">
        <v>0</v>
      </c>
      <c r="Q5" s="240">
        <v>0</v>
      </c>
      <c r="R5" s="240">
        <v>0</v>
      </c>
      <c r="S5" s="240">
        <v>0</v>
      </c>
      <c r="T5" s="240">
        <v>0</v>
      </c>
      <c r="U5" s="240">
        <v>0</v>
      </c>
      <c r="V5" s="240">
        <v>0</v>
      </c>
      <c r="W5" s="240">
        <v>0</v>
      </c>
      <c r="X5" s="240">
        <v>0</v>
      </c>
      <c r="Y5" s="240">
        <v>0</v>
      </c>
      <c r="Z5" s="240">
        <v>0</v>
      </c>
      <c r="AA5" s="240">
        <v>0</v>
      </c>
      <c r="AB5" s="240">
        <v>0</v>
      </c>
      <c r="AC5" s="240">
        <v>0</v>
      </c>
      <c r="AD5" s="240">
        <v>0</v>
      </c>
      <c r="AE5" s="240">
        <v>0</v>
      </c>
      <c r="AF5" s="240">
        <v>0</v>
      </c>
      <c r="AG5" s="240">
        <v>0</v>
      </c>
      <c r="AH5" s="240">
        <v>0</v>
      </c>
      <c r="AI5" s="240">
        <v>0</v>
      </c>
      <c r="AJ5" s="240">
        <v>0</v>
      </c>
      <c r="AK5" s="240">
        <v>0</v>
      </c>
      <c r="AL5" s="240">
        <v>0</v>
      </c>
      <c r="AM5" s="240">
        <v>0</v>
      </c>
      <c r="AN5" s="240">
        <v>0</v>
      </c>
      <c r="AO5" s="240">
        <v>0</v>
      </c>
      <c r="AP5" s="240">
        <v>0</v>
      </c>
      <c r="AQ5" s="240">
        <v>0</v>
      </c>
      <c r="AR5" s="240">
        <v>0</v>
      </c>
      <c r="AS5" s="240">
        <v>0</v>
      </c>
      <c r="AT5" s="240">
        <v>0</v>
      </c>
      <c r="AU5" s="240">
        <v>0</v>
      </c>
      <c r="AV5" s="240">
        <v>0</v>
      </c>
      <c r="AW5" s="240">
        <v>0</v>
      </c>
      <c r="AX5" s="240">
        <v>0</v>
      </c>
      <c r="AY5" s="240">
        <v>0</v>
      </c>
      <c r="AZ5" s="240">
        <v>0</v>
      </c>
      <c r="BA5" s="240">
        <v>0</v>
      </c>
      <c r="BB5" s="240">
        <v>0</v>
      </c>
      <c r="BC5" s="240">
        <v>0</v>
      </c>
      <c r="BD5" s="240">
        <v>0</v>
      </c>
      <c r="BE5" s="240">
        <v>0</v>
      </c>
      <c r="BF5" s="240">
        <v>0</v>
      </c>
      <c r="BG5" s="240">
        <v>0</v>
      </c>
      <c r="BH5" s="240">
        <v>0</v>
      </c>
      <c r="BI5" s="240">
        <v>0</v>
      </c>
      <c r="BJ5" s="240">
        <v>0</v>
      </c>
      <c r="BK5" s="240">
        <v>0</v>
      </c>
      <c r="BL5" s="240">
        <v>0</v>
      </c>
      <c r="BM5" s="240">
        <v>0</v>
      </c>
      <c r="BN5" s="240">
        <v>0</v>
      </c>
      <c r="BO5" s="240">
        <v>0</v>
      </c>
      <c r="BP5" s="240">
        <v>0</v>
      </c>
      <c r="BQ5" s="240">
        <v>0</v>
      </c>
      <c r="BR5" s="240">
        <v>0</v>
      </c>
      <c r="BS5" s="240">
        <v>0</v>
      </c>
      <c r="BT5" s="240">
        <v>0</v>
      </c>
      <c r="BU5" s="240">
        <v>0</v>
      </c>
      <c r="BV5" s="240">
        <v>0</v>
      </c>
      <c r="BW5" s="240">
        <v>0</v>
      </c>
      <c r="BX5" s="240">
        <v>0</v>
      </c>
      <c r="BY5" s="240">
        <v>0</v>
      </c>
      <c r="BZ5" s="240">
        <v>0</v>
      </c>
      <c r="CA5" s="240">
        <v>0</v>
      </c>
      <c r="CB5" s="240">
        <v>0</v>
      </c>
      <c r="CC5" s="240">
        <v>0</v>
      </c>
      <c r="CD5" s="240">
        <v>0</v>
      </c>
      <c r="CE5" s="240">
        <v>0</v>
      </c>
      <c r="CF5" s="240">
        <v>0</v>
      </c>
      <c r="CG5" s="240">
        <v>0</v>
      </c>
      <c r="CH5" s="240">
        <v>0</v>
      </c>
      <c r="CI5" s="240">
        <v>0</v>
      </c>
      <c r="CJ5" s="240">
        <v>0</v>
      </c>
      <c r="CK5" s="240">
        <v>0</v>
      </c>
      <c r="CL5" s="240">
        <v>0</v>
      </c>
      <c r="CM5" s="240">
        <v>0</v>
      </c>
      <c r="CN5" s="240">
        <v>0</v>
      </c>
      <c r="CO5" s="240">
        <v>0</v>
      </c>
      <c r="CP5" s="240">
        <v>0</v>
      </c>
      <c r="CQ5" s="240">
        <v>0</v>
      </c>
      <c r="CR5" s="240">
        <v>0</v>
      </c>
      <c r="CS5" s="240">
        <v>0</v>
      </c>
      <c r="CT5" s="240">
        <v>0</v>
      </c>
      <c r="CU5" s="240">
        <v>0</v>
      </c>
      <c r="CV5" s="240">
        <v>0</v>
      </c>
      <c r="CW5" s="240">
        <v>0</v>
      </c>
      <c r="CX5" s="240">
        <v>0</v>
      </c>
      <c r="CY5" s="240">
        <v>0</v>
      </c>
      <c r="CZ5" s="240">
        <v>0</v>
      </c>
      <c r="DA5" s="240">
        <v>0</v>
      </c>
      <c r="DB5" s="240">
        <v>0</v>
      </c>
      <c r="DC5" s="240">
        <v>0</v>
      </c>
      <c r="DD5" s="240">
        <v>0</v>
      </c>
      <c r="DE5" s="240">
        <v>0</v>
      </c>
      <c r="DF5" s="240">
        <v>0</v>
      </c>
      <c r="DG5" s="240">
        <v>0</v>
      </c>
      <c r="DH5" s="240">
        <v>0</v>
      </c>
      <c r="DI5" s="240">
        <v>0</v>
      </c>
      <c r="DJ5" s="240">
        <v>0</v>
      </c>
      <c r="DK5" s="240">
        <v>0</v>
      </c>
      <c r="DL5" s="240">
        <v>0</v>
      </c>
      <c r="DM5" s="240">
        <v>0</v>
      </c>
      <c r="DN5" s="240">
        <v>0</v>
      </c>
      <c r="DO5" s="240">
        <v>0</v>
      </c>
      <c r="DP5" s="240">
        <v>0</v>
      </c>
      <c r="DQ5" s="240">
        <v>0</v>
      </c>
      <c r="DR5" s="240">
        <v>0</v>
      </c>
      <c r="DS5" s="240">
        <v>0</v>
      </c>
    </row>
    <row r="6" spans="1:123" ht="122" thickBot="1">
      <c r="A6" s="271" t="s">
        <v>407</v>
      </c>
      <c r="B6" s="237" t="s">
        <v>35</v>
      </c>
      <c r="C6" s="272">
        <f t="shared" ref="C6:C19" si="0">SUM(D6:DS6)</f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X6" s="240">
        <v>0</v>
      </c>
      <c r="Y6" s="240">
        <v>0</v>
      </c>
      <c r="Z6" s="240">
        <v>0</v>
      </c>
      <c r="AA6" s="240">
        <v>0</v>
      </c>
      <c r="AB6" s="240">
        <v>0</v>
      </c>
      <c r="AC6" s="240">
        <v>0</v>
      </c>
      <c r="AD6" s="240">
        <v>0</v>
      </c>
      <c r="AE6" s="240">
        <v>0</v>
      </c>
      <c r="AF6" s="240">
        <v>0</v>
      </c>
      <c r="AG6" s="240">
        <v>0</v>
      </c>
      <c r="AH6" s="240">
        <v>0</v>
      </c>
      <c r="AI6" s="240">
        <v>0</v>
      </c>
      <c r="AJ6" s="240">
        <v>0</v>
      </c>
      <c r="AK6" s="240">
        <v>0</v>
      </c>
      <c r="AL6" s="240">
        <v>0</v>
      </c>
      <c r="AM6" s="240">
        <v>0</v>
      </c>
      <c r="AN6" s="240">
        <v>0</v>
      </c>
      <c r="AO6" s="240">
        <v>0</v>
      </c>
      <c r="AP6" s="240">
        <v>0</v>
      </c>
      <c r="AQ6" s="240">
        <v>0</v>
      </c>
      <c r="AR6" s="240">
        <v>0</v>
      </c>
      <c r="AS6" s="240">
        <v>0</v>
      </c>
      <c r="AT6" s="240">
        <v>0</v>
      </c>
      <c r="AU6" s="240">
        <v>0</v>
      </c>
      <c r="AV6" s="240">
        <v>0</v>
      </c>
      <c r="AW6" s="240">
        <v>0</v>
      </c>
      <c r="AX6" s="240">
        <v>0</v>
      </c>
      <c r="AY6" s="240">
        <v>0</v>
      </c>
      <c r="AZ6" s="240">
        <v>0</v>
      </c>
      <c r="BA6" s="240">
        <v>0</v>
      </c>
      <c r="BB6" s="240">
        <v>0</v>
      </c>
      <c r="BC6" s="240">
        <v>0</v>
      </c>
      <c r="BD6" s="240">
        <v>0</v>
      </c>
      <c r="BE6" s="240">
        <v>0</v>
      </c>
      <c r="BF6" s="240">
        <v>0</v>
      </c>
      <c r="BG6" s="240">
        <v>0</v>
      </c>
      <c r="BH6" s="240">
        <v>0</v>
      </c>
      <c r="BI6" s="240">
        <v>0</v>
      </c>
      <c r="BJ6" s="240">
        <v>0</v>
      </c>
      <c r="BK6" s="240">
        <v>0</v>
      </c>
      <c r="BL6" s="240">
        <v>0</v>
      </c>
      <c r="BM6" s="240">
        <v>0</v>
      </c>
      <c r="BN6" s="240">
        <v>0</v>
      </c>
      <c r="BO6" s="240">
        <v>0</v>
      </c>
      <c r="BP6" s="240">
        <v>0</v>
      </c>
      <c r="BQ6" s="240">
        <v>0</v>
      </c>
      <c r="BR6" s="240">
        <v>0</v>
      </c>
      <c r="BS6" s="240">
        <v>0</v>
      </c>
      <c r="BT6" s="240">
        <v>0</v>
      </c>
      <c r="BU6" s="240">
        <v>0</v>
      </c>
      <c r="BV6" s="240">
        <v>0</v>
      </c>
      <c r="BW6" s="240">
        <v>0</v>
      </c>
      <c r="BX6" s="240">
        <v>0</v>
      </c>
      <c r="BY6" s="240">
        <v>0</v>
      </c>
      <c r="BZ6" s="240">
        <v>0</v>
      </c>
      <c r="CA6" s="240">
        <v>0</v>
      </c>
      <c r="CB6" s="240">
        <v>0</v>
      </c>
      <c r="CC6" s="240">
        <v>0</v>
      </c>
      <c r="CD6" s="240">
        <v>0</v>
      </c>
      <c r="CE6" s="240">
        <v>0</v>
      </c>
      <c r="CF6" s="240">
        <v>0</v>
      </c>
      <c r="CG6" s="240">
        <v>0</v>
      </c>
      <c r="CH6" s="240">
        <v>0</v>
      </c>
      <c r="CI6" s="240">
        <v>0</v>
      </c>
      <c r="CJ6" s="240">
        <v>0</v>
      </c>
      <c r="CK6" s="240">
        <v>0</v>
      </c>
      <c r="CL6" s="240">
        <v>0</v>
      </c>
      <c r="CM6" s="240">
        <v>0</v>
      </c>
      <c r="CN6" s="240">
        <v>0</v>
      </c>
      <c r="CO6" s="240">
        <v>0</v>
      </c>
      <c r="CP6" s="240">
        <v>0</v>
      </c>
      <c r="CQ6" s="240">
        <v>0</v>
      </c>
      <c r="CR6" s="240">
        <v>0</v>
      </c>
      <c r="CS6" s="240">
        <v>0</v>
      </c>
      <c r="CT6" s="240">
        <v>0</v>
      </c>
      <c r="CU6" s="240">
        <v>0</v>
      </c>
      <c r="CV6" s="240">
        <v>0</v>
      </c>
      <c r="CW6" s="240">
        <v>0</v>
      </c>
      <c r="CX6" s="240">
        <v>0</v>
      </c>
      <c r="CY6" s="240">
        <v>0</v>
      </c>
      <c r="CZ6" s="240">
        <v>0</v>
      </c>
      <c r="DA6" s="240">
        <v>0</v>
      </c>
      <c r="DB6" s="240">
        <v>0</v>
      </c>
      <c r="DC6" s="240">
        <v>0</v>
      </c>
      <c r="DD6" s="240">
        <v>0</v>
      </c>
      <c r="DE6" s="240">
        <v>0</v>
      </c>
      <c r="DF6" s="240">
        <v>0</v>
      </c>
      <c r="DG6" s="240">
        <v>0</v>
      </c>
      <c r="DH6" s="240">
        <v>0</v>
      </c>
      <c r="DI6" s="240">
        <v>0</v>
      </c>
      <c r="DJ6" s="240">
        <v>0</v>
      </c>
      <c r="DK6" s="240">
        <v>0</v>
      </c>
      <c r="DL6" s="240">
        <v>0</v>
      </c>
      <c r="DM6" s="240">
        <v>0</v>
      </c>
      <c r="DN6" s="240">
        <v>0</v>
      </c>
      <c r="DO6" s="240">
        <v>0</v>
      </c>
      <c r="DP6" s="240">
        <v>0</v>
      </c>
      <c r="DQ6" s="240">
        <v>0</v>
      </c>
      <c r="DR6" s="240">
        <v>0</v>
      </c>
      <c r="DS6" s="240">
        <v>0</v>
      </c>
    </row>
    <row r="7" spans="1:123" ht="100" thickBot="1">
      <c r="A7" s="271" t="s">
        <v>408</v>
      </c>
      <c r="B7" s="237" t="s">
        <v>35</v>
      </c>
      <c r="C7" s="272">
        <f t="shared" si="0"/>
        <v>0</v>
      </c>
      <c r="D7" s="240">
        <v>0</v>
      </c>
      <c r="E7" s="240">
        <v>0</v>
      </c>
      <c r="F7" s="240">
        <v>0</v>
      </c>
      <c r="G7" s="240">
        <v>0</v>
      </c>
      <c r="H7" s="240">
        <v>0</v>
      </c>
      <c r="I7" s="240">
        <v>0</v>
      </c>
      <c r="J7" s="240">
        <v>0</v>
      </c>
      <c r="K7" s="240">
        <v>0</v>
      </c>
      <c r="L7" s="240">
        <v>0</v>
      </c>
      <c r="M7" s="240">
        <v>0</v>
      </c>
      <c r="N7" s="240">
        <v>0</v>
      </c>
      <c r="O7" s="240">
        <v>0</v>
      </c>
      <c r="P7" s="240">
        <v>0</v>
      </c>
      <c r="Q7" s="240">
        <v>0</v>
      </c>
      <c r="R7" s="240">
        <v>0</v>
      </c>
      <c r="S7" s="240">
        <v>0</v>
      </c>
      <c r="T7" s="240">
        <v>0</v>
      </c>
      <c r="U7" s="240">
        <v>0</v>
      </c>
      <c r="V7" s="240">
        <v>0</v>
      </c>
      <c r="W7" s="240">
        <v>0</v>
      </c>
      <c r="X7" s="240">
        <v>0</v>
      </c>
      <c r="Y7" s="240">
        <v>0</v>
      </c>
      <c r="Z7" s="240">
        <v>0</v>
      </c>
      <c r="AA7" s="240">
        <v>0</v>
      </c>
      <c r="AB7" s="240">
        <v>0</v>
      </c>
      <c r="AC7" s="240">
        <v>0</v>
      </c>
      <c r="AD7" s="240">
        <v>0</v>
      </c>
      <c r="AE7" s="240">
        <v>0</v>
      </c>
      <c r="AF7" s="240">
        <v>0</v>
      </c>
      <c r="AG7" s="240">
        <v>0</v>
      </c>
      <c r="AH7" s="240">
        <v>0</v>
      </c>
      <c r="AI7" s="240">
        <v>0</v>
      </c>
      <c r="AJ7" s="240">
        <v>0</v>
      </c>
      <c r="AK7" s="240">
        <v>0</v>
      </c>
      <c r="AL7" s="240">
        <v>0</v>
      </c>
      <c r="AM7" s="240">
        <v>0</v>
      </c>
      <c r="AN7" s="240">
        <v>0</v>
      </c>
      <c r="AO7" s="240">
        <v>0</v>
      </c>
      <c r="AP7" s="240">
        <v>0</v>
      </c>
      <c r="AQ7" s="240">
        <v>0</v>
      </c>
      <c r="AR7" s="240">
        <v>0</v>
      </c>
      <c r="AS7" s="240">
        <v>0</v>
      </c>
      <c r="AT7" s="240">
        <v>0</v>
      </c>
      <c r="AU7" s="240">
        <v>0</v>
      </c>
      <c r="AV7" s="240">
        <v>0</v>
      </c>
      <c r="AW7" s="240">
        <v>0</v>
      </c>
      <c r="AX7" s="240">
        <v>0</v>
      </c>
      <c r="AY7" s="240">
        <v>0</v>
      </c>
      <c r="AZ7" s="240">
        <v>0</v>
      </c>
      <c r="BA7" s="240">
        <v>0</v>
      </c>
      <c r="BB7" s="240">
        <v>0</v>
      </c>
      <c r="BC7" s="240">
        <v>0</v>
      </c>
      <c r="BD7" s="240">
        <v>0</v>
      </c>
      <c r="BE7" s="240">
        <v>0</v>
      </c>
      <c r="BF7" s="240">
        <v>0</v>
      </c>
      <c r="BG7" s="240">
        <v>0</v>
      </c>
      <c r="BH7" s="240">
        <v>0</v>
      </c>
      <c r="BI7" s="240">
        <v>0</v>
      </c>
      <c r="BJ7" s="240">
        <v>0</v>
      </c>
      <c r="BK7" s="240">
        <v>0</v>
      </c>
      <c r="BL7" s="240">
        <v>0</v>
      </c>
      <c r="BM7" s="240">
        <v>0</v>
      </c>
      <c r="BN7" s="240">
        <v>0</v>
      </c>
      <c r="BO7" s="240">
        <v>0</v>
      </c>
      <c r="BP7" s="240">
        <v>0</v>
      </c>
      <c r="BQ7" s="240">
        <v>0</v>
      </c>
      <c r="BR7" s="240">
        <v>0</v>
      </c>
      <c r="BS7" s="240">
        <v>0</v>
      </c>
      <c r="BT7" s="240">
        <v>0</v>
      </c>
      <c r="BU7" s="240">
        <v>0</v>
      </c>
      <c r="BV7" s="240">
        <v>0</v>
      </c>
      <c r="BW7" s="240">
        <v>0</v>
      </c>
      <c r="BX7" s="240">
        <v>0</v>
      </c>
      <c r="BY7" s="240">
        <v>0</v>
      </c>
      <c r="BZ7" s="240">
        <v>0</v>
      </c>
      <c r="CA7" s="240">
        <v>0</v>
      </c>
      <c r="CB7" s="240">
        <v>0</v>
      </c>
      <c r="CC7" s="240">
        <v>0</v>
      </c>
      <c r="CD7" s="240">
        <v>0</v>
      </c>
      <c r="CE7" s="240">
        <v>0</v>
      </c>
      <c r="CF7" s="240">
        <v>0</v>
      </c>
      <c r="CG7" s="240">
        <v>0</v>
      </c>
      <c r="CH7" s="240">
        <v>0</v>
      </c>
      <c r="CI7" s="240">
        <v>0</v>
      </c>
      <c r="CJ7" s="240">
        <v>0</v>
      </c>
      <c r="CK7" s="240">
        <v>0</v>
      </c>
      <c r="CL7" s="240">
        <v>0</v>
      </c>
      <c r="CM7" s="240">
        <v>0</v>
      </c>
      <c r="CN7" s="240">
        <v>0</v>
      </c>
      <c r="CO7" s="240">
        <v>0</v>
      </c>
      <c r="CP7" s="240">
        <v>0</v>
      </c>
      <c r="CQ7" s="240">
        <v>0</v>
      </c>
      <c r="CR7" s="240">
        <v>0</v>
      </c>
      <c r="CS7" s="240">
        <v>0</v>
      </c>
      <c r="CT7" s="240">
        <v>0</v>
      </c>
      <c r="CU7" s="240">
        <v>0</v>
      </c>
      <c r="CV7" s="240">
        <v>0</v>
      </c>
      <c r="CW7" s="240">
        <v>0</v>
      </c>
      <c r="CX7" s="240">
        <v>0</v>
      </c>
      <c r="CY7" s="240">
        <v>0</v>
      </c>
      <c r="CZ7" s="240">
        <v>0</v>
      </c>
      <c r="DA7" s="240">
        <v>0</v>
      </c>
      <c r="DB7" s="240">
        <v>0</v>
      </c>
      <c r="DC7" s="240">
        <v>0</v>
      </c>
      <c r="DD7" s="240">
        <v>0</v>
      </c>
      <c r="DE7" s="240">
        <v>0</v>
      </c>
      <c r="DF7" s="240">
        <v>0</v>
      </c>
      <c r="DG7" s="240">
        <v>0</v>
      </c>
      <c r="DH7" s="240">
        <v>0</v>
      </c>
      <c r="DI7" s="240">
        <v>0</v>
      </c>
      <c r="DJ7" s="240">
        <v>0</v>
      </c>
      <c r="DK7" s="240">
        <v>0</v>
      </c>
      <c r="DL7" s="240">
        <v>0</v>
      </c>
      <c r="DM7" s="240">
        <v>0</v>
      </c>
      <c r="DN7" s="240">
        <v>0</v>
      </c>
      <c r="DO7" s="240">
        <v>0</v>
      </c>
      <c r="DP7" s="240">
        <v>0</v>
      </c>
      <c r="DQ7" s="240">
        <v>0</v>
      </c>
      <c r="DR7" s="240">
        <v>0</v>
      </c>
      <c r="DS7" s="240">
        <v>0</v>
      </c>
    </row>
    <row r="8" spans="1:123" ht="16" thickBot="1">
      <c r="A8" s="271" t="s">
        <v>59</v>
      </c>
      <c r="B8" s="237"/>
      <c r="C8" s="272">
        <f>SUM(C5:C7)</f>
        <v>0</v>
      </c>
      <c r="D8" s="240">
        <f>SUM(D5:D7)</f>
        <v>0</v>
      </c>
      <c r="E8" s="240">
        <f t="shared" ref="E8:BP8" si="1">SUM(E5:E7)</f>
        <v>0</v>
      </c>
      <c r="F8" s="240">
        <f t="shared" si="1"/>
        <v>0</v>
      </c>
      <c r="G8" s="240">
        <f t="shared" si="1"/>
        <v>0</v>
      </c>
      <c r="H8" s="240">
        <f t="shared" si="1"/>
        <v>0</v>
      </c>
      <c r="I8" s="240">
        <f t="shared" si="1"/>
        <v>0</v>
      </c>
      <c r="J8" s="240">
        <f t="shared" si="1"/>
        <v>0</v>
      </c>
      <c r="K8" s="240">
        <f t="shared" si="1"/>
        <v>0</v>
      </c>
      <c r="L8" s="240">
        <f t="shared" si="1"/>
        <v>0</v>
      </c>
      <c r="M8" s="240">
        <f t="shared" si="1"/>
        <v>0</v>
      </c>
      <c r="N8" s="240">
        <f t="shared" si="1"/>
        <v>0</v>
      </c>
      <c r="O8" s="240">
        <f t="shared" si="1"/>
        <v>0</v>
      </c>
      <c r="P8" s="240">
        <f t="shared" si="1"/>
        <v>0</v>
      </c>
      <c r="Q8" s="240">
        <f t="shared" si="1"/>
        <v>0</v>
      </c>
      <c r="R8" s="240">
        <f t="shared" si="1"/>
        <v>0</v>
      </c>
      <c r="S8" s="240">
        <f t="shared" si="1"/>
        <v>0</v>
      </c>
      <c r="T8" s="240">
        <f t="shared" si="1"/>
        <v>0</v>
      </c>
      <c r="U8" s="240">
        <f t="shared" si="1"/>
        <v>0</v>
      </c>
      <c r="V8" s="240">
        <f t="shared" si="1"/>
        <v>0</v>
      </c>
      <c r="W8" s="240">
        <f t="shared" si="1"/>
        <v>0</v>
      </c>
      <c r="X8" s="240">
        <f t="shared" si="1"/>
        <v>0</v>
      </c>
      <c r="Y8" s="240">
        <f t="shared" si="1"/>
        <v>0</v>
      </c>
      <c r="Z8" s="240">
        <f t="shared" si="1"/>
        <v>0</v>
      </c>
      <c r="AA8" s="240">
        <f t="shared" si="1"/>
        <v>0</v>
      </c>
      <c r="AB8" s="240">
        <f t="shared" si="1"/>
        <v>0</v>
      </c>
      <c r="AC8" s="240">
        <f t="shared" si="1"/>
        <v>0</v>
      </c>
      <c r="AD8" s="240">
        <f t="shared" si="1"/>
        <v>0</v>
      </c>
      <c r="AE8" s="240">
        <f t="shared" si="1"/>
        <v>0</v>
      </c>
      <c r="AF8" s="240">
        <f t="shared" si="1"/>
        <v>0</v>
      </c>
      <c r="AG8" s="240">
        <f t="shared" si="1"/>
        <v>0</v>
      </c>
      <c r="AH8" s="240">
        <f t="shared" si="1"/>
        <v>0</v>
      </c>
      <c r="AI8" s="240">
        <f t="shared" si="1"/>
        <v>0</v>
      </c>
      <c r="AJ8" s="240">
        <f t="shared" si="1"/>
        <v>0</v>
      </c>
      <c r="AK8" s="240">
        <f t="shared" si="1"/>
        <v>0</v>
      </c>
      <c r="AL8" s="240">
        <f t="shared" si="1"/>
        <v>0</v>
      </c>
      <c r="AM8" s="240">
        <f t="shared" si="1"/>
        <v>0</v>
      </c>
      <c r="AN8" s="240">
        <f t="shared" si="1"/>
        <v>0</v>
      </c>
      <c r="AO8" s="240">
        <f t="shared" si="1"/>
        <v>0</v>
      </c>
      <c r="AP8" s="240">
        <f t="shared" si="1"/>
        <v>0</v>
      </c>
      <c r="AQ8" s="240">
        <f t="shared" si="1"/>
        <v>0</v>
      </c>
      <c r="AR8" s="240">
        <f t="shared" si="1"/>
        <v>0</v>
      </c>
      <c r="AS8" s="240">
        <f t="shared" si="1"/>
        <v>0</v>
      </c>
      <c r="AT8" s="240">
        <f t="shared" si="1"/>
        <v>0</v>
      </c>
      <c r="AU8" s="240">
        <f t="shared" si="1"/>
        <v>0</v>
      </c>
      <c r="AV8" s="240">
        <f t="shared" si="1"/>
        <v>0</v>
      </c>
      <c r="AW8" s="240">
        <f t="shared" si="1"/>
        <v>0</v>
      </c>
      <c r="AX8" s="240">
        <f t="shared" si="1"/>
        <v>0</v>
      </c>
      <c r="AY8" s="240">
        <f t="shared" si="1"/>
        <v>0</v>
      </c>
      <c r="AZ8" s="240">
        <f t="shared" si="1"/>
        <v>0</v>
      </c>
      <c r="BA8" s="240">
        <f t="shared" si="1"/>
        <v>0</v>
      </c>
      <c r="BB8" s="240">
        <f t="shared" si="1"/>
        <v>0</v>
      </c>
      <c r="BC8" s="240">
        <f t="shared" si="1"/>
        <v>0</v>
      </c>
      <c r="BD8" s="240">
        <f t="shared" si="1"/>
        <v>0</v>
      </c>
      <c r="BE8" s="240">
        <f t="shared" si="1"/>
        <v>0</v>
      </c>
      <c r="BF8" s="240">
        <f t="shared" si="1"/>
        <v>0</v>
      </c>
      <c r="BG8" s="240">
        <f t="shared" si="1"/>
        <v>0</v>
      </c>
      <c r="BH8" s="240">
        <f t="shared" si="1"/>
        <v>0</v>
      </c>
      <c r="BI8" s="240">
        <f t="shared" si="1"/>
        <v>0</v>
      </c>
      <c r="BJ8" s="240">
        <f t="shared" si="1"/>
        <v>0</v>
      </c>
      <c r="BK8" s="240">
        <f t="shared" si="1"/>
        <v>0</v>
      </c>
      <c r="BL8" s="240">
        <f t="shared" si="1"/>
        <v>0</v>
      </c>
      <c r="BM8" s="240">
        <f t="shared" si="1"/>
        <v>0</v>
      </c>
      <c r="BN8" s="240">
        <f t="shared" si="1"/>
        <v>0</v>
      </c>
      <c r="BO8" s="240">
        <f t="shared" si="1"/>
        <v>0</v>
      </c>
      <c r="BP8" s="240">
        <f t="shared" si="1"/>
        <v>0</v>
      </c>
      <c r="BQ8" s="240">
        <f t="shared" ref="BQ8:DS8" si="2">SUM(BQ5:BQ7)</f>
        <v>0</v>
      </c>
      <c r="BR8" s="240">
        <f t="shared" si="2"/>
        <v>0</v>
      </c>
      <c r="BS8" s="240">
        <f t="shared" si="2"/>
        <v>0</v>
      </c>
      <c r="BT8" s="240">
        <f t="shared" si="2"/>
        <v>0</v>
      </c>
      <c r="BU8" s="240">
        <f t="shared" si="2"/>
        <v>0</v>
      </c>
      <c r="BV8" s="240">
        <f t="shared" si="2"/>
        <v>0</v>
      </c>
      <c r="BW8" s="240">
        <f t="shared" si="2"/>
        <v>0</v>
      </c>
      <c r="BX8" s="240">
        <f t="shared" si="2"/>
        <v>0</v>
      </c>
      <c r="BY8" s="240">
        <f t="shared" si="2"/>
        <v>0</v>
      </c>
      <c r="BZ8" s="240">
        <f t="shared" si="2"/>
        <v>0</v>
      </c>
      <c r="CA8" s="240">
        <f t="shared" si="2"/>
        <v>0</v>
      </c>
      <c r="CB8" s="240">
        <f t="shared" si="2"/>
        <v>0</v>
      </c>
      <c r="CC8" s="240">
        <f t="shared" si="2"/>
        <v>0</v>
      </c>
      <c r="CD8" s="240">
        <f t="shared" si="2"/>
        <v>0</v>
      </c>
      <c r="CE8" s="240">
        <f t="shared" si="2"/>
        <v>0</v>
      </c>
      <c r="CF8" s="240">
        <f t="shared" si="2"/>
        <v>0</v>
      </c>
      <c r="CG8" s="240">
        <f t="shared" si="2"/>
        <v>0</v>
      </c>
      <c r="CH8" s="240">
        <f t="shared" si="2"/>
        <v>0</v>
      </c>
      <c r="CI8" s="240">
        <f t="shared" si="2"/>
        <v>0</v>
      </c>
      <c r="CJ8" s="240">
        <f t="shared" si="2"/>
        <v>0</v>
      </c>
      <c r="CK8" s="240">
        <f t="shared" si="2"/>
        <v>0</v>
      </c>
      <c r="CL8" s="240">
        <f t="shared" si="2"/>
        <v>0</v>
      </c>
      <c r="CM8" s="240">
        <f t="shared" si="2"/>
        <v>0</v>
      </c>
      <c r="CN8" s="240">
        <f t="shared" si="2"/>
        <v>0</v>
      </c>
      <c r="CO8" s="240">
        <f t="shared" si="2"/>
        <v>0</v>
      </c>
      <c r="CP8" s="240">
        <f t="shared" si="2"/>
        <v>0</v>
      </c>
      <c r="CQ8" s="240">
        <f t="shared" si="2"/>
        <v>0</v>
      </c>
      <c r="CR8" s="240">
        <f t="shared" si="2"/>
        <v>0</v>
      </c>
      <c r="CS8" s="240">
        <f t="shared" si="2"/>
        <v>0</v>
      </c>
      <c r="CT8" s="240">
        <f t="shared" si="2"/>
        <v>0</v>
      </c>
      <c r="CU8" s="240">
        <f t="shared" si="2"/>
        <v>0</v>
      </c>
      <c r="CV8" s="240">
        <f t="shared" si="2"/>
        <v>0</v>
      </c>
      <c r="CW8" s="240">
        <f t="shared" si="2"/>
        <v>0</v>
      </c>
      <c r="CX8" s="240">
        <f t="shared" si="2"/>
        <v>0</v>
      </c>
      <c r="CY8" s="240">
        <f t="shared" si="2"/>
        <v>0</v>
      </c>
      <c r="CZ8" s="240">
        <f t="shared" si="2"/>
        <v>0</v>
      </c>
      <c r="DA8" s="240">
        <f t="shared" si="2"/>
        <v>0</v>
      </c>
      <c r="DB8" s="240">
        <f t="shared" si="2"/>
        <v>0</v>
      </c>
      <c r="DC8" s="240">
        <f t="shared" si="2"/>
        <v>0</v>
      </c>
      <c r="DD8" s="240">
        <f t="shared" si="2"/>
        <v>0</v>
      </c>
      <c r="DE8" s="240">
        <f t="shared" si="2"/>
        <v>0</v>
      </c>
      <c r="DF8" s="240">
        <f t="shared" si="2"/>
        <v>0</v>
      </c>
      <c r="DG8" s="240">
        <f t="shared" si="2"/>
        <v>0</v>
      </c>
      <c r="DH8" s="240">
        <f t="shared" si="2"/>
        <v>0</v>
      </c>
      <c r="DI8" s="240">
        <f t="shared" si="2"/>
        <v>0</v>
      </c>
      <c r="DJ8" s="240">
        <f t="shared" si="2"/>
        <v>0</v>
      </c>
      <c r="DK8" s="240">
        <f t="shared" si="2"/>
        <v>0</v>
      </c>
      <c r="DL8" s="240">
        <f t="shared" si="2"/>
        <v>0</v>
      </c>
      <c r="DM8" s="240">
        <f t="shared" si="2"/>
        <v>0</v>
      </c>
      <c r="DN8" s="240">
        <f t="shared" si="2"/>
        <v>0</v>
      </c>
      <c r="DO8" s="240">
        <f t="shared" si="2"/>
        <v>0</v>
      </c>
      <c r="DP8" s="240">
        <f t="shared" si="2"/>
        <v>0</v>
      </c>
      <c r="DQ8" s="240">
        <f t="shared" si="2"/>
        <v>0</v>
      </c>
      <c r="DR8" s="240">
        <f t="shared" si="2"/>
        <v>0</v>
      </c>
      <c r="DS8" s="240">
        <f t="shared" si="2"/>
        <v>0</v>
      </c>
    </row>
    <row r="9" spans="1:123" ht="56" thickBot="1">
      <c r="A9" s="271" t="s">
        <v>409</v>
      </c>
      <c r="B9" s="237" t="s">
        <v>35</v>
      </c>
      <c r="C9" s="272">
        <v>43000000</v>
      </c>
      <c r="D9" s="240">
        <v>0</v>
      </c>
      <c r="E9" s="240">
        <v>0</v>
      </c>
      <c r="F9" s="240">
        <v>0</v>
      </c>
      <c r="G9" s="240">
        <v>0</v>
      </c>
      <c r="H9" s="240">
        <v>0</v>
      </c>
      <c r="I9" s="240">
        <v>0</v>
      </c>
      <c r="J9" s="240">
        <v>0</v>
      </c>
      <c r="K9" s="240">
        <v>0</v>
      </c>
      <c r="L9" s="240">
        <v>0</v>
      </c>
      <c r="M9" s="240">
        <v>0</v>
      </c>
      <c r="N9" s="240">
        <v>0</v>
      </c>
      <c r="O9" s="240">
        <v>0</v>
      </c>
      <c r="P9" s="240">
        <v>0</v>
      </c>
      <c r="Q9" s="240">
        <v>0</v>
      </c>
      <c r="R9" s="240">
        <v>0</v>
      </c>
      <c r="S9" s="240">
        <v>0</v>
      </c>
      <c r="T9" s="240">
        <v>0</v>
      </c>
      <c r="U9" s="240">
        <v>0</v>
      </c>
      <c r="V9" s="240">
        <v>0</v>
      </c>
      <c r="W9" s="240">
        <v>0</v>
      </c>
      <c r="X9" s="240">
        <v>0</v>
      </c>
      <c r="Y9" s="240">
        <v>0</v>
      </c>
      <c r="Z9" s="240">
        <v>0</v>
      </c>
      <c r="AA9" s="240">
        <v>0</v>
      </c>
      <c r="AB9" s="240">
        <v>0</v>
      </c>
      <c r="AC9" s="240">
        <v>0</v>
      </c>
      <c r="AD9" s="240">
        <v>0</v>
      </c>
      <c r="AE9" s="240">
        <v>0</v>
      </c>
      <c r="AF9" s="240">
        <v>0</v>
      </c>
      <c r="AG9" s="240">
        <v>0</v>
      </c>
      <c r="AH9" s="240">
        <v>0</v>
      </c>
      <c r="AI9" s="240">
        <v>0</v>
      </c>
      <c r="AJ9" s="240">
        <v>0</v>
      </c>
      <c r="AK9" s="240">
        <v>0</v>
      </c>
      <c r="AL9" s="240">
        <v>0</v>
      </c>
      <c r="AM9" s="240">
        <v>0</v>
      </c>
      <c r="AN9" s="240">
        <v>0</v>
      </c>
      <c r="AO9" s="240">
        <v>0</v>
      </c>
      <c r="AP9" s="240">
        <v>0</v>
      </c>
      <c r="AQ9" s="240">
        <v>0</v>
      </c>
      <c r="AR9" s="240">
        <v>0</v>
      </c>
      <c r="AS9" s="240">
        <v>0</v>
      </c>
      <c r="AT9" s="240">
        <v>0</v>
      </c>
      <c r="AU9" s="240">
        <v>0</v>
      </c>
      <c r="AV9" s="240">
        <v>0</v>
      </c>
      <c r="AW9" s="240">
        <v>0</v>
      </c>
      <c r="AX9" s="240">
        <v>0</v>
      </c>
      <c r="AY9" s="240">
        <v>0</v>
      </c>
      <c r="AZ9" s="240">
        <v>0</v>
      </c>
      <c r="BA9" s="240">
        <v>0</v>
      </c>
      <c r="BB9" s="240">
        <v>0</v>
      </c>
      <c r="BC9" s="240">
        <v>0</v>
      </c>
      <c r="BD9" s="240">
        <v>0</v>
      </c>
      <c r="BE9" s="240">
        <v>0</v>
      </c>
      <c r="BF9" s="240">
        <v>0</v>
      </c>
      <c r="BG9" s="240">
        <v>0</v>
      </c>
      <c r="BH9" s="240">
        <v>0</v>
      </c>
      <c r="BI9" s="240">
        <v>0</v>
      </c>
      <c r="BJ9" s="240">
        <v>0</v>
      </c>
      <c r="BK9" s="240">
        <v>0</v>
      </c>
      <c r="BL9" s="240">
        <v>0</v>
      </c>
      <c r="BM9" s="240">
        <v>0</v>
      </c>
      <c r="BN9" s="240">
        <v>0</v>
      </c>
      <c r="BO9" s="240">
        <v>0</v>
      </c>
      <c r="BP9" s="240">
        <v>0</v>
      </c>
      <c r="BQ9" s="240">
        <v>0</v>
      </c>
      <c r="BR9" s="240">
        <v>0</v>
      </c>
      <c r="BS9" s="240">
        <v>0</v>
      </c>
      <c r="BT9" s="240">
        <v>0</v>
      </c>
      <c r="BU9" s="240">
        <v>0</v>
      </c>
      <c r="BV9" s="240">
        <v>0</v>
      </c>
      <c r="BW9" s="240">
        <v>0</v>
      </c>
      <c r="BX9" s="240">
        <v>0</v>
      </c>
      <c r="BY9" s="240">
        <v>0</v>
      </c>
      <c r="BZ9" s="240">
        <v>0</v>
      </c>
      <c r="CA9" s="240">
        <v>0</v>
      </c>
      <c r="CB9" s="240">
        <v>0</v>
      </c>
      <c r="CC9" s="240">
        <v>0</v>
      </c>
      <c r="CD9" s="240">
        <v>0</v>
      </c>
      <c r="CE9" s="240">
        <v>0</v>
      </c>
      <c r="CF9" s="240">
        <v>0</v>
      </c>
      <c r="CG9" s="240">
        <v>0</v>
      </c>
      <c r="CH9" s="240">
        <v>0</v>
      </c>
      <c r="CI9" s="240">
        <v>0</v>
      </c>
      <c r="CJ9" s="240">
        <v>0</v>
      </c>
      <c r="CK9" s="240">
        <v>0</v>
      </c>
      <c r="CL9" s="240">
        <v>0</v>
      </c>
      <c r="CM9" s="240">
        <v>0</v>
      </c>
      <c r="CN9" s="240">
        <v>0</v>
      </c>
      <c r="CO9" s="240">
        <v>0</v>
      </c>
      <c r="CP9" s="240">
        <v>0</v>
      </c>
      <c r="CQ9" s="240">
        <v>0</v>
      </c>
      <c r="CR9" s="240">
        <v>0</v>
      </c>
      <c r="CS9" s="240">
        <v>0</v>
      </c>
      <c r="CT9" s="240">
        <v>0</v>
      </c>
      <c r="CU9" s="240">
        <v>0</v>
      </c>
      <c r="CV9" s="240">
        <v>0</v>
      </c>
      <c r="CW9" s="240">
        <v>0</v>
      </c>
      <c r="CX9" s="240">
        <v>0</v>
      </c>
      <c r="CY9" s="240">
        <v>0</v>
      </c>
      <c r="CZ9" s="240">
        <v>0</v>
      </c>
      <c r="DA9" s="240">
        <v>0</v>
      </c>
      <c r="DB9" s="240">
        <v>0</v>
      </c>
      <c r="DC9" s="240">
        <v>0</v>
      </c>
      <c r="DD9" s="240">
        <v>0</v>
      </c>
      <c r="DE9" s="240">
        <v>0</v>
      </c>
      <c r="DF9" s="240">
        <v>0</v>
      </c>
      <c r="DG9" s="240">
        <v>0</v>
      </c>
      <c r="DH9" s="240">
        <v>0</v>
      </c>
      <c r="DI9" s="240">
        <v>0</v>
      </c>
      <c r="DJ9" s="240">
        <v>0</v>
      </c>
      <c r="DK9" s="240">
        <v>0</v>
      </c>
      <c r="DL9" s="240">
        <v>0</v>
      </c>
      <c r="DM9" s="240">
        <v>0</v>
      </c>
      <c r="DN9" s="240">
        <v>0</v>
      </c>
      <c r="DO9" s="240">
        <v>0</v>
      </c>
      <c r="DP9" s="240">
        <v>0</v>
      </c>
      <c r="DQ9" s="240">
        <v>0</v>
      </c>
      <c r="DR9" s="240">
        <v>0</v>
      </c>
      <c r="DS9" s="240">
        <v>0</v>
      </c>
    </row>
    <row r="10" spans="1:123" ht="45" thickBot="1">
      <c r="A10" s="271" t="s">
        <v>410</v>
      </c>
      <c r="B10" s="237" t="s">
        <v>35</v>
      </c>
      <c r="C10" s="272">
        <v>3000000</v>
      </c>
      <c r="D10" s="240">
        <v>0</v>
      </c>
      <c r="E10" s="240">
        <v>0</v>
      </c>
      <c r="F10" s="240">
        <v>0</v>
      </c>
      <c r="G10" s="240">
        <v>0</v>
      </c>
      <c r="H10" s="240">
        <v>0</v>
      </c>
      <c r="I10" s="240">
        <v>0</v>
      </c>
      <c r="J10" s="240">
        <v>0</v>
      </c>
      <c r="K10" s="240">
        <v>0</v>
      </c>
      <c r="L10" s="240">
        <v>0</v>
      </c>
      <c r="M10" s="240">
        <v>0</v>
      </c>
      <c r="N10" s="240">
        <v>0</v>
      </c>
      <c r="O10" s="240">
        <v>0</v>
      </c>
      <c r="P10" s="240">
        <v>0</v>
      </c>
      <c r="Q10" s="240">
        <v>0</v>
      </c>
      <c r="R10" s="240">
        <v>0</v>
      </c>
      <c r="S10" s="240">
        <v>0</v>
      </c>
      <c r="T10" s="240">
        <v>0</v>
      </c>
      <c r="U10" s="240">
        <v>0</v>
      </c>
      <c r="V10" s="240">
        <v>0</v>
      </c>
      <c r="W10" s="240">
        <v>0</v>
      </c>
      <c r="X10" s="240">
        <v>0</v>
      </c>
      <c r="Y10" s="240">
        <v>0</v>
      </c>
      <c r="Z10" s="240">
        <v>0</v>
      </c>
      <c r="AA10" s="240">
        <v>0</v>
      </c>
      <c r="AB10" s="240">
        <v>0</v>
      </c>
      <c r="AC10" s="240">
        <v>0</v>
      </c>
      <c r="AD10" s="240">
        <v>0</v>
      </c>
      <c r="AE10" s="240">
        <v>0</v>
      </c>
      <c r="AF10" s="240">
        <v>0</v>
      </c>
      <c r="AG10" s="240">
        <v>0</v>
      </c>
      <c r="AH10" s="240">
        <v>0</v>
      </c>
      <c r="AI10" s="240">
        <v>0</v>
      </c>
      <c r="AJ10" s="240">
        <v>0</v>
      </c>
      <c r="AK10" s="240">
        <v>0</v>
      </c>
      <c r="AL10" s="240">
        <v>0</v>
      </c>
      <c r="AM10" s="240">
        <v>0</v>
      </c>
      <c r="AN10" s="240">
        <v>0</v>
      </c>
      <c r="AO10" s="240">
        <v>0</v>
      </c>
      <c r="AP10" s="240">
        <v>0</v>
      </c>
      <c r="AQ10" s="240">
        <v>0</v>
      </c>
      <c r="AR10" s="240">
        <v>0</v>
      </c>
      <c r="AS10" s="240">
        <v>0</v>
      </c>
      <c r="AT10" s="240">
        <v>0</v>
      </c>
      <c r="AU10" s="240">
        <v>0</v>
      </c>
      <c r="AV10" s="240">
        <v>0</v>
      </c>
      <c r="AW10" s="240">
        <v>0</v>
      </c>
      <c r="AX10" s="240">
        <v>0</v>
      </c>
      <c r="AY10" s="240">
        <v>0</v>
      </c>
      <c r="AZ10" s="240">
        <v>0</v>
      </c>
      <c r="BA10" s="240">
        <v>0</v>
      </c>
      <c r="BB10" s="240">
        <v>0</v>
      </c>
      <c r="BC10" s="240">
        <v>0</v>
      </c>
      <c r="BD10" s="240">
        <v>0</v>
      </c>
      <c r="BE10" s="240">
        <v>0</v>
      </c>
      <c r="BF10" s="240">
        <v>0</v>
      </c>
      <c r="BG10" s="240">
        <v>0</v>
      </c>
      <c r="BH10" s="240">
        <v>0</v>
      </c>
      <c r="BI10" s="240">
        <v>0</v>
      </c>
      <c r="BJ10" s="240">
        <v>0</v>
      </c>
      <c r="BK10" s="240">
        <v>0</v>
      </c>
      <c r="BL10" s="240">
        <v>0</v>
      </c>
      <c r="BM10" s="240">
        <v>0</v>
      </c>
      <c r="BN10" s="240">
        <v>0</v>
      </c>
      <c r="BO10" s="240">
        <v>0</v>
      </c>
      <c r="BP10" s="240">
        <v>0</v>
      </c>
      <c r="BQ10" s="240">
        <v>0</v>
      </c>
      <c r="BR10" s="240">
        <v>0</v>
      </c>
      <c r="BS10" s="240">
        <v>0</v>
      </c>
      <c r="BT10" s="240">
        <v>0</v>
      </c>
      <c r="BU10" s="240">
        <v>0</v>
      </c>
      <c r="BV10" s="240">
        <v>0</v>
      </c>
      <c r="BW10" s="240">
        <v>0</v>
      </c>
      <c r="BX10" s="240">
        <v>0</v>
      </c>
      <c r="BY10" s="240">
        <v>0</v>
      </c>
      <c r="BZ10" s="240">
        <v>0</v>
      </c>
      <c r="CA10" s="240">
        <v>0</v>
      </c>
      <c r="CB10" s="240">
        <v>0</v>
      </c>
      <c r="CC10" s="240">
        <v>0</v>
      </c>
      <c r="CD10" s="240">
        <v>0</v>
      </c>
      <c r="CE10" s="240">
        <v>0</v>
      </c>
      <c r="CF10" s="240">
        <v>0</v>
      </c>
      <c r="CG10" s="240">
        <v>0</v>
      </c>
      <c r="CH10" s="240">
        <v>0</v>
      </c>
      <c r="CI10" s="240">
        <v>0</v>
      </c>
      <c r="CJ10" s="240">
        <v>0</v>
      </c>
      <c r="CK10" s="240">
        <v>0</v>
      </c>
      <c r="CL10" s="240">
        <v>0</v>
      </c>
      <c r="CM10" s="240">
        <v>0</v>
      </c>
      <c r="CN10" s="240">
        <v>0</v>
      </c>
      <c r="CO10" s="240">
        <v>0</v>
      </c>
      <c r="CP10" s="240">
        <v>0</v>
      </c>
      <c r="CQ10" s="240">
        <v>0</v>
      </c>
      <c r="CR10" s="240">
        <v>0</v>
      </c>
      <c r="CS10" s="240">
        <v>0</v>
      </c>
      <c r="CT10" s="240">
        <v>0</v>
      </c>
      <c r="CU10" s="240">
        <v>0</v>
      </c>
      <c r="CV10" s="240">
        <v>0</v>
      </c>
      <c r="CW10" s="240">
        <v>0</v>
      </c>
      <c r="CX10" s="240">
        <v>0</v>
      </c>
      <c r="CY10" s="240">
        <v>0</v>
      </c>
      <c r="CZ10" s="240">
        <v>0</v>
      </c>
      <c r="DA10" s="240">
        <v>0</v>
      </c>
      <c r="DB10" s="240">
        <v>0</v>
      </c>
      <c r="DC10" s="240">
        <v>0</v>
      </c>
      <c r="DD10" s="240">
        <v>0</v>
      </c>
      <c r="DE10" s="240">
        <v>0</v>
      </c>
      <c r="DF10" s="240">
        <v>0</v>
      </c>
      <c r="DG10" s="240">
        <v>0</v>
      </c>
      <c r="DH10" s="240">
        <v>0</v>
      </c>
      <c r="DI10" s="240">
        <v>0</v>
      </c>
      <c r="DJ10" s="240">
        <v>0</v>
      </c>
      <c r="DK10" s="240">
        <v>0</v>
      </c>
      <c r="DL10" s="240">
        <v>0</v>
      </c>
      <c r="DM10" s="240">
        <v>0</v>
      </c>
      <c r="DN10" s="240">
        <v>0</v>
      </c>
      <c r="DO10" s="240">
        <v>0</v>
      </c>
      <c r="DP10" s="240">
        <v>0</v>
      </c>
      <c r="DQ10" s="240">
        <v>0</v>
      </c>
      <c r="DR10" s="240">
        <v>0</v>
      </c>
      <c r="DS10" s="240">
        <v>0</v>
      </c>
    </row>
    <row r="11" spans="1:123" ht="45" thickBot="1">
      <c r="A11" s="271" t="s">
        <v>411</v>
      </c>
      <c r="B11" s="237" t="s">
        <v>35</v>
      </c>
      <c r="C11" s="272">
        <v>6000000</v>
      </c>
      <c r="D11" s="240">
        <v>0</v>
      </c>
      <c r="E11" s="240">
        <v>0</v>
      </c>
      <c r="F11" s="240">
        <v>0</v>
      </c>
      <c r="G11" s="240">
        <v>0</v>
      </c>
      <c r="H11" s="240">
        <v>0</v>
      </c>
      <c r="I11" s="240">
        <v>0</v>
      </c>
      <c r="J11" s="240">
        <v>0</v>
      </c>
      <c r="K11" s="240">
        <v>0</v>
      </c>
      <c r="L11" s="240">
        <v>0</v>
      </c>
      <c r="M11" s="240">
        <v>0</v>
      </c>
      <c r="N11" s="240">
        <v>0</v>
      </c>
      <c r="O11" s="240">
        <v>0</v>
      </c>
      <c r="P11" s="240">
        <v>0</v>
      </c>
      <c r="Q11" s="240">
        <v>0</v>
      </c>
      <c r="R11" s="240">
        <v>0</v>
      </c>
      <c r="S11" s="240">
        <v>0</v>
      </c>
      <c r="T11" s="240">
        <v>0</v>
      </c>
      <c r="U11" s="240">
        <v>0</v>
      </c>
      <c r="V11" s="240">
        <v>0</v>
      </c>
      <c r="W11" s="240">
        <v>0</v>
      </c>
      <c r="X11" s="240">
        <v>0</v>
      </c>
      <c r="Y11" s="240">
        <v>0</v>
      </c>
      <c r="Z11" s="240">
        <v>0</v>
      </c>
      <c r="AA11" s="240">
        <v>0</v>
      </c>
      <c r="AB11" s="240">
        <v>0</v>
      </c>
      <c r="AC11" s="240">
        <v>0</v>
      </c>
      <c r="AD11" s="240">
        <v>0</v>
      </c>
      <c r="AE11" s="240">
        <v>0</v>
      </c>
      <c r="AF11" s="240">
        <v>0</v>
      </c>
      <c r="AG11" s="240">
        <v>0</v>
      </c>
      <c r="AH11" s="240">
        <v>0</v>
      </c>
      <c r="AI11" s="240">
        <v>0</v>
      </c>
      <c r="AJ11" s="240">
        <v>0</v>
      </c>
      <c r="AK11" s="240">
        <v>0</v>
      </c>
      <c r="AL11" s="240">
        <v>0</v>
      </c>
      <c r="AM11" s="240">
        <v>0</v>
      </c>
      <c r="AN11" s="240">
        <v>0</v>
      </c>
      <c r="AO11" s="240">
        <v>0</v>
      </c>
      <c r="AP11" s="240">
        <v>0</v>
      </c>
      <c r="AQ11" s="240">
        <v>0</v>
      </c>
      <c r="AR11" s="240">
        <v>0</v>
      </c>
      <c r="AS11" s="240">
        <v>0</v>
      </c>
      <c r="AT11" s="240">
        <v>0</v>
      </c>
      <c r="AU11" s="240">
        <v>0</v>
      </c>
      <c r="AV11" s="240">
        <v>0</v>
      </c>
      <c r="AW11" s="240">
        <v>0</v>
      </c>
      <c r="AX11" s="240">
        <v>0</v>
      </c>
      <c r="AY11" s="240">
        <v>0</v>
      </c>
      <c r="AZ11" s="240">
        <v>0</v>
      </c>
      <c r="BA11" s="240">
        <v>0</v>
      </c>
      <c r="BB11" s="240">
        <v>0</v>
      </c>
      <c r="BC11" s="240">
        <v>0</v>
      </c>
      <c r="BD11" s="240">
        <v>0</v>
      </c>
      <c r="BE11" s="240">
        <v>0</v>
      </c>
      <c r="BF11" s="240">
        <v>0</v>
      </c>
      <c r="BG11" s="240">
        <v>0</v>
      </c>
      <c r="BH11" s="240">
        <v>0</v>
      </c>
      <c r="BI11" s="240">
        <v>0</v>
      </c>
      <c r="BJ11" s="240">
        <v>0</v>
      </c>
      <c r="BK11" s="240">
        <v>0</v>
      </c>
      <c r="BL11" s="240">
        <v>0</v>
      </c>
      <c r="BM11" s="240">
        <v>0</v>
      </c>
      <c r="BN11" s="240">
        <v>0</v>
      </c>
      <c r="BO11" s="240">
        <v>0</v>
      </c>
      <c r="BP11" s="240">
        <v>0</v>
      </c>
      <c r="BQ11" s="240">
        <v>0</v>
      </c>
      <c r="BR11" s="240">
        <v>0</v>
      </c>
      <c r="BS11" s="240">
        <v>0</v>
      </c>
      <c r="BT11" s="240">
        <v>0</v>
      </c>
      <c r="BU11" s="240">
        <v>0</v>
      </c>
      <c r="BV11" s="240">
        <v>0</v>
      </c>
      <c r="BW11" s="240">
        <v>0</v>
      </c>
      <c r="BX11" s="240">
        <v>0</v>
      </c>
      <c r="BY11" s="240">
        <v>0</v>
      </c>
      <c r="BZ11" s="240">
        <v>0</v>
      </c>
      <c r="CA11" s="240">
        <v>0</v>
      </c>
      <c r="CB11" s="240">
        <v>0</v>
      </c>
      <c r="CC11" s="240">
        <v>0</v>
      </c>
      <c r="CD11" s="240">
        <v>0</v>
      </c>
      <c r="CE11" s="240">
        <v>0</v>
      </c>
      <c r="CF11" s="240">
        <v>0</v>
      </c>
      <c r="CG11" s="240">
        <v>0</v>
      </c>
      <c r="CH11" s="240">
        <v>0</v>
      </c>
      <c r="CI11" s="240">
        <v>0</v>
      </c>
      <c r="CJ11" s="240">
        <v>0</v>
      </c>
      <c r="CK11" s="240">
        <v>0</v>
      </c>
      <c r="CL11" s="240">
        <v>0</v>
      </c>
      <c r="CM11" s="240">
        <v>0</v>
      </c>
      <c r="CN11" s="240">
        <v>0</v>
      </c>
      <c r="CO11" s="240">
        <v>0</v>
      </c>
      <c r="CP11" s="240">
        <v>0</v>
      </c>
      <c r="CQ11" s="240">
        <v>0</v>
      </c>
      <c r="CR11" s="240">
        <v>0</v>
      </c>
      <c r="CS11" s="240">
        <v>0</v>
      </c>
      <c r="CT11" s="240">
        <v>0</v>
      </c>
      <c r="CU11" s="240">
        <v>0</v>
      </c>
      <c r="CV11" s="240">
        <v>0</v>
      </c>
      <c r="CW11" s="240">
        <v>0</v>
      </c>
      <c r="CX11" s="240">
        <v>0</v>
      </c>
      <c r="CY11" s="240">
        <v>0</v>
      </c>
      <c r="CZ11" s="240">
        <v>0</v>
      </c>
      <c r="DA11" s="240">
        <v>0</v>
      </c>
      <c r="DB11" s="240">
        <v>0</v>
      </c>
      <c r="DC11" s="240">
        <v>0</v>
      </c>
      <c r="DD11" s="240">
        <v>0</v>
      </c>
      <c r="DE11" s="240">
        <v>0</v>
      </c>
      <c r="DF11" s="240">
        <v>0</v>
      </c>
      <c r="DG11" s="240">
        <v>0</v>
      </c>
      <c r="DH11" s="240">
        <v>0</v>
      </c>
      <c r="DI11" s="240">
        <v>0</v>
      </c>
      <c r="DJ11" s="240">
        <v>0</v>
      </c>
      <c r="DK11" s="240">
        <v>0</v>
      </c>
      <c r="DL11" s="240">
        <v>0</v>
      </c>
      <c r="DM11" s="240">
        <v>0</v>
      </c>
      <c r="DN11" s="240">
        <v>0</v>
      </c>
      <c r="DO11" s="240">
        <v>0</v>
      </c>
      <c r="DP11" s="240">
        <v>0</v>
      </c>
      <c r="DQ11" s="240">
        <v>0</v>
      </c>
      <c r="DR11" s="240">
        <v>0</v>
      </c>
      <c r="DS11" s="240">
        <v>0</v>
      </c>
    </row>
    <row r="12" spans="1:123" ht="56" thickBot="1">
      <c r="A12" s="271" t="s">
        <v>412</v>
      </c>
      <c r="B12" s="237" t="s">
        <v>35</v>
      </c>
      <c r="C12" s="272">
        <v>2100000</v>
      </c>
      <c r="D12" s="240">
        <v>0</v>
      </c>
      <c r="E12" s="240">
        <v>0</v>
      </c>
      <c r="F12" s="240">
        <v>0</v>
      </c>
      <c r="G12" s="240">
        <v>0</v>
      </c>
      <c r="H12" s="240">
        <v>0</v>
      </c>
      <c r="I12" s="240">
        <v>0</v>
      </c>
      <c r="J12" s="240">
        <v>0</v>
      </c>
      <c r="K12" s="240">
        <v>0</v>
      </c>
      <c r="L12" s="240">
        <v>0</v>
      </c>
      <c r="M12" s="240">
        <v>0</v>
      </c>
      <c r="N12" s="240">
        <v>0</v>
      </c>
      <c r="O12" s="240">
        <v>0</v>
      </c>
      <c r="P12" s="240">
        <v>0</v>
      </c>
      <c r="Q12" s="240">
        <v>0</v>
      </c>
      <c r="R12" s="240">
        <v>0</v>
      </c>
      <c r="S12" s="240">
        <v>0</v>
      </c>
      <c r="T12" s="240">
        <v>0</v>
      </c>
      <c r="U12" s="240">
        <v>0</v>
      </c>
      <c r="V12" s="240">
        <v>0</v>
      </c>
      <c r="W12" s="240">
        <v>0</v>
      </c>
      <c r="X12" s="240">
        <v>0</v>
      </c>
      <c r="Y12" s="240">
        <v>0</v>
      </c>
      <c r="Z12" s="240">
        <v>0</v>
      </c>
      <c r="AA12" s="240">
        <v>0</v>
      </c>
      <c r="AB12" s="240">
        <v>0</v>
      </c>
      <c r="AC12" s="240">
        <v>0</v>
      </c>
      <c r="AD12" s="240">
        <v>0</v>
      </c>
      <c r="AE12" s="240">
        <v>0</v>
      </c>
      <c r="AF12" s="240">
        <v>0</v>
      </c>
      <c r="AG12" s="240">
        <v>0</v>
      </c>
      <c r="AH12" s="240">
        <v>0</v>
      </c>
      <c r="AI12" s="240">
        <v>0</v>
      </c>
      <c r="AJ12" s="240">
        <v>0</v>
      </c>
      <c r="AK12" s="240">
        <v>0</v>
      </c>
      <c r="AL12" s="240">
        <v>0</v>
      </c>
      <c r="AM12" s="240">
        <v>0</v>
      </c>
      <c r="AN12" s="240">
        <v>0</v>
      </c>
      <c r="AO12" s="240">
        <v>0</v>
      </c>
      <c r="AP12" s="240">
        <v>0</v>
      </c>
      <c r="AQ12" s="240">
        <v>0</v>
      </c>
      <c r="AR12" s="240">
        <v>0</v>
      </c>
      <c r="AS12" s="240">
        <v>0</v>
      </c>
      <c r="AT12" s="240">
        <v>0</v>
      </c>
      <c r="AU12" s="240">
        <v>0</v>
      </c>
      <c r="AV12" s="240">
        <v>0</v>
      </c>
      <c r="AW12" s="240">
        <v>0</v>
      </c>
      <c r="AX12" s="240">
        <v>0</v>
      </c>
      <c r="AY12" s="240">
        <v>0</v>
      </c>
      <c r="AZ12" s="240">
        <v>0</v>
      </c>
      <c r="BA12" s="240">
        <v>0</v>
      </c>
      <c r="BB12" s="240">
        <v>0</v>
      </c>
      <c r="BC12" s="240">
        <v>0</v>
      </c>
      <c r="BD12" s="240">
        <v>0</v>
      </c>
      <c r="BE12" s="240">
        <v>0</v>
      </c>
      <c r="BF12" s="240">
        <v>0</v>
      </c>
      <c r="BG12" s="240">
        <v>0</v>
      </c>
      <c r="BH12" s="240">
        <v>0</v>
      </c>
      <c r="BI12" s="240">
        <v>0</v>
      </c>
      <c r="BJ12" s="240">
        <v>0</v>
      </c>
      <c r="BK12" s="240">
        <v>0</v>
      </c>
      <c r="BL12" s="240">
        <v>0</v>
      </c>
      <c r="BM12" s="240">
        <v>0</v>
      </c>
      <c r="BN12" s="240">
        <v>0</v>
      </c>
      <c r="BO12" s="240">
        <v>0</v>
      </c>
      <c r="BP12" s="240">
        <v>0</v>
      </c>
      <c r="BQ12" s="240">
        <v>0</v>
      </c>
      <c r="BR12" s="240">
        <v>0</v>
      </c>
      <c r="BS12" s="240">
        <v>0</v>
      </c>
      <c r="BT12" s="240">
        <v>0</v>
      </c>
      <c r="BU12" s="240">
        <v>0</v>
      </c>
      <c r="BV12" s="240">
        <v>0</v>
      </c>
      <c r="BW12" s="240">
        <v>0</v>
      </c>
      <c r="BX12" s="240">
        <v>0</v>
      </c>
      <c r="BY12" s="240">
        <v>0</v>
      </c>
      <c r="BZ12" s="240">
        <v>0</v>
      </c>
      <c r="CA12" s="240">
        <v>0</v>
      </c>
      <c r="CB12" s="240">
        <v>0</v>
      </c>
      <c r="CC12" s="240">
        <v>0</v>
      </c>
      <c r="CD12" s="240">
        <v>0</v>
      </c>
      <c r="CE12" s="240">
        <v>0</v>
      </c>
      <c r="CF12" s="240">
        <v>0</v>
      </c>
      <c r="CG12" s="240">
        <v>0</v>
      </c>
      <c r="CH12" s="240">
        <v>0</v>
      </c>
      <c r="CI12" s="240">
        <v>0</v>
      </c>
      <c r="CJ12" s="240">
        <v>0</v>
      </c>
      <c r="CK12" s="240">
        <v>0</v>
      </c>
      <c r="CL12" s="240">
        <v>0</v>
      </c>
      <c r="CM12" s="240">
        <v>0</v>
      </c>
      <c r="CN12" s="240">
        <v>0</v>
      </c>
      <c r="CO12" s="240">
        <v>0</v>
      </c>
      <c r="CP12" s="240">
        <v>0</v>
      </c>
      <c r="CQ12" s="240">
        <v>0</v>
      </c>
      <c r="CR12" s="240">
        <v>0</v>
      </c>
      <c r="CS12" s="240">
        <v>0</v>
      </c>
      <c r="CT12" s="240">
        <v>0</v>
      </c>
      <c r="CU12" s="240">
        <v>0</v>
      </c>
      <c r="CV12" s="240">
        <v>0</v>
      </c>
      <c r="CW12" s="240">
        <v>0</v>
      </c>
      <c r="CX12" s="240">
        <v>0</v>
      </c>
      <c r="CY12" s="240">
        <v>0</v>
      </c>
      <c r="CZ12" s="240">
        <v>0</v>
      </c>
      <c r="DA12" s="240">
        <v>0</v>
      </c>
      <c r="DB12" s="240">
        <v>0</v>
      </c>
      <c r="DC12" s="240">
        <v>0</v>
      </c>
      <c r="DD12" s="240">
        <v>0</v>
      </c>
      <c r="DE12" s="240">
        <v>0</v>
      </c>
      <c r="DF12" s="240">
        <v>0</v>
      </c>
      <c r="DG12" s="240">
        <v>0</v>
      </c>
      <c r="DH12" s="240">
        <v>0</v>
      </c>
      <c r="DI12" s="240">
        <v>0</v>
      </c>
      <c r="DJ12" s="240">
        <v>0</v>
      </c>
      <c r="DK12" s="240">
        <v>0</v>
      </c>
      <c r="DL12" s="240">
        <v>0</v>
      </c>
      <c r="DM12" s="240">
        <v>0</v>
      </c>
      <c r="DN12" s="240">
        <v>0</v>
      </c>
      <c r="DO12" s="240">
        <v>0</v>
      </c>
      <c r="DP12" s="240">
        <v>0</v>
      </c>
      <c r="DQ12" s="240">
        <v>0</v>
      </c>
      <c r="DR12" s="240">
        <v>0</v>
      </c>
      <c r="DS12" s="240">
        <v>0</v>
      </c>
    </row>
    <row r="13" spans="1:123" ht="45" thickBot="1">
      <c r="A13" s="271" t="s">
        <v>413</v>
      </c>
      <c r="B13" s="237" t="s">
        <v>35</v>
      </c>
      <c r="C13" s="272">
        <v>3000000</v>
      </c>
      <c r="D13" s="240">
        <v>0</v>
      </c>
      <c r="E13" s="240">
        <v>0</v>
      </c>
      <c r="F13" s="240">
        <v>0</v>
      </c>
      <c r="G13" s="240">
        <v>0</v>
      </c>
      <c r="H13" s="240">
        <v>0</v>
      </c>
      <c r="I13" s="240">
        <v>0</v>
      </c>
      <c r="J13" s="240">
        <v>0</v>
      </c>
      <c r="K13" s="240">
        <v>0</v>
      </c>
      <c r="L13" s="240">
        <v>0</v>
      </c>
      <c r="M13" s="240">
        <v>0</v>
      </c>
      <c r="N13" s="240">
        <v>0</v>
      </c>
      <c r="O13" s="240">
        <v>0</v>
      </c>
      <c r="P13" s="240">
        <v>0</v>
      </c>
      <c r="Q13" s="240">
        <v>0</v>
      </c>
      <c r="R13" s="240">
        <v>0</v>
      </c>
      <c r="S13" s="240">
        <v>0</v>
      </c>
      <c r="T13" s="240">
        <v>0</v>
      </c>
      <c r="U13" s="240">
        <v>0</v>
      </c>
      <c r="V13" s="240">
        <v>0</v>
      </c>
      <c r="W13" s="240">
        <v>0</v>
      </c>
      <c r="X13" s="240">
        <v>0</v>
      </c>
      <c r="Y13" s="240">
        <v>0</v>
      </c>
      <c r="Z13" s="240">
        <v>0</v>
      </c>
      <c r="AA13" s="240">
        <v>0</v>
      </c>
      <c r="AB13" s="240">
        <v>0</v>
      </c>
      <c r="AC13" s="240">
        <v>0</v>
      </c>
      <c r="AD13" s="240">
        <v>0</v>
      </c>
      <c r="AE13" s="240">
        <v>0</v>
      </c>
      <c r="AF13" s="240">
        <v>0</v>
      </c>
      <c r="AG13" s="240">
        <v>0</v>
      </c>
      <c r="AH13" s="240">
        <v>0</v>
      </c>
      <c r="AI13" s="240">
        <v>0</v>
      </c>
      <c r="AJ13" s="240">
        <v>0</v>
      </c>
      <c r="AK13" s="240">
        <v>0</v>
      </c>
      <c r="AL13" s="240">
        <v>0</v>
      </c>
      <c r="AM13" s="240">
        <v>0</v>
      </c>
      <c r="AN13" s="240">
        <v>0</v>
      </c>
      <c r="AO13" s="240">
        <v>0</v>
      </c>
      <c r="AP13" s="240">
        <v>0</v>
      </c>
      <c r="AQ13" s="240">
        <v>0</v>
      </c>
      <c r="AR13" s="240">
        <v>0</v>
      </c>
      <c r="AS13" s="240">
        <v>0</v>
      </c>
      <c r="AT13" s="240">
        <v>0</v>
      </c>
      <c r="AU13" s="240">
        <v>0</v>
      </c>
      <c r="AV13" s="240">
        <v>0</v>
      </c>
      <c r="AW13" s="240">
        <v>0</v>
      </c>
      <c r="AX13" s="240">
        <v>0</v>
      </c>
      <c r="AY13" s="240">
        <v>0</v>
      </c>
      <c r="AZ13" s="240">
        <v>0</v>
      </c>
      <c r="BA13" s="240">
        <v>0</v>
      </c>
      <c r="BB13" s="240">
        <v>0</v>
      </c>
      <c r="BC13" s="240">
        <v>0</v>
      </c>
      <c r="BD13" s="240">
        <v>0</v>
      </c>
      <c r="BE13" s="240">
        <v>0</v>
      </c>
      <c r="BF13" s="240">
        <v>0</v>
      </c>
      <c r="BG13" s="240">
        <v>0</v>
      </c>
      <c r="BH13" s="240">
        <v>0</v>
      </c>
      <c r="BI13" s="240">
        <v>0</v>
      </c>
      <c r="BJ13" s="240">
        <v>0</v>
      </c>
      <c r="BK13" s="240">
        <v>0</v>
      </c>
      <c r="BL13" s="240">
        <v>0</v>
      </c>
      <c r="BM13" s="240">
        <v>0</v>
      </c>
      <c r="BN13" s="240">
        <v>0</v>
      </c>
      <c r="BO13" s="240">
        <v>0</v>
      </c>
      <c r="BP13" s="240">
        <v>0</v>
      </c>
      <c r="BQ13" s="240">
        <v>0</v>
      </c>
      <c r="BR13" s="240">
        <v>0</v>
      </c>
      <c r="BS13" s="240">
        <v>0</v>
      </c>
      <c r="BT13" s="240">
        <v>0</v>
      </c>
      <c r="BU13" s="240">
        <v>0</v>
      </c>
      <c r="BV13" s="240">
        <v>0</v>
      </c>
      <c r="BW13" s="240">
        <v>0</v>
      </c>
      <c r="BX13" s="240">
        <v>0</v>
      </c>
      <c r="BY13" s="240">
        <v>0</v>
      </c>
      <c r="BZ13" s="240">
        <v>0</v>
      </c>
      <c r="CA13" s="240">
        <v>0</v>
      </c>
      <c r="CB13" s="240">
        <v>0</v>
      </c>
      <c r="CC13" s="240">
        <v>0</v>
      </c>
      <c r="CD13" s="240">
        <v>0</v>
      </c>
      <c r="CE13" s="240">
        <v>0</v>
      </c>
      <c r="CF13" s="240">
        <v>0</v>
      </c>
      <c r="CG13" s="240">
        <v>0</v>
      </c>
      <c r="CH13" s="240">
        <v>0</v>
      </c>
      <c r="CI13" s="240">
        <v>0</v>
      </c>
      <c r="CJ13" s="240">
        <v>0</v>
      </c>
      <c r="CK13" s="240">
        <v>0</v>
      </c>
      <c r="CL13" s="240">
        <v>0</v>
      </c>
      <c r="CM13" s="240">
        <v>0</v>
      </c>
      <c r="CN13" s="240">
        <v>0</v>
      </c>
      <c r="CO13" s="240">
        <v>0</v>
      </c>
      <c r="CP13" s="240">
        <v>0</v>
      </c>
      <c r="CQ13" s="240">
        <v>0</v>
      </c>
      <c r="CR13" s="240">
        <v>0</v>
      </c>
      <c r="CS13" s="240">
        <v>0</v>
      </c>
      <c r="CT13" s="240">
        <v>0</v>
      </c>
      <c r="CU13" s="240">
        <v>0</v>
      </c>
      <c r="CV13" s="240">
        <v>0</v>
      </c>
      <c r="CW13" s="240">
        <v>0</v>
      </c>
      <c r="CX13" s="240">
        <v>0</v>
      </c>
      <c r="CY13" s="240">
        <v>0</v>
      </c>
      <c r="CZ13" s="240">
        <v>0</v>
      </c>
      <c r="DA13" s="240">
        <v>0</v>
      </c>
      <c r="DB13" s="240">
        <v>0</v>
      </c>
      <c r="DC13" s="240">
        <v>0</v>
      </c>
      <c r="DD13" s="240">
        <v>0</v>
      </c>
      <c r="DE13" s="240">
        <v>0</v>
      </c>
      <c r="DF13" s="240">
        <v>0</v>
      </c>
      <c r="DG13" s="240">
        <v>0</v>
      </c>
      <c r="DH13" s="240">
        <v>0</v>
      </c>
      <c r="DI13" s="240">
        <v>0</v>
      </c>
      <c r="DJ13" s="240">
        <v>0</v>
      </c>
      <c r="DK13" s="240">
        <v>0</v>
      </c>
      <c r="DL13" s="240">
        <v>0</v>
      </c>
      <c r="DM13" s="240">
        <v>0</v>
      </c>
      <c r="DN13" s="240">
        <v>0</v>
      </c>
      <c r="DO13" s="240">
        <v>0</v>
      </c>
      <c r="DP13" s="240">
        <v>0</v>
      </c>
      <c r="DQ13" s="240">
        <v>0</v>
      </c>
      <c r="DR13" s="240">
        <v>0</v>
      </c>
      <c r="DS13" s="240">
        <v>0</v>
      </c>
    </row>
    <row r="14" spans="1:123" ht="45" thickBot="1">
      <c r="A14" s="271" t="s">
        <v>414</v>
      </c>
      <c r="B14" s="237" t="s">
        <v>35</v>
      </c>
      <c r="C14" s="272">
        <v>2800000</v>
      </c>
      <c r="D14" s="240">
        <v>0</v>
      </c>
      <c r="E14" s="240">
        <v>0</v>
      </c>
      <c r="F14" s="240">
        <v>0</v>
      </c>
      <c r="G14" s="240">
        <v>0</v>
      </c>
      <c r="H14" s="240">
        <v>0</v>
      </c>
      <c r="I14" s="240">
        <v>0</v>
      </c>
      <c r="J14" s="240">
        <v>0</v>
      </c>
      <c r="K14" s="240">
        <v>0</v>
      </c>
      <c r="L14" s="240">
        <v>0</v>
      </c>
      <c r="M14" s="240">
        <v>0</v>
      </c>
      <c r="N14" s="240">
        <v>0</v>
      </c>
      <c r="O14" s="240">
        <v>0</v>
      </c>
      <c r="P14" s="240">
        <v>0</v>
      </c>
      <c r="Q14" s="240">
        <v>0</v>
      </c>
      <c r="R14" s="240">
        <v>0</v>
      </c>
      <c r="S14" s="240">
        <v>0</v>
      </c>
      <c r="T14" s="240">
        <v>0</v>
      </c>
      <c r="U14" s="240">
        <v>0</v>
      </c>
      <c r="V14" s="240">
        <v>0</v>
      </c>
      <c r="W14" s="240">
        <v>0</v>
      </c>
      <c r="X14" s="240">
        <v>0</v>
      </c>
      <c r="Y14" s="240">
        <v>0</v>
      </c>
      <c r="Z14" s="240">
        <v>0</v>
      </c>
      <c r="AA14" s="240">
        <v>0</v>
      </c>
      <c r="AB14" s="240">
        <v>0</v>
      </c>
      <c r="AC14" s="240">
        <v>0</v>
      </c>
      <c r="AD14" s="240">
        <v>0</v>
      </c>
      <c r="AE14" s="240">
        <v>0</v>
      </c>
      <c r="AF14" s="240">
        <v>0</v>
      </c>
      <c r="AG14" s="240">
        <v>0</v>
      </c>
      <c r="AH14" s="240">
        <v>0</v>
      </c>
      <c r="AI14" s="240">
        <v>0</v>
      </c>
      <c r="AJ14" s="240">
        <v>0</v>
      </c>
      <c r="AK14" s="240">
        <v>0</v>
      </c>
      <c r="AL14" s="240">
        <v>0</v>
      </c>
      <c r="AM14" s="240">
        <v>0</v>
      </c>
      <c r="AN14" s="240">
        <v>0</v>
      </c>
      <c r="AO14" s="240">
        <v>0</v>
      </c>
      <c r="AP14" s="240">
        <v>0</v>
      </c>
      <c r="AQ14" s="240">
        <v>0</v>
      </c>
      <c r="AR14" s="240">
        <v>0</v>
      </c>
      <c r="AS14" s="240">
        <v>0</v>
      </c>
      <c r="AT14" s="240">
        <v>0</v>
      </c>
      <c r="AU14" s="240">
        <v>0</v>
      </c>
      <c r="AV14" s="240">
        <v>0</v>
      </c>
      <c r="AW14" s="240">
        <v>0</v>
      </c>
      <c r="AX14" s="240">
        <v>0</v>
      </c>
      <c r="AY14" s="240">
        <v>0</v>
      </c>
      <c r="AZ14" s="240">
        <v>0</v>
      </c>
      <c r="BA14" s="240">
        <v>0</v>
      </c>
      <c r="BB14" s="240">
        <v>0</v>
      </c>
      <c r="BC14" s="240">
        <v>0</v>
      </c>
      <c r="BD14" s="240">
        <v>0</v>
      </c>
      <c r="BE14" s="240">
        <v>0</v>
      </c>
      <c r="BF14" s="240">
        <v>0</v>
      </c>
      <c r="BG14" s="240">
        <v>0</v>
      </c>
      <c r="BH14" s="240">
        <v>0</v>
      </c>
      <c r="BI14" s="240">
        <v>0</v>
      </c>
      <c r="BJ14" s="240">
        <v>0</v>
      </c>
      <c r="BK14" s="240">
        <v>0</v>
      </c>
      <c r="BL14" s="240">
        <v>0</v>
      </c>
      <c r="BM14" s="240">
        <v>0</v>
      </c>
      <c r="BN14" s="240">
        <v>0</v>
      </c>
      <c r="BO14" s="240">
        <v>0</v>
      </c>
      <c r="BP14" s="240">
        <v>0</v>
      </c>
      <c r="BQ14" s="240">
        <v>0</v>
      </c>
      <c r="BR14" s="240">
        <v>0</v>
      </c>
      <c r="BS14" s="240">
        <v>0</v>
      </c>
      <c r="BT14" s="240">
        <v>0</v>
      </c>
      <c r="BU14" s="240">
        <v>0</v>
      </c>
      <c r="BV14" s="240">
        <v>0</v>
      </c>
      <c r="BW14" s="240">
        <v>0</v>
      </c>
      <c r="BX14" s="240">
        <v>0</v>
      </c>
      <c r="BY14" s="240">
        <v>0</v>
      </c>
      <c r="BZ14" s="240">
        <v>0</v>
      </c>
      <c r="CA14" s="240">
        <v>0</v>
      </c>
      <c r="CB14" s="240">
        <v>0</v>
      </c>
      <c r="CC14" s="240">
        <v>0</v>
      </c>
      <c r="CD14" s="240">
        <v>0</v>
      </c>
      <c r="CE14" s="240">
        <v>0</v>
      </c>
      <c r="CF14" s="240">
        <v>0</v>
      </c>
      <c r="CG14" s="240">
        <v>0</v>
      </c>
      <c r="CH14" s="240">
        <v>0</v>
      </c>
      <c r="CI14" s="240">
        <v>0</v>
      </c>
      <c r="CJ14" s="240">
        <v>0</v>
      </c>
      <c r="CK14" s="240">
        <v>0</v>
      </c>
      <c r="CL14" s="240">
        <v>0</v>
      </c>
      <c r="CM14" s="240">
        <v>0</v>
      </c>
      <c r="CN14" s="240">
        <v>0</v>
      </c>
      <c r="CO14" s="240">
        <v>0</v>
      </c>
      <c r="CP14" s="240">
        <v>0</v>
      </c>
      <c r="CQ14" s="240">
        <v>0</v>
      </c>
      <c r="CR14" s="240">
        <v>0</v>
      </c>
      <c r="CS14" s="240">
        <v>0</v>
      </c>
      <c r="CT14" s="240">
        <v>0</v>
      </c>
      <c r="CU14" s="240">
        <v>0</v>
      </c>
      <c r="CV14" s="240">
        <v>0</v>
      </c>
      <c r="CW14" s="240">
        <v>0</v>
      </c>
      <c r="CX14" s="240">
        <v>0</v>
      </c>
      <c r="CY14" s="240">
        <v>0</v>
      </c>
      <c r="CZ14" s="240">
        <v>0</v>
      </c>
      <c r="DA14" s="240">
        <v>0</v>
      </c>
      <c r="DB14" s="240">
        <v>0</v>
      </c>
      <c r="DC14" s="240">
        <v>0</v>
      </c>
      <c r="DD14" s="240">
        <v>0</v>
      </c>
      <c r="DE14" s="240">
        <v>0</v>
      </c>
      <c r="DF14" s="240">
        <v>0</v>
      </c>
      <c r="DG14" s="240">
        <v>0</v>
      </c>
      <c r="DH14" s="240">
        <v>0</v>
      </c>
      <c r="DI14" s="240">
        <v>0</v>
      </c>
      <c r="DJ14" s="240">
        <v>0</v>
      </c>
      <c r="DK14" s="240">
        <v>0</v>
      </c>
      <c r="DL14" s="240">
        <v>0</v>
      </c>
      <c r="DM14" s="240">
        <v>0</v>
      </c>
      <c r="DN14" s="240">
        <v>0</v>
      </c>
      <c r="DO14" s="240">
        <v>0</v>
      </c>
      <c r="DP14" s="240">
        <v>0</v>
      </c>
      <c r="DQ14" s="240">
        <v>0</v>
      </c>
      <c r="DR14" s="240">
        <v>0</v>
      </c>
      <c r="DS14" s="240">
        <v>0</v>
      </c>
    </row>
    <row r="15" spans="1:123" ht="45" thickBot="1">
      <c r="A15" s="271" t="s">
        <v>415</v>
      </c>
      <c r="B15" s="237" t="s">
        <v>35</v>
      </c>
      <c r="C15" s="272">
        <v>3600000</v>
      </c>
      <c r="D15" s="240">
        <v>0</v>
      </c>
      <c r="E15" s="240">
        <v>0</v>
      </c>
      <c r="F15" s="240">
        <v>0</v>
      </c>
      <c r="G15" s="240">
        <v>0</v>
      </c>
      <c r="H15" s="240">
        <v>0</v>
      </c>
      <c r="I15" s="240">
        <v>0</v>
      </c>
      <c r="J15" s="240">
        <v>0</v>
      </c>
      <c r="K15" s="240">
        <v>0</v>
      </c>
      <c r="L15" s="240">
        <v>0</v>
      </c>
      <c r="M15" s="240">
        <v>0</v>
      </c>
      <c r="N15" s="240">
        <v>0</v>
      </c>
      <c r="O15" s="240">
        <v>0</v>
      </c>
      <c r="P15" s="240">
        <v>0</v>
      </c>
      <c r="Q15" s="240">
        <v>0</v>
      </c>
      <c r="R15" s="240">
        <v>0</v>
      </c>
      <c r="S15" s="240">
        <v>0</v>
      </c>
      <c r="T15" s="240">
        <v>0</v>
      </c>
      <c r="U15" s="240">
        <v>0</v>
      </c>
      <c r="V15" s="240">
        <v>0</v>
      </c>
      <c r="W15" s="240">
        <v>0</v>
      </c>
      <c r="X15" s="240">
        <v>0</v>
      </c>
      <c r="Y15" s="240">
        <v>0</v>
      </c>
      <c r="Z15" s="240">
        <v>0</v>
      </c>
      <c r="AA15" s="240">
        <v>0</v>
      </c>
      <c r="AB15" s="240">
        <v>0</v>
      </c>
      <c r="AC15" s="240">
        <v>0</v>
      </c>
      <c r="AD15" s="240">
        <v>0</v>
      </c>
      <c r="AE15" s="240">
        <v>0</v>
      </c>
      <c r="AF15" s="240">
        <v>0</v>
      </c>
      <c r="AG15" s="240">
        <v>0</v>
      </c>
      <c r="AH15" s="240">
        <v>0</v>
      </c>
      <c r="AI15" s="240">
        <v>0</v>
      </c>
      <c r="AJ15" s="240">
        <v>0</v>
      </c>
      <c r="AK15" s="240">
        <v>0</v>
      </c>
      <c r="AL15" s="240">
        <v>0</v>
      </c>
      <c r="AM15" s="240">
        <v>0</v>
      </c>
      <c r="AN15" s="240">
        <v>0</v>
      </c>
      <c r="AO15" s="240">
        <v>0</v>
      </c>
      <c r="AP15" s="240">
        <v>0</v>
      </c>
      <c r="AQ15" s="240">
        <v>0</v>
      </c>
      <c r="AR15" s="240">
        <v>0</v>
      </c>
      <c r="AS15" s="240">
        <v>0</v>
      </c>
      <c r="AT15" s="240">
        <v>0</v>
      </c>
      <c r="AU15" s="240">
        <v>0</v>
      </c>
      <c r="AV15" s="240">
        <v>0</v>
      </c>
      <c r="AW15" s="240">
        <v>0</v>
      </c>
      <c r="AX15" s="240">
        <v>0</v>
      </c>
      <c r="AY15" s="240">
        <v>0</v>
      </c>
      <c r="AZ15" s="240">
        <v>0</v>
      </c>
      <c r="BA15" s="240">
        <v>0</v>
      </c>
      <c r="BB15" s="240">
        <v>0</v>
      </c>
      <c r="BC15" s="240">
        <v>0</v>
      </c>
      <c r="BD15" s="240">
        <v>0</v>
      </c>
      <c r="BE15" s="240">
        <v>0</v>
      </c>
      <c r="BF15" s="240">
        <v>0</v>
      </c>
      <c r="BG15" s="240">
        <v>0</v>
      </c>
      <c r="BH15" s="240">
        <v>0</v>
      </c>
      <c r="BI15" s="240">
        <v>0</v>
      </c>
      <c r="BJ15" s="240">
        <v>0</v>
      </c>
      <c r="BK15" s="240">
        <v>0</v>
      </c>
      <c r="BL15" s="240">
        <v>0</v>
      </c>
      <c r="BM15" s="240">
        <v>0</v>
      </c>
      <c r="BN15" s="240">
        <v>0</v>
      </c>
      <c r="BO15" s="240">
        <v>0</v>
      </c>
      <c r="BP15" s="240">
        <v>0</v>
      </c>
      <c r="BQ15" s="240">
        <v>0</v>
      </c>
      <c r="BR15" s="240">
        <v>0</v>
      </c>
      <c r="BS15" s="240">
        <v>0</v>
      </c>
      <c r="BT15" s="240">
        <v>0</v>
      </c>
      <c r="BU15" s="240">
        <v>0</v>
      </c>
      <c r="BV15" s="240">
        <v>0</v>
      </c>
      <c r="BW15" s="240">
        <v>0</v>
      </c>
      <c r="BX15" s="240">
        <v>0</v>
      </c>
      <c r="BY15" s="240">
        <v>0</v>
      </c>
      <c r="BZ15" s="240">
        <v>0</v>
      </c>
      <c r="CA15" s="240">
        <v>0</v>
      </c>
      <c r="CB15" s="240">
        <v>0</v>
      </c>
      <c r="CC15" s="240">
        <v>0</v>
      </c>
      <c r="CD15" s="240">
        <v>0</v>
      </c>
      <c r="CE15" s="240">
        <v>0</v>
      </c>
      <c r="CF15" s="240">
        <v>0</v>
      </c>
      <c r="CG15" s="240">
        <v>0</v>
      </c>
      <c r="CH15" s="240">
        <v>0</v>
      </c>
      <c r="CI15" s="240">
        <v>0</v>
      </c>
      <c r="CJ15" s="240">
        <v>0</v>
      </c>
      <c r="CK15" s="240">
        <v>0</v>
      </c>
      <c r="CL15" s="240">
        <v>0</v>
      </c>
      <c r="CM15" s="240">
        <v>0</v>
      </c>
      <c r="CN15" s="240">
        <v>0</v>
      </c>
      <c r="CO15" s="240">
        <v>0</v>
      </c>
      <c r="CP15" s="240">
        <v>0</v>
      </c>
      <c r="CQ15" s="240">
        <v>0</v>
      </c>
      <c r="CR15" s="240">
        <v>0</v>
      </c>
      <c r="CS15" s="240">
        <v>0</v>
      </c>
      <c r="CT15" s="240">
        <v>0</v>
      </c>
      <c r="CU15" s="240">
        <v>0</v>
      </c>
      <c r="CV15" s="240">
        <v>0</v>
      </c>
      <c r="CW15" s="240">
        <v>0</v>
      </c>
      <c r="CX15" s="240">
        <v>0</v>
      </c>
      <c r="CY15" s="240">
        <v>0</v>
      </c>
      <c r="CZ15" s="240">
        <v>0</v>
      </c>
      <c r="DA15" s="240">
        <v>0</v>
      </c>
      <c r="DB15" s="240">
        <v>0</v>
      </c>
      <c r="DC15" s="240">
        <v>0</v>
      </c>
      <c r="DD15" s="240">
        <v>0</v>
      </c>
      <c r="DE15" s="240">
        <v>0</v>
      </c>
      <c r="DF15" s="240">
        <v>0</v>
      </c>
      <c r="DG15" s="240">
        <v>0</v>
      </c>
      <c r="DH15" s="240">
        <v>0</v>
      </c>
      <c r="DI15" s="240">
        <v>0</v>
      </c>
      <c r="DJ15" s="240">
        <v>0</v>
      </c>
      <c r="DK15" s="240">
        <v>0</v>
      </c>
      <c r="DL15" s="240">
        <v>0</v>
      </c>
      <c r="DM15" s="240">
        <v>0</v>
      </c>
      <c r="DN15" s="240">
        <v>0</v>
      </c>
      <c r="DO15" s="240">
        <v>0</v>
      </c>
      <c r="DP15" s="240">
        <v>0</v>
      </c>
      <c r="DQ15" s="240">
        <v>0</v>
      </c>
      <c r="DR15" s="240">
        <v>0</v>
      </c>
      <c r="DS15" s="240">
        <v>0</v>
      </c>
    </row>
    <row r="16" spans="1:123" ht="67" thickBot="1">
      <c r="A16" s="273" t="s">
        <v>416</v>
      </c>
      <c r="B16" s="237" t="s">
        <v>35</v>
      </c>
      <c r="C16" s="272">
        <v>2000000</v>
      </c>
      <c r="D16" s="240">
        <v>0</v>
      </c>
      <c r="E16" s="240">
        <v>0</v>
      </c>
      <c r="F16" s="240">
        <v>0</v>
      </c>
      <c r="G16" s="240">
        <v>0</v>
      </c>
      <c r="H16" s="240">
        <v>0</v>
      </c>
      <c r="I16" s="240">
        <v>0</v>
      </c>
      <c r="J16" s="240">
        <v>0</v>
      </c>
      <c r="K16" s="240">
        <v>0</v>
      </c>
      <c r="L16" s="240">
        <v>0</v>
      </c>
      <c r="M16" s="240">
        <v>0</v>
      </c>
      <c r="N16" s="240">
        <v>0</v>
      </c>
      <c r="O16" s="240">
        <v>0</v>
      </c>
      <c r="P16" s="240">
        <v>0</v>
      </c>
      <c r="Q16" s="240">
        <v>0</v>
      </c>
      <c r="R16" s="240">
        <v>0</v>
      </c>
      <c r="S16" s="240">
        <v>0</v>
      </c>
      <c r="T16" s="240">
        <v>0</v>
      </c>
      <c r="U16" s="240">
        <v>0</v>
      </c>
      <c r="V16" s="240">
        <v>0</v>
      </c>
      <c r="W16" s="240">
        <v>0</v>
      </c>
      <c r="X16" s="240">
        <v>0</v>
      </c>
      <c r="Y16" s="240">
        <v>0</v>
      </c>
      <c r="Z16" s="240">
        <v>0</v>
      </c>
      <c r="AA16" s="240">
        <v>0</v>
      </c>
      <c r="AB16" s="240">
        <v>0</v>
      </c>
      <c r="AC16" s="240">
        <v>0</v>
      </c>
      <c r="AD16" s="240">
        <v>0</v>
      </c>
      <c r="AE16" s="240">
        <v>0</v>
      </c>
      <c r="AF16" s="240">
        <v>0</v>
      </c>
      <c r="AG16" s="240">
        <v>0</v>
      </c>
      <c r="AH16" s="240">
        <v>0</v>
      </c>
      <c r="AI16" s="240">
        <v>0</v>
      </c>
      <c r="AJ16" s="240">
        <v>0</v>
      </c>
      <c r="AK16" s="240">
        <v>0</v>
      </c>
      <c r="AL16" s="240">
        <v>0</v>
      </c>
      <c r="AM16" s="240">
        <v>0</v>
      </c>
      <c r="AN16" s="240">
        <v>0</v>
      </c>
      <c r="AO16" s="240">
        <v>0</v>
      </c>
      <c r="AP16" s="240">
        <v>0</v>
      </c>
      <c r="AQ16" s="240">
        <v>0</v>
      </c>
      <c r="AR16" s="240">
        <v>0</v>
      </c>
      <c r="AS16" s="240">
        <v>0</v>
      </c>
      <c r="AT16" s="240">
        <v>0</v>
      </c>
      <c r="AU16" s="240">
        <v>0</v>
      </c>
      <c r="AV16" s="240">
        <v>0</v>
      </c>
      <c r="AW16" s="240">
        <v>0</v>
      </c>
      <c r="AX16" s="240">
        <v>0</v>
      </c>
      <c r="AY16" s="240">
        <v>0</v>
      </c>
      <c r="AZ16" s="240">
        <v>0</v>
      </c>
      <c r="BA16" s="240">
        <v>0</v>
      </c>
      <c r="BB16" s="240">
        <v>0</v>
      </c>
      <c r="BC16" s="240">
        <v>0</v>
      </c>
      <c r="BD16" s="240">
        <v>0</v>
      </c>
      <c r="BE16" s="240">
        <v>0</v>
      </c>
      <c r="BF16" s="240">
        <v>0</v>
      </c>
      <c r="BG16" s="240">
        <v>0</v>
      </c>
      <c r="BH16" s="240">
        <v>0</v>
      </c>
      <c r="BI16" s="240">
        <v>0</v>
      </c>
      <c r="BJ16" s="240">
        <v>0</v>
      </c>
      <c r="BK16" s="240">
        <v>0</v>
      </c>
      <c r="BL16" s="240">
        <v>0</v>
      </c>
      <c r="BM16" s="240">
        <v>0</v>
      </c>
      <c r="BN16" s="240">
        <v>0</v>
      </c>
      <c r="BO16" s="240">
        <v>0</v>
      </c>
      <c r="BP16" s="240">
        <v>0</v>
      </c>
      <c r="BQ16" s="240">
        <v>0</v>
      </c>
      <c r="BR16" s="240">
        <v>0</v>
      </c>
      <c r="BS16" s="240">
        <v>0</v>
      </c>
      <c r="BT16" s="240">
        <v>0</v>
      </c>
      <c r="BU16" s="240">
        <v>0</v>
      </c>
      <c r="BV16" s="240">
        <v>0</v>
      </c>
      <c r="BW16" s="240">
        <v>0</v>
      </c>
      <c r="BX16" s="240">
        <v>0</v>
      </c>
      <c r="BY16" s="240">
        <v>0</v>
      </c>
      <c r="BZ16" s="240">
        <v>0</v>
      </c>
      <c r="CA16" s="240">
        <v>0</v>
      </c>
      <c r="CB16" s="240">
        <v>0</v>
      </c>
      <c r="CC16" s="240">
        <v>0</v>
      </c>
      <c r="CD16" s="240">
        <v>0</v>
      </c>
      <c r="CE16" s="240">
        <v>0</v>
      </c>
      <c r="CF16" s="240">
        <v>0</v>
      </c>
      <c r="CG16" s="240">
        <v>0</v>
      </c>
      <c r="CH16" s="240">
        <v>0</v>
      </c>
      <c r="CI16" s="240">
        <v>0</v>
      </c>
      <c r="CJ16" s="240">
        <v>0</v>
      </c>
      <c r="CK16" s="240">
        <v>0</v>
      </c>
      <c r="CL16" s="240">
        <v>0</v>
      </c>
      <c r="CM16" s="240">
        <v>0</v>
      </c>
      <c r="CN16" s="240">
        <v>0</v>
      </c>
      <c r="CO16" s="240">
        <v>0</v>
      </c>
      <c r="CP16" s="240">
        <v>0</v>
      </c>
      <c r="CQ16" s="240">
        <v>0</v>
      </c>
      <c r="CR16" s="240">
        <v>0</v>
      </c>
      <c r="CS16" s="240">
        <v>0</v>
      </c>
      <c r="CT16" s="240">
        <v>0</v>
      </c>
      <c r="CU16" s="240">
        <v>0</v>
      </c>
      <c r="CV16" s="240">
        <v>0</v>
      </c>
      <c r="CW16" s="240">
        <v>0</v>
      </c>
      <c r="CX16" s="240">
        <v>0</v>
      </c>
      <c r="CY16" s="240">
        <v>0</v>
      </c>
      <c r="CZ16" s="240">
        <v>0</v>
      </c>
      <c r="DA16" s="240">
        <v>0</v>
      </c>
      <c r="DB16" s="240">
        <v>0</v>
      </c>
      <c r="DC16" s="240">
        <v>0</v>
      </c>
      <c r="DD16" s="240">
        <v>0</v>
      </c>
      <c r="DE16" s="240">
        <v>0</v>
      </c>
      <c r="DF16" s="240">
        <v>0</v>
      </c>
      <c r="DG16" s="240">
        <v>0</v>
      </c>
      <c r="DH16" s="240">
        <v>0</v>
      </c>
      <c r="DI16" s="240">
        <v>0</v>
      </c>
      <c r="DJ16" s="240">
        <v>0</v>
      </c>
      <c r="DK16" s="240">
        <v>0</v>
      </c>
      <c r="DL16" s="240">
        <v>0</v>
      </c>
      <c r="DM16" s="240">
        <v>0</v>
      </c>
      <c r="DN16" s="240">
        <v>0</v>
      </c>
      <c r="DO16" s="240">
        <v>0</v>
      </c>
      <c r="DP16" s="240">
        <v>0</v>
      </c>
      <c r="DQ16" s="240">
        <v>0</v>
      </c>
      <c r="DR16" s="240">
        <v>0</v>
      </c>
      <c r="DS16" s="240">
        <v>0</v>
      </c>
    </row>
    <row r="17" spans="1:123" ht="22">
      <c r="A17" s="274" t="s">
        <v>419</v>
      </c>
      <c r="B17" s="237"/>
      <c r="C17" s="272">
        <f>SUM(C9:C16)</f>
        <v>65500000</v>
      </c>
      <c r="D17" s="272">
        <f t="shared" ref="D17" si="3">SUM(D9:D16)</f>
        <v>0</v>
      </c>
      <c r="E17" s="272">
        <f t="shared" ref="E17:BP17" si="4">SUM(E9:E16)</f>
        <v>0</v>
      </c>
      <c r="F17" s="272">
        <f t="shared" si="4"/>
        <v>0</v>
      </c>
      <c r="G17" s="272">
        <f t="shared" si="4"/>
        <v>0</v>
      </c>
      <c r="H17" s="272">
        <f t="shared" si="4"/>
        <v>0</v>
      </c>
      <c r="I17" s="272">
        <f t="shared" si="4"/>
        <v>0</v>
      </c>
      <c r="J17" s="272">
        <f t="shared" si="4"/>
        <v>0</v>
      </c>
      <c r="K17" s="272">
        <f t="shared" si="4"/>
        <v>0</v>
      </c>
      <c r="L17" s="272">
        <f t="shared" si="4"/>
        <v>0</v>
      </c>
      <c r="M17" s="272">
        <f t="shared" si="4"/>
        <v>0</v>
      </c>
      <c r="N17" s="272">
        <f t="shared" si="4"/>
        <v>0</v>
      </c>
      <c r="O17" s="272">
        <f t="shared" si="4"/>
        <v>0</v>
      </c>
      <c r="P17" s="272">
        <f t="shared" si="4"/>
        <v>0</v>
      </c>
      <c r="Q17" s="272">
        <f t="shared" si="4"/>
        <v>0</v>
      </c>
      <c r="R17" s="272">
        <f t="shared" si="4"/>
        <v>0</v>
      </c>
      <c r="S17" s="272">
        <f t="shared" si="4"/>
        <v>0</v>
      </c>
      <c r="T17" s="272">
        <f t="shared" si="4"/>
        <v>0</v>
      </c>
      <c r="U17" s="272">
        <f t="shared" si="4"/>
        <v>0</v>
      </c>
      <c r="V17" s="272">
        <f t="shared" si="4"/>
        <v>0</v>
      </c>
      <c r="W17" s="272">
        <f t="shared" si="4"/>
        <v>0</v>
      </c>
      <c r="X17" s="272">
        <f t="shared" si="4"/>
        <v>0</v>
      </c>
      <c r="Y17" s="272">
        <f t="shared" si="4"/>
        <v>0</v>
      </c>
      <c r="Z17" s="272">
        <f t="shared" si="4"/>
        <v>0</v>
      </c>
      <c r="AA17" s="272">
        <f t="shared" si="4"/>
        <v>0</v>
      </c>
      <c r="AB17" s="272">
        <f t="shared" si="4"/>
        <v>0</v>
      </c>
      <c r="AC17" s="272">
        <f t="shared" si="4"/>
        <v>0</v>
      </c>
      <c r="AD17" s="272">
        <f t="shared" si="4"/>
        <v>0</v>
      </c>
      <c r="AE17" s="272">
        <f t="shared" si="4"/>
        <v>0</v>
      </c>
      <c r="AF17" s="272">
        <f t="shared" si="4"/>
        <v>0</v>
      </c>
      <c r="AG17" s="272">
        <f t="shared" si="4"/>
        <v>0</v>
      </c>
      <c r="AH17" s="272">
        <f t="shared" si="4"/>
        <v>0</v>
      </c>
      <c r="AI17" s="272">
        <f t="shared" si="4"/>
        <v>0</v>
      </c>
      <c r="AJ17" s="272">
        <f t="shared" si="4"/>
        <v>0</v>
      </c>
      <c r="AK17" s="272">
        <f t="shared" si="4"/>
        <v>0</v>
      </c>
      <c r="AL17" s="272">
        <f t="shared" si="4"/>
        <v>0</v>
      </c>
      <c r="AM17" s="272">
        <f t="shared" si="4"/>
        <v>0</v>
      </c>
      <c r="AN17" s="272">
        <f t="shared" si="4"/>
        <v>0</v>
      </c>
      <c r="AO17" s="272">
        <f t="shared" si="4"/>
        <v>0</v>
      </c>
      <c r="AP17" s="272">
        <f t="shared" si="4"/>
        <v>0</v>
      </c>
      <c r="AQ17" s="272">
        <f t="shared" si="4"/>
        <v>0</v>
      </c>
      <c r="AR17" s="272">
        <f t="shared" si="4"/>
        <v>0</v>
      </c>
      <c r="AS17" s="272">
        <f t="shared" si="4"/>
        <v>0</v>
      </c>
      <c r="AT17" s="272">
        <f t="shared" si="4"/>
        <v>0</v>
      </c>
      <c r="AU17" s="272">
        <f t="shared" si="4"/>
        <v>0</v>
      </c>
      <c r="AV17" s="272">
        <f t="shared" si="4"/>
        <v>0</v>
      </c>
      <c r="AW17" s="272">
        <f t="shared" si="4"/>
        <v>0</v>
      </c>
      <c r="AX17" s="272">
        <f t="shared" si="4"/>
        <v>0</v>
      </c>
      <c r="AY17" s="272">
        <f t="shared" si="4"/>
        <v>0</v>
      </c>
      <c r="AZ17" s="272">
        <f t="shared" si="4"/>
        <v>0</v>
      </c>
      <c r="BA17" s="272">
        <f t="shared" si="4"/>
        <v>0</v>
      </c>
      <c r="BB17" s="272">
        <f t="shared" si="4"/>
        <v>0</v>
      </c>
      <c r="BC17" s="272">
        <f t="shared" si="4"/>
        <v>0</v>
      </c>
      <c r="BD17" s="272">
        <f t="shared" si="4"/>
        <v>0</v>
      </c>
      <c r="BE17" s="272">
        <f t="shared" si="4"/>
        <v>0</v>
      </c>
      <c r="BF17" s="272">
        <f t="shared" si="4"/>
        <v>0</v>
      </c>
      <c r="BG17" s="272">
        <f t="shared" si="4"/>
        <v>0</v>
      </c>
      <c r="BH17" s="272">
        <f t="shared" si="4"/>
        <v>0</v>
      </c>
      <c r="BI17" s="272">
        <f t="shared" si="4"/>
        <v>0</v>
      </c>
      <c r="BJ17" s="272">
        <f t="shared" si="4"/>
        <v>0</v>
      </c>
      <c r="BK17" s="272">
        <f t="shared" si="4"/>
        <v>0</v>
      </c>
      <c r="BL17" s="272">
        <f t="shared" si="4"/>
        <v>0</v>
      </c>
      <c r="BM17" s="272">
        <f t="shared" si="4"/>
        <v>0</v>
      </c>
      <c r="BN17" s="272">
        <f t="shared" si="4"/>
        <v>0</v>
      </c>
      <c r="BO17" s="272">
        <f t="shared" si="4"/>
        <v>0</v>
      </c>
      <c r="BP17" s="272">
        <f t="shared" si="4"/>
        <v>0</v>
      </c>
      <c r="BQ17" s="272">
        <f t="shared" ref="BQ17:DS17" si="5">SUM(BQ9:BQ16)</f>
        <v>0</v>
      </c>
      <c r="BR17" s="272">
        <f t="shared" si="5"/>
        <v>0</v>
      </c>
      <c r="BS17" s="272">
        <f t="shared" si="5"/>
        <v>0</v>
      </c>
      <c r="BT17" s="272">
        <f t="shared" si="5"/>
        <v>0</v>
      </c>
      <c r="BU17" s="272">
        <f t="shared" si="5"/>
        <v>0</v>
      </c>
      <c r="BV17" s="272">
        <f t="shared" si="5"/>
        <v>0</v>
      </c>
      <c r="BW17" s="272">
        <f t="shared" si="5"/>
        <v>0</v>
      </c>
      <c r="BX17" s="272">
        <f t="shared" si="5"/>
        <v>0</v>
      </c>
      <c r="BY17" s="272">
        <f t="shared" si="5"/>
        <v>0</v>
      </c>
      <c r="BZ17" s="272">
        <f t="shared" si="5"/>
        <v>0</v>
      </c>
      <c r="CA17" s="272">
        <f t="shared" si="5"/>
        <v>0</v>
      </c>
      <c r="CB17" s="272">
        <f t="shared" si="5"/>
        <v>0</v>
      </c>
      <c r="CC17" s="272">
        <f t="shared" si="5"/>
        <v>0</v>
      </c>
      <c r="CD17" s="272">
        <f t="shared" si="5"/>
        <v>0</v>
      </c>
      <c r="CE17" s="272">
        <f t="shared" si="5"/>
        <v>0</v>
      </c>
      <c r="CF17" s="272">
        <f t="shared" si="5"/>
        <v>0</v>
      </c>
      <c r="CG17" s="272">
        <f t="shared" si="5"/>
        <v>0</v>
      </c>
      <c r="CH17" s="272">
        <f t="shared" si="5"/>
        <v>0</v>
      </c>
      <c r="CI17" s="272">
        <f t="shared" si="5"/>
        <v>0</v>
      </c>
      <c r="CJ17" s="272">
        <f t="shared" si="5"/>
        <v>0</v>
      </c>
      <c r="CK17" s="272">
        <f t="shared" si="5"/>
        <v>0</v>
      </c>
      <c r="CL17" s="272">
        <f t="shared" si="5"/>
        <v>0</v>
      </c>
      <c r="CM17" s="272">
        <f t="shared" si="5"/>
        <v>0</v>
      </c>
      <c r="CN17" s="272">
        <f t="shared" si="5"/>
        <v>0</v>
      </c>
      <c r="CO17" s="272">
        <f t="shared" si="5"/>
        <v>0</v>
      </c>
      <c r="CP17" s="272">
        <f t="shared" si="5"/>
        <v>0</v>
      </c>
      <c r="CQ17" s="272">
        <f t="shared" si="5"/>
        <v>0</v>
      </c>
      <c r="CR17" s="272">
        <f t="shared" si="5"/>
        <v>0</v>
      </c>
      <c r="CS17" s="272">
        <f t="shared" si="5"/>
        <v>0</v>
      </c>
      <c r="CT17" s="272">
        <f t="shared" si="5"/>
        <v>0</v>
      </c>
      <c r="CU17" s="272">
        <f t="shared" si="5"/>
        <v>0</v>
      </c>
      <c r="CV17" s="272">
        <f t="shared" si="5"/>
        <v>0</v>
      </c>
      <c r="CW17" s="272">
        <f t="shared" si="5"/>
        <v>0</v>
      </c>
      <c r="CX17" s="272">
        <f t="shared" si="5"/>
        <v>0</v>
      </c>
      <c r="CY17" s="272">
        <f t="shared" si="5"/>
        <v>0</v>
      </c>
      <c r="CZ17" s="272">
        <f t="shared" si="5"/>
        <v>0</v>
      </c>
      <c r="DA17" s="272">
        <f t="shared" si="5"/>
        <v>0</v>
      </c>
      <c r="DB17" s="272">
        <f t="shared" si="5"/>
        <v>0</v>
      </c>
      <c r="DC17" s="272">
        <f t="shared" si="5"/>
        <v>0</v>
      </c>
      <c r="DD17" s="272">
        <f t="shared" si="5"/>
        <v>0</v>
      </c>
      <c r="DE17" s="272">
        <f t="shared" si="5"/>
        <v>0</v>
      </c>
      <c r="DF17" s="272">
        <f t="shared" si="5"/>
        <v>0</v>
      </c>
      <c r="DG17" s="272">
        <f t="shared" si="5"/>
        <v>0</v>
      </c>
      <c r="DH17" s="272">
        <f t="shared" si="5"/>
        <v>0</v>
      </c>
      <c r="DI17" s="272">
        <f t="shared" si="5"/>
        <v>0</v>
      </c>
      <c r="DJ17" s="272">
        <f t="shared" si="5"/>
        <v>0</v>
      </c>
      <c r="DK17" s="272">
        <f t="shared" si="5"/>
        <v>0</v>
      </c>
      <c r="DL17" s="272">
        <f t="shared" si="5"/>
        <v>0</v>
      </c>
      <c r="DM17" s="272">
        <f t="shared" si="5"/>
        <v>0</v>
      </c>
      <c r="DN17" s="272">
        <f t="shared" si="5"/>
        <v>0</v>
      </c>
      <c r="DO17" s="272">
        <f t="shared" si="5"/>
        <v>0</v>
      </c>
      <c r="DP17" s="272">
        <f t="shared" si="5"/>
        <v>0</v>
      </c>
      <c r="DQ17" s="272">
        <f t="shared" si="5"/>
        <v>0</v>
      </c>
      <c r="DR17" s="272">
        <f t="shared" si="5"/>
        <v>0</v>
      </c>
      <c r="DS17" s="272">
        <f t="shared" si="5"/>
        <v>0</v>
      </c>
    </row>
    <row r="18" spans="1:123" ht="67" thickBot="1">
      <c r="A18" s="271" t="s">
        <v>417</v>
      </c>
      <c r="B18" s="237" t="s">
        <v>35</v>
      </c>
      <c r="C18" s="272">
        <f t="shared" si="0"/>
        <v>0</v>
      </c>
      <c r="D18" s="240">
        <v>0</v>
      </c>
      <c r="E18" s="240">
        <v>0</v>
      </c>
      <c r="F18" s="240">
        <v>0</v>
      </c>
      <c r="G18" s="240">
        <v>0</v>
      </c>
      <c r="H18" s="240">
        <v>0</v>
      </c>
      <c r="I18" s="240">
        <v>0</v>
      </c>
      <c r="J18" s="240">
        <v>0</v>
      </c>
      <c r="K18" s="240">
        <v>0</v>
      </c>
      <c r="L18" s="240">
        <v>0</v>
      </c>
      <c r="M18" s="240">
        <v>0</v>
      </c>
      <c r="N18" s="240">
        <v>0</v>
      </c>
      <c r="O18" s="240">
        <v>0</v>
      </c>
      <c r="P18" s="240">
        <v>0</v>
      </c>
      <c r="Q18" s="240">
        <v>0</v>
      </c>
      <c r="R18" s="240">
        <v>0</v>
      </c>
      <c r="S18" s="240">
        <v>0</v>
      </c>
      <c r="T18" s="240">
        <v>0</v>
      </c>
      <c r="U18" s="240">
        <v>0</v>
      </c>
      <c r="V18" s="240">
        <v>0</v>
      </c>
      <c r="W18" s="240">
        <v>0</v>
      </c>
      <c r="X18" s="240">
        <v>0</v>
      </c>
      <c r="Y18" s="240">
        <v>0</v>
      </c>
      <c r="Z18" s="240">
        <v>0</v>
      </c>
      <c r="AA18" s="240">
        <v>0</v>
      </c>
      <c r="AB18" s="240">
        <v>0</v>
      </c>
      <c r="AC18" s="240">
        <v>0</v>
      </c>
      <c r="AD18" s="240">
        <v>0</v>
      </c>
      <c r="AE18" s="240">
        <v>0</v>
      </c>
      <c r="AF18" s="240">
        <v>0</v>
      </c>
      <c r="AG18" s="240">
        <v>0</v>
      </c>
      <c r="AH18" s="240">
        <v>0</v>
      </c>
      <c r="AI18" s="240">
        <v>0</v>
      </c>
      <c r="AJ18" s="240">
        <v>0</v>
      </c>
      <c r="AK18" s="240">
        <v>0</v>
      </c>
      <c r="AL18" s="240">
        <v>0</v>
      </c>
      <c r="AM18" s="240">
        <v>0</v>
      </c>
      <c r="AN18" s="240">
        <v>0</v>
      </c>
      <c r="AO18" s="240">
        <v>0</v>
      </c>
      <c r="AP18" s="240">
        <v>0</v>
      </c>
      <c r="AQ18" s="240">
        <v>0</v>
      </c>
      <c r="AR18" s="240">
        <v>0</v>
      </c>
      <c r="AS18" s="240">
        <v>0</v>
      </c>
      <c r="AT18" s="240">
        <v>0</v>
      </c>
      <c r="AU18" s="240">
        <v>0</v>
      </c>
      <c r="AV18" s="240">
        <v>0</v>
      </c>
      <c r="AW18" s="240">
        <v>0</v>
      </c>
      <c r="AX18" s="240">
        <v>0</v>
      </c>
      <c r="AY18" s="240">
        <v>0</v>
      </c>
      <c r="AZ18" s="240">
        <v>0</v>
      </c>
      <c r="BA18" s="240">
        <v>0</v>
      </c>
      <c r="BB18" s="240">
        <v>0</v>
      </c>
      <c r="BC18" s="240">
        <v>0</v>
      </c>
      <c r="BD18" s="240">
        <v>0</v>
      </c>
      <c r="BE18" s="240">
        <v>0</v>
      </c>
      <c r="BF18" s="240">
        <v>0</v>
      </c>
      <c r="BG18" s="240">
        <v>0</v>
      </c>
      <c r="BH18" s="240">
        <v>0</v>
      </c>
      <c r="BI18" s="240">
        <v>0</v>
      </c>
      <c r="BJ18" s="240">
        <v>0</v>
      </c>
      <c r="BK18" s="240">
        <v>0</v>
      </c>
      <c r="BL18" s="240">
        <v>0</v>
      </c>
      <c r="BM18" s="240">
        <v>0</v>
      </c>
      <c r="BN18" s="240">
        <v>0</v>
      </c>
      <c r="BO18" s="240">
        <v>0</v>
      </c>
      <c r="BP18" s="240">
        <v>0</v>
      </c>
      <c r="BQ18" s="240">
        <v>0</v>
      </c>
      <c r="BR18" s="240">
        <v>0</v>
      </c>
      <c r="BS18" s="240">
        <v>0</v>
      </c>
      <c r="BT18" s="240">
        <v>0</v>
      </c>
      <c r="BU18" s="240">
        <v>0</v>
      </c>
      <c r="BV18" s="240">
        <v>0</v>
      </c>
      <c r="BW18" s="240">
        <v>0</v>
      </c>
      <c r="BX18" s="240">
        <v>0</v>
      </c>
      <c r="BY18" s="240">
        <v>0</v>
      </c>
      <c r="BZ18" s="240">
        <v>0</v>
      </c>
      <c r="CA18" s="240">
        <v>0</v>
      </c>
      <c r="CB18" s="240">
        <v>0</v>
      </c>
      <c r="CC18" s="240">
        <v>0</v>
      </c>
      <c r="CD18" s="240">
        <v>0</v>
      </c>
      <c r="CE18" s="240">
        <v>0</v>
      </c>
      <c r="CF18" s="240">
        <v>0</v>
      </c>
      <c r="CG18" s="240">
        <v>0</v>
      </c>
      <c r="CH18" s="240">
        <v>0</v>
      </c>
      <c r="CI18" s="240">
        <v>0</v>
      </c>
      <c r="CJ18" s="240">
        <v>0</v>
      </c>
      <c r="CK18" s="240">
        <v>0</v>
      </c>
      <c r="CL18" s="240">
        <v>0</v>
      </c>
      <c r="CM18" s="240">
        <v>0</v>
      </c>
      <c r="CN18" s="240">
        <v>0</v>
      </c>
      <c r="CO18" s="240">
        <v>0</v>
      </c>
      <c r="CP18" s="240">
        <v>0</v>
      </c>
      <c r="CQ18" s="240">
        <v>0</v>
      </c>
      <c r="CR18" s="240">
        <v>0</v>
      </c>
      <c r="CS18" s="240">
        <v>0</v>
      </c>
      <c r="CT18" s="240">
        <v>0</v>
      </c>
      <c r="CU18" s="240">
        <v>0</v>
      </c>
      <c r="CV18" s="240">
        <v>0</v>
      </c>
      <c r="CW18" s="240">
        <v>0</v>
      </c>
      <c r="CX18" s="240">
        <v>0</v>
      </c>
      <c r="CY18" s="240">
        <v>0</v>
      </c>
      <c r="CZ18" s="240">
        <v>0</v>
      </c>
      <c r="DA18" s="240">
        <v>0</v>
      </c>
      <c r="DB18" s="240">
        <v>0</v>
      </c>
      <c r="DC18" s="240">
        <v>0</v>
      </c>
      <c r="DD18" s="240">
        <v>0</v>
      </c>
      <c r="DE18" s="240">
        <v>0</v>
      </c>
      <c r="DF18" s="240">
        <v>0</v>
      </c>
      <c r="DG18" s="240">
        <v>0</v>
      </c>
      <c r="DH18" s="240">
        <v>0</v>
      </c>
      <c r="DI18" s="240">
        <v>0</v>
      </c>
      <c r="DJ18" s="240">
        <v>0</v>
      </c>
      <c r="DK18" s="240">
        <v>0</v>
      </c>
      <c r="DL18" s="240">
        <v>0</v>
      </c>
      <c r="DM18" s="240">
        <v>0</v>
      </c>
      <c r="DN18" s="240">
        <v>0</v>
      </c>
      <c r="DO18" s="240">
        <v>0</v>
      </c>
      <c r="DP18" s="240">
        <v>0</v>
      </c>
      <c r="DQ18" s="240">
        <v>0</v>
      </c>
      <c r="DR18" s="240">
        <v>0</v>
      </c>
      <c r="DS18" s="240">
        <v>0</v>
      </c>
    </row>
    <row r="19" spans="1:123" ht="78" thickBot="1">
      <c r="A19" s="273" t="s">
        <v>418</v>
      </c>
      <c r="B19" s="237" t="s">
        <v>35</v>
      </c>
      <c r="C19" s="272">
        <f t="shared" si="0"/>
        <v>0</v>
      </c>
      <c r="D19" s="240">
        <v>0</v>
      </c>
      <c r="E19" s="240">
        <v>0</v>
      </c>
      <c r="F19" s="240">
        <v>0</v>
      </c>
      <c r="G19" s="240">
        <v>0</v>
      </c>
      <c r="H19" s="240">
        <v>0</v>
      </c>
      <c r="I19" s="240">
        <v>0</v>
      </c>
      <c r="J19" s="240">
        <v>0</v>
      </c>
      <c r="K19" s="240">
        <v>0</v>
      </c>
      <c r="L19" s="240">
        <v>0</v>
      </c>
      <c r="M19" s="240">
        <v>0</v>
      </c>
      <c r="N19" s="240">
        <v>0</v>
      </c>
      <c r="O19" s="240">
        <v>0</v>
      </c>
      <c r="P19" s="240">
        <v>0</v>
      </c>
      <c r="Q19" s="240">
        <v>0</v>
      </c>
      <c r="R19" s="240">
        <v>0</v>
      </c>
      <c r="S19" s="240">
        <v>0</v>
      </c>
      <c r="T19" s="240">
        <v>0</v>
      </c>
      <c r="U19" s="240">
        <v>0</v>
      </c>
      <c r="V19" s="240">
        <v>0</v>
      </c>
      <c r="W19" s="240">
        <v>0</v>
      </c>
      <c r="X19" s="240">
        <v>0</v>
      </c>
      <c r="Y19" s="240">
        <v>0</v>
      </c>
      <c r="Z19" s="240">
        <v>0</v>
      </c>
      <c r="AA19" s="240">
        <v>0</v>
      </c>
      <c r="AB19" s="240">
        <v>0</v>
      </c>
      <c r="AC19" s="240">
        <v>0</v>
      </c>
      <c r="AD19" s="240">
        <v>0</v>
      </c>
      <c r="AE19" s="240">
        <v>0</v>
      </c>
      <c r="AF19" s="240">
        <v>0</v>
      </c>
      <c r="AG19" s="240">
        <v>0</v>
      </c>
      <c r="AH19" s="240">
        <v>0</v>
      </c>
      <c r="AI19" s="240">
        <v>0</v>
      </c>
      <c r="AJ19" s="240">
        <v>0</v>
      </c>
      <c r="AK19" s="240">
        <v>0</v>
      </c>
      <c r="AL19" s="240">
        <v>0</v>
      </c>
      <c r="AM19" s="240">
        <v>0</v>
      </c>
      <c r="AN19" s="240">
        <v>0</v>
      </c>
      <c r="AO19" s="240">
        <v>0</v>
      </c>
      <c r="AP19" s="240">
        <v>0</v>
      </c>
      <c r="AQ19" s="240">
        <v>0</v>
      </c>
      <c r="AR19" s="240">
        <v>0</v>
      </c>
      <c r="AS19" s="240">
        <v>0</v>
      </c>
      <c r="AT19" s="240">
        <v>0</v>
      </c>
      <c r="AU19" s="240">
        <v>0</v>
      </c>
      <c r="AV19" s="240">
        <v>0</v>
      </c>
      <c r="AW19" s="240">
        <v>0</v>
      </c>
      <c r="AX19" s="240">
        <v>0</v>
      </c>
      <c r="AY19" s="240">
        <v>0</v>
      </c>
      <c r="AZ19" s="240">
        <v>0</v>
      </c>
      <c r="BA19" s="240">
        <v>0</v>
      </c>
      <c r="BB19" s="240">
        <v>0</v>
      </c>
      <c r="BC19" s="240">
        <v>0</v>
      </c>
      <c r="BD19" s="240">
        <v>0</v>
      </c>
      <c r="BE19" s="240">
        <v>0</v>
      </c>
      <c r="BF19" s="240">
        <v>0</v>
      </c>
      <c r="BG19" s="240">
        <v>0</v>
      </c>
      <c r="BH19" s="240">
        <v>0</v>
      </c>
      <c r="BI19" s="240">
        <v>0</v>
      </c>
      <c r="BJ19" s="240">
        <v>0</v>
      </c>
      <c r="BK19" s="240">
        <v>0</v>
      </c>
      <c r="BL19" s="240">
        <v>0</v>
      </c>
      <c r="BM19" s="240">
        <v>0</v>
      </c>
      <c r="BN19" s="240">
        <v>0</v>
      </c>
      <c r="BO19" s="240">
        <v>0</v>
      </c>
      <c r="BP19" s="240">
        <v>0</v>
      </c>
      <c r="BQ19" s="240">
        <v>0</v>
      </c>
      <c r="BR19" s="240">
        <v>0</v>
      </c>
      <c r="BS19" s="240">
        <v>0</v>
      </c>
      <c r="BT19" s="240">
        <v>0</v>
      </c>
      <c r="BU19" s="240">
        <v>0</v>
      </c>
      <c r="BV19" s="240">
        <v>0</v>
      </c>
      <c r="BW19" s="240">
        <v>0</v>
      </c>
      <c r="BX19" s="240">
        <v>0</v>
      </c>
      <c r="BY19" s="240">
        <v>0</v>
      </c>
      <c r="BZ19" s="240">
        <v>0</v>
      </c>
      <c r="CA19" s="240">
        <v>0</v>
      </c>
      <c r="CB19" s="240">
        <v>0</v>
      </c>
      <c r="CC19" s="240">
        <v>0</v>
      </c>
      <c r="CD19" s="240">
        <v>0</v>
      </c>
      <c r="CE19" s="240">
        <v>0</v>
      </c>
      <c r="CF19" s="240">
        <v>0</v>
      </c>
      <c r="CG19" s="240">
        <v>0</v>
      </c>
      <c r="CH19" s="240">
        <v>0</v>
      </c>
      <c r="CI19" s="240">
        <v>0</v>
      </c>
      <c r="CJ19" s="240">
        <v>0</v>
      </c>
      <c r="CK19" s="240">
        <v>0</v>
      </c>
      <c r="CL19" s="240">
        <v>0</v>
      </c>
      <c r="CM19" s="240">
        <v>0</v>
      </c>
      <c r="CN19" s="240">
        <v>0</v>
      </c>
      <c r="CO19" s="240">
        <v>0</v>
      </c>
      <c r="CP19" s="240">
        <v>0</v>
      </c>
      <c r="CQ19" s="240">
        <v>0</v>
      </c>
      <c r="CR19" s="240">
        <v>0</v>
      </c>
      <c r="CS19" s="240">
        <v>0</v>
      </c>
      <c r="CT19" s="240">
        <v>0</v>
      </c>
      <c r="CU19" s="240">
        <v>0</v>
      </c>
      <c r="CV19" s="240">
        <v>0</v>
      </c>
      <c r="CW19" s="240">
        <v>0</v>
      </c>
      <c r="CX19" s="240">
        <v>0</v>
      </c>
      <c r="CY19" s="240">
        <v>0</v>
      </c>
      <c r="CZ19" s="240">
        <v>0</v>
      </c>
      <c r="DA19" s="240">
        <v>0</v>
      </c>
      <c r="DB19" s="240">
        <v>0</v>
      </c>
      <c r="DC19" s="240">
        <v>0</v>
      </c>
      <c r="DD19" s="240">
        <v>0</v>
      </c>
      <c r="DE19" s="240">
        <v>0</v>
      </c>
      <c r="DF19" s="240">
        <v>0</v>
      </c>
      <c r="DG19" s="240">
        <v>0</v>
      </c>
      <c r="DH19" s="240">
        <v>0</v>
      </c>
      <c r="DI19" s="240">
        <v>0</v>
      </c>
      <c r="DJ19" s="240">
        <v>0</v>
      </c>
      <c r="DK19" s="240">
        <v>0</v>
      </c>
      <c r="DL19" s="240">
        <v>0</v>
      </c>
      <c r="DM19" s="240">
        <v>0</v>
      </c>
      <c r="DN19" s="240">
        <v>0</v>
      </c>
      <c r="DO19" s="240">
        <v>0</v>
      </c>
      <c r="DP19" s="240">
        <v>0</v>
      </c>
      <c r="DQ19" s="240">
        <v>0</v>
      </c>
      <c r="DR19" s="240">
        <v>0</v>
      </c>
      <c r="DS19" s="240">
        <v>0</v>
      </c>
    </row>
    <row r="20" spans="1:123" ht="22">
      <c r="A20" s="274" t="s">
        <v>423</v>
      </c>
      <c r="B20" s="237"/>
      <c r="C20" s="272">
        <f>C18+C19</f>
        <v>0</v>
      </c>
      <c r="D20" s="272">
        <f t="shared" ref="D20:BO20" si="6">D18+D19</f>
        <v>0</v>
      </c>
      <c r="E20" s="272">
        <f t="shared" si="6"/>
        <v>0</v>
      </c>
      <c r="F20" s="272">
        <f t="shared" si="6"/>
        <v>0</v>
      </c>
      <c r="G20" s="272">
        <f t="shared" si="6"/>
        <v>0</v>
      </c>
      <c r="H20" s="272">
        <f t="shared" si="6"/>
        <v>0</v>
      </c>
      <c r="I20" s="272">
        <f t="shared" si="6"/>
        <v>0</v>
      </c>
      <c r="J20" s="272">
        <f t="shared" si="6"/>
        <v>0</v>
      </c>
      <c r="K20" s="272">
        <f t="shared" si="6"/>
        <v>0</v>
      </c>
      <c r="L20" s="272">
        <f t="shared" si="6"/>
        <v>0</v>
      </c>
      <c r="M20" s="272">
        <f t="shared" si="6"/>
        <v>0</v>
      </c>
      <c r="N20" s="272">
        <f t="shared" si="6"/>
        <v>0</v>
      </c>
      <c r="O20" s="272">
        <f t="shared" si="6"/>
        <v>0</v>
      </c>
      <c r="P20" s="272">
        <f t="shared" si="6"/>
        <v>0</v>
      </c>
      <c r="Q20" s="272">
        <f t="shared" si="6"/>
        <v>0</v>
      </c>
      <c r="R20" s="272">
        <f t="shared" si="6"/>
        <v>0</v>
      </c>
      <c r="S20" s="272">
        <f t="shared" si="6"/>
        <v>0</v>
      </c>
      <c r="T20" s="272">
        <f t="shared" si="6"/>
        <v>0</v>
      </c>
      <c r="U20" s="272">
        <f t="shared" si="6"/>
        <v>0</v>
      </c>
      <c r="V20" s="272">
        <f t="shared" si="6"/>
        <v>0</v>
      </c>
      <c r="W20" s="272">
        <f t="shared" si="6"/>
        <v>0</v>
      </c>
      <c r="X20" s="272">
        <f t="shared" si="6"/>
        <v>0</v>
      </c>
      <c r="Y20" s="272">
        <f t="shared" si="6"/>
        <v>0</v>
      </c>
      <c r="Z20" s="272">
        <f t="shared" si="6"/>
        <v>0</v>
      </c>
      <c r="AA20" s="272">
        <f t="shared" si="6"/>
        <v>0</v>
      </c>
      <c r="AB20" s="272">
        <f t="shared" si="6"/>
        <v>0</v>
      </c>
      <c r="AC20" s="272">
        <f t="shared" si="6"/>
        <v>0</v>
      </c>
      <c r="AD20" s="272">
        <f t="shared" si="6"/>
        <v>0</v>
      </c>
      <c r="AE20" s="272">
        <f t="shared" si="6"/>
        <v>0</v>
      </c>
      <c r="AF20" s="272">
        <f t="shared" si="6"/>
        <v>0</v>
      </c>
      <c r="AG20" s="272">
        <f t="shared" si="6"/>
        <v>0</v>
      </c>
      <c r="AH20" s="272">
        <f t="shared" si="6"/>
        <v>0</v>
      </c>
      <c r="AI20" s="272">
        <f t="shared" si="6"/>
        <v>0</v>
      </c>
      <c r="AJ20" s="272">
        <f t="shared" si="6"/>
        <v>0</v>
      </c>
      <c r="AK20" s="272">
        <f t="shared" si="6"/>
        <v>0</v>
      </c>
      <c r="AL20" s="272">
        <f t="shared" si="6"/>
        <v>0</v>
      </c>
      <c r="AM20" s="272">
        <f t="shared" si="6"/>
        <v>0</v>
      </c>
      <c r="AN20" s="272">
        <f t="shared" si="6"/>
        <v>0</v>
      </c>
      <c r="AO20" s="272">
        <f t="shared" si="6"/>
        <v>0</v>
      </c>
      <c r="AP20" s="272">
        <f t="shared" si="6"/>
        <v>0</v>
      </c>
      <c r="AQ20" s="272">
        <f t="shared" si="6"/>
        <v>0</v>
      </c>
      <c r="AR20" s="272">
        <f t="shared" si="6"/>
        <v>0</v>
      </c>
      <c r="AS20" s="272">
        <f t="shared" si="6"/>
        <v>0</v>
      </c>
      <c r="AT20" s="272">
        <f t="shared" si="6"/>
        <v>0</v>
      </c>
      <c r="AU20" s="272">
        <f t="shared" si="6"/>
        <v>0</v>
      </c>
      <c r="AV20" s="272">
        <f t="shared" si="6"/>
        <v>0</v>
      </c>
      <c r="AW20" s="272">
        <f t="shared" si="6"/>
        <v>0</v>
      </c>
      <c r="AX20" s="272">
        <f t="shared" si="6"/>
        <v>0</v>
      </c>
      <c r="AY20" s="272">
        <f t="shared" si="6"/>
        <v>0</v>
      </c>
      <c r="AZ20" s="272">
        <f t="shared" si="6"/>
        <v>0</v>
      </c>
      <c r="BA20" s="272">
        <f t="shared" si="6"/>
        <v>0</v>
      </c>
      <c r="BB20" s="272">
        <f t="shared" si="6"/>
        <v>0</v>
      </c>
      <c r="BC20" s="272">
        <f t="shared" si="6"/>
        <v>0</v>
      </c>
      <c r="BD20" s="272">
        <f t="shared" si="6"/>
        <v>0</v>
      </c>
      <c r="BE20" s="272">
        <f t="shared" si="6"/>
        <v>0</v>
      </c>
      <c r="BF20" s="272">
        <f t="shared" si="6"/>
        <v>0</v>
      </c>
      <c r="BG20" s="272">
        <f t="shared" si="6"/>
        <v>0</v>
      </c>
      <c r="BH20" s="272">
        <f t="shared" si="6"/>
        <v>0</v>
      </c>
      <c r="BI20" s="272">
        <f t="shared" si="6"/>
        <v>0</v>
      </c>
      <c r="BJ20" s="272">
        <f t="shared" si="6"/>
        <v>0</v>
      </c>
      <c r="BK20" s="272">
        <f t="shared" si="6"/>
        <v>0</v>
      </c>
      <c r="BL20" s="272">
        <f t="shared" si="6"/>
        <v>0</v>
      </c>
      <c r="BM20" s="272">
        <f t="shared" si="6"/>
        <v>0</v>
      </c>
      <c r="BN20" s="272">
        <f t="shared" si="6"/>
        <v>0</v>
      </c>
      <c r="BO20" s="272">
        <f t="shared" si="6"/>
        <v>0</v>
      </c>
      <c r="BP20" s="272">
        <f t="shared" ref="BP20:DR20" si="7">BP18+BP19</f>
        <v>0</v>
      </c>
      <c r="BQ20" s="272">
        <f t="shared" si="7"/>
        <v>0</v>
      </c>
      <c r="BR20" s="272">
        <f t="shared" si="7"/>
        <v>0</v>
      </c>
      <c r="BS20" s="272">
        <f t="shared" si="7"/>
        <v>0</v>
      </c>
      <c r="BT20" s="272">
        <f t="shared" si="7"/>
        <v>0</v>
      </c>
      <c r="BU20" s="272">
        <f t="shared" si="7"/>
        <v>0</v>
      </c>
      <c r="BV20" s="272">
        <f t="shared" si="7"/>
        <v>0</v>
      </c>
      <c r="BW20" s="272">
        <f t="shared" si="7"/>
        <v>0</v>
      </c>
      <c r="BX20" s="272">
        <f t="shared" si="7"/>
        <v>0</v>
      </c>
      <c r="BY20" s="272">
        <f t="shared" si="7"/>
        <v>0</v>
      </c>
      <c r="BZ20" s="272">
        <f t="shared" si="7"/>
        <v>0</v>
      </c>
      <c r="CA20" s="272">
        <f t="shared" si="7"/>
        <v>0</v>
      </c>
      <c r="CB20" s="272">
        <f t="shared" si="7"/>
        <v>0</v>
      </c>
      <c r="CC20" s="272">
        <f t="shared" si="7"/>
        <v>0</v>
      </c>
      <c r="CD20" s="272">
        <f t="shared" si="7"/>
        <v>0</v>
      </c>
      <c r="CE20" s="272">
        <f t="shared" si="7"/>
        <v>0</v>
      </c>
      <c r="CF20" s="272">
        <f t="shared" si="7"/>
        <v>0</v>
      </c>
      <c r="CG20" s="272">
        <f t="shared" si="7"/>
        <v>0</v>
      </c>
      <c r="CH20" s="272">
        <f t="shared" si="7"/>
        <v>0</v>
      </c>
      <c r="CI20" s="272">
        <f t="shared" si="7"/>
        <v>0</v>
      </c>
      <c r="CJ20" s="272">
        <f t="shared" si="7"/>
        <v>0</v>
      </c>
      <c r="CK20" s="272">
        <f t="shared" si="7"/>
        <v>0</v>
      </c>
      <c r="CL20" s="272">
        <f t="shared" si="7"/>
        <v>0</v>
      </c>
      <c r="CM20" s="272">
        <f t="shared" si="7"/>
        <v>0</v>
      </c>
      <c r="CN20" s="272">
        <f t="shared" si="7"/>
        <v>0</v>
      </c>
      <c r="CO20" s="272">
        <f t="shared" si="7"/>
        <v>0</v>
      </c>
      <c r="CP20" s="272">
        <f t="shared" si="7"/>
        <v>0</v>
      </c>
      <c r="CQ20" s="272">
        <f t="shared" si="7"/>
        <v>0</v>
      </c>
      <c r="CR20" s="272">
        <f t="shared" si="7"/>
        <v>0</v>
      </c>
      <c r="CS20" s="272">
        <f t="shared" si="7"/>
        <v>0</v>
      </c>
      <c r="CT20" s="272">
        <f t="shared" si="7"/>
        <v>0</v>
      </c>
      <c r="CU20" s="272">
        <f t="shared" si="7"/>
        <v>0</v>
      </c>
      <c r="CV20" s="272">
        <f t="shared" si="7"/>
        <v>0</v>
      </c>
      <c r="CW20" s="272">
        <f t="shared" si="7"/>
        <v>0</v>
      </c>
      <c r="CX20" s="272">
        <f t="shared" si="7"/>
        <v>0</v>
      </c>
      <c r="CY20" s="272">
        <f t="shared" si="7"/>
        <v>0</v>
      </c>
      <c r="CZ20" s="272">
        <f t="shared" si="7"/>
        <v>0</v>
      </c>
      <c r="DA20" s="272">
        <f t="shared" si="7"/>
        <v>0</v>
      </c>
      <c r="DB20" s="272">
        <f t="shared" si="7"/>
        <v>0</v>
      </c>
      <c r="DC20" s="272">
        <f t="shared" si="7"/>
        <v>0</v>
      </c>
      <c r="DD20" s="272">
        <f t="shared" si="7"/>
        <v>0</v>
      </c>
      <c r="DE20" s="272">
        <f t="shared" si="7"/>
        <v>0</v>
      </c>
      <c r="DF20" s="272">
        <f t="shared" si="7"/>
        <v>0</v>
      </c>
      <c r="DG20" s="272">
        <f t="shared" si="7"/>
        <v>0</v>
      </c>
      <c r="DH20" s="272">
        <f t="shared" si="7"/>
        <v>0</v>
      </c>
      <c r="DI20" s="272">
        <f t="shared" si="7"/>
        <v>0</v>
      </c>
      <c r="DJ20" s="272">
        <f t="shared" si="7"/>
        <v>0</v>
      </c>
      <c r="DK20" s="272">
        <f t="shared" si="7"/>
        <v>0</v>
      </c>
      <c r="DL20" s="272">
        <f t="shared" si="7"/>
        <v>0</v>
      </c>
      <c r="DM20" s="272">
        <f t="shared" si="7"/>
        <v>0</v>
      </c>
      <c r="DN20" s="272">
        <f t="shared" si="7"/>
        <v>0</v>
      </c>
      <c r="DO20" s="272">
        <f t="shared" si="7"/>
        <v>0</v>
      </c>
      <c r="DP20" s="272">
        <f t="shared" si="7"/>
        <v>0</v>
      </c>
      <c r="DQ20" s="272">
        <f t="shared" si="7"/>
        <v>0</v>
      </c>
      <c r="DR20" s="272">
        <f t="shared" si="7"/>
        <v>0</v>
      </c>
      <c r="DS20" s="272">
        <f>DS18+DS19</f>
        <v>0</v>
      </c>
    </row>
    <row r="21" spans="1:123">
      <c r="A21" s="265" t="s">
        <v>59</v>
      </c>
      <c r="B21" s="237" t="s">
        <v>35</v>
      </c>
      <c r="C21" s="272">
        <f>SUM(D21:DS21)</f>
        <v>0</v>
      </c>
      <c r="D21" s="272">
        <f>SUM(D8+D17+D20)</f>
        <v>0</v>
      </c>
      <c r="E21" s="272">
        <f t="shared" ref="E21:BP21" si="8">SUM(E8+E17+E20)</f>
        <v>0</v>
      </c>
      <c r="F21" s="272">
        <f t="shared" si="8"/>
        <v>0</v>
      </c>
      <c r="G21" s="272">
        <f t="shared" si="8"/>
        <v>0</v>
      </c>
      <c r="H21" s="272">
        <f t="shared" si="8"/>
        <v>0</v>
      </c>
      <c r="I21" s="272">
        <f t="shared" si="8"/>
        <v>0</v>
      </c>
      <c r="J21" s="272">
        <f t="shared" si="8"/>
        <v>0</v>
      </c>
      <c r="K21" s="272">
        <f t="shared" si="8"/>
        <v>0</v>
      </c>
      <c r="L21" s="272">
        <f t="shared" si="8"/>
        <v>0</v>
      </c>
      <c r="M21" s="272">
        <f t="shared" si="8"/>
        <v>0</v>
      </c>
      <c r="N21" s="272">
        <f t="shared" si="8"/>
        <v>0</v>
      </c>
      <c r="O21" s="272">
        <f t="shared" si="8"/>
        <v>0</v>
      </c>
      <c r="P21" s="272">
        <f t="shared" si="8"/>
        <v>0</v>
      </c>
      <c r="Q21" s="272">
        <f t="shared" si="8"/>
        <v>0</v>
      </c>
      <c r="R21" s="272">
        <f t="shared" si="8"/>
        <v>0</v>
      </c>
      <c r="S21" s="272">
        <f t="shared" si="8"/>
        <v>0</v>
      </c>
      <c r="T21" s="272">
        <f t="shared" si="8"/>
        <v>0</v>
      </c>
      <c r="U21" s="272">
        <f t="shared" si="8"/>
        <v>0</v>
      </c>
      <c r="V21" s="272">
        <f t="shared" si="8"/>
        <v>0</v>
      </c>
      <c r="W21" s="272">
        <f t="shared" si="8"/>
        <v>0</v>
      </c>
      <c r="X21" s="272">
        <f t="shared" si="8"/>
        <v>0</v>
      </c>
      <c r="Y21" s="272">
        <f t="shared" si="8"/>
        <v>0</v>
      </c>
      <c r="Z21" s="272">
        <f t="shared" si="8"/>
        <v>0</v>
      </c>
      <c r="AA21" s="272">
        <f t="shared" si="8"/>
        <v>0</v>
      </c>
      <c r="AB21" s="272">
        <f t="shared" si="8"/>
        <v>0</v>
      </c>
      <c r="AC21" s="272">
        <f t="shared" si="8"/>
        <v>0</v>
      </c>
      <c r="AD21" s="272">
        <f t="shared" si="8"/>
        <v>0</v>
      </c>
      <c r="AE21" s="272">
        <f t="shared" si="8"/>
        <v>0</v>
      </c>
      <c r="AF21" s="272">
        <f t="shared" si="8"/>
        <v>0</v>
      </c>
      <c r="AG21" s="272">
        <f t="shared" si="8"/>
        <v>0</v>
      </c>
      <c r="AH21" s="272">
        <f t="shared" si="8"/>
        <v>0</v>
      </c>
      <c r="AI21" s="272">
        <f t="shared" si="8"/>
        <v>0</v>
      </c>
      <c r="AJ21" s="272">
        <f t="shared" si="8"/>
        <v>0</v>
      </c>
      <c r="AK21" s="272">
        <f t="shared" si="8"/>
        <v>0</v>
      </c>
      <c r="AL21" s="272">
        <f t="shared" si="8"/>
        <v>0</v>
      </c>
      <c r="AM21" s="272">
        <f t="shared" si="8"/>
        <v>0</v>
      </c>
      <c r="AN21" s="272">
        <f t="shared" si="8"/>
        <v>0</v>
      </c>
      <c r="AO21" s="272">
        <f t="shared" si="8"/>
        <v>0</v>
      </c>
      <c r="AP21" s="272">
        <f t="shared" si="8"/>
        <v>0</v>
      </c>
      <c r="AQ21" s="272">
        <f t="shared" si="8"/>
        <v>0</v>
      </c>
      <c r="AR21" s="272">
        <f t="shared" si="8"/>
        <v>0</v>
      </c>
      <c r="AS21" s="272">
        <f t="shared" si="8"/>
        <v>0</v>
      </c>
      <c r="AT21" s="272">
        <f t="shared" si="8"/>
        <v>0</v>
      </c>
      <c r="AU21" s="272">
        <f t="shared" si="8"/>
        <v>0</v>
      </c>
      <c r="AV21" s="272">
        <f t="shared" si="8"/>
        <v>0</v>
      </c>
      <c r="AW21" s="272">
        <f t="shared" si="8"/>
        <v>0</v>
      </c>
      <c r="AX21" s="272">
        <f t="shared" si="8"/>
        <v>0</v>
      </c>
      <c r="AY21" s="272">
        <f t="shared" si="8"/>
        <v>0</v>
      </c>
      <c r="AZ21" s="272">
        <f t="shared" si="8"/>
        <v>0</v>
      </c>
      <c r="BA21" s="272">
        <f t="shared" si="8"/>
        <v>0</v>
      </c>
      <c r="BB21" s="272">
        <f t="shared" si="8"/>
        <v>0</v>
      </c>
      <c r="BC21" s="272">
        <f t="shared" si="8"/>
        <v>0</v>
      </c>
      <c r="BD21" s="272">
        <f t="shared" si="8"/>
        <v>0</v>
      </c>
      <c r="BE21" s="272">
        <f t="shared" si="8"/>
        <v>0</v>
      </c>
      <c r="BF21" s="272">
        <f t="shared" si="8"/>
        <v>0</v>
      </c>
      <c r="BG21" s="272">
        <f t="shared" si="8"/>
        <v>0</v>
      </c>
      <c r="BH21" s="272">
        <f t="shared" si="8"/>
        <v>0</v>
      </c>
      <c r="BI21" s="272">
        <f t="shared" si="8"/>
        <v>0</v>
      </c>
      <c r="BJ21" s="272">
        <f t="shared" si="8"/>
        <v>0</v>
      </c>
      <c r="BK21" s="272">
        <f t="shared" si="8"/>
        <v>0</v>
      </c>
      <c r="BL21" s="272">
        <f t="shared" si="8"/>
        <v>0</v>
      </c>
      <c r="BM21" s="272">
        <f t="shared" si="8"/>
        <v>0</v>
      </c>
      <c r="BN21" s="272">
        <f t="shared" si="8"/>
        <v>0</v>
      </c>
      <c r="BO21" s="272">
        <f t="shared" si="8"/>
        <v>0</v>
      </c>
      <c r="BP21" s="272">
        <f t="shared" si="8"/>
        <v>0</v>
      </c>
      <c r="BQ21" s="272">
        <f t="shared" ref="BQ21:DS21" si="9">SUM(BQ8+BQ17+BQ20)</f>
        <v>0</v>
      </c>
      <c r="BR21" s="272">
        <f t="shared" si="9"/>
        <v>0</v>
      </c>
      <c r="BS21" s="272">
        <f t="shared" si="9"/>
        <v>0</v>
      </c>
      <c r="BT21" s="272">
        <f t="shared" si="9"/>
        <v>0</v>
      </c>
      <c r="BU21" s="272">
        <f t="shared" si="9"/>
        <v>0</v>
      </c>
      <c r="BV21" s="272">
        <f t="shared" si="9"/>
        <v>0</v>
      </c>
      <c r="BW21" s="272">
        <f t="shared" si="9"/>
        <v>0</v>
      </c>
      <c r="BX21" s="272">
        <f t="shared" si="9"/>
        <v>0</v>
      </c>
      <c r="BY21" s="272">
        <f t="shared" si="9"/>
        <v>0</v>
      </c>
      <c r="BZ21" s="272">
        <f t="shared" si="9"/>
        <v>0</v>
      </c>
      <c r="CA21" s="272">
        <f t="shared" si="9"/>
        <v>0</v>
      </c>
      <c r="CB21" s="272">
        <f t="shared" si="9"/>
        <v>0</v>
      </c>
      <c r="CC21" s="272">
        <f t="shared" si="9"/>
        <v>0</v>
      </c>
      <c r="CD21" s="272">
        <f t="shared" si="9"/>
        <v>0</v>
      </c>
      <c r="CE21" s="272">
        <f t="shared" si="9"/>
        <v>0</v>
      </c>
      <c r="CF21" s="272">
        <f t="shared" si="9"/>
        <v>0</v>
      </c>
      <c r="CG21" s="272">
        <f t="shared" si="9"/>
        <v>0</v>
      </c>
      <c r="CH21" s="272">
        <f t="shared" si="9"/>
        <v>0</v>
      </c>
      <c r="CI21" s="272">
        <f t="shared" si="9"/>
        <v>0</v>
      </c>
      <c r="CJ21" s="272">
        <f t="shared" si="9"/>
        <v>0</v>
      </c>
      <c r="CK21" s="272">
        <f t="shared" si="9"/>
        <v>0</v>
      </c>
      <c r="CL21" s="272">
        <f t="shared" si="9"/>
        <v>0</v>
      </c>
      <c r="CM21" s="272">
        <f t="shared" si="9"/>
        <v>0</v>
      </c>
      <c r="CN21" s="272">
        <f t="shared" si="9"/>
        <v>0</v>
      </c>
      <c r="CO21" s="272">
        <f t="shared" si="9"/>
        <v>0</v>
      </c>
      <c r="CP21" s="272">
        <f t="shared" si="9"/>
        <v>0</v>
      </c>
      <c r="CQ21" s="272">
        <f t="shared" si="9"/>
        <v>0</v>
      </c>
      <c r="CR21" s="272">
        <f t="shared" si="9"/>
        <v>0</v>
      </c>
      <c r="CS21" s="272">
        <f t="shared" si="9"/>
        <v>0</v>
      </c>
      <c r="CT21" s="272">
        <f t="shared" si="9"/>
        <v>0</v>
      </c>
      <c r="CU21" s="272">
        <f t="shared" si="9"/>
        <v>0</v>
      </c>
      <c r="CV21" s="272">
        <f t="shared" si="9"/>
        <v>0</v>
      </c>
      <c r="CW21" s="272">
        <f t="shared" si="9"/>
        <v>0</v>
      </c>
      <c r="CX21" s="272">
        <f t="shared" si="9"/>
        <v>0</v>
      </c>
      <c r="CY21" s="272">
        <f t="shared" si="9"/>
        <v>0</v>
      </c>
      <c r="CZ21" s="272">
        <f t="shared" si="9"/>
        <v>0</v>
      </c>
      <c r="DA21" s="272">
        <f t="shared" si="9"/>
        <v>0</v>
      </c>
      <c r="DB21" s="272">
        <f t="shared" si="9"/>
        <v>0</v>
      </c>
      <c r="DC21" s="272">
        <f t="shared" si="9"/>
        <v>0</v>
      </c>
      <c r="DD21" s="272">
        <f t="shared" si="9"/>
        <v>0</v>
      </c>
      <c r="DE21" s="272">
        <f t="shared" si="9"/>
        <v>0</v>
      </c>
      <c r="DF21" s="272">
        <f t="shared" si="9"/>
        <v>0</v>
      </c>
      <c r="DG21" s="272">
        <f t="shared" si="9"/>
        <v>0</v>
      </c>
      <c r="DH21" s="272">
        <f t="shared" si="9"/>
        <v>0</v>
      </c>
      <c r="DI21" s="272">
        <f t="shared" si="9"/>
        <v>0</v>
      </c>
      <c r="DJ21" s="272">
        <f t="shared" si="9"/>
        <v>0</v>
      </c>
      <c r="DK21" s="272">
        <f t="shared" si="9"/>
        <v>0</v>
      </c>
      <c r="DL21" s="272">
        <f t="shared" si="9"/>
        <v>0</v>
      </c>
      <c r="DM21" s="272">
        <f t="shared" si="9"/>
        <v>0</v>
      </c>
      <c r="DN21" s="272">
        <f t="shared" si="9"/>
        <v>0</v>
      </c>
      <c r="DO21" s="272">
        <f t="shared" si="9"/>
        <v>0</v>
      </c>
      <c r="DP21" s="272">
        <f t="shared" si="9"/>
        <v>0</v>
      </c>
      <c r="DQ21" s="272">
        <f t="shared" si="9"/>
        <v>0</v>
      </c>
      <c r="DR21" s="272">
        <f t="shared" si="9"/>
        <v>0</v>
      </c>
      <c r="DS21" s="272">
        <f t="shared" si="9"/>
        <v>0</v>
      </c>
    </row>
    <row r="22" spans="1:123">
      <c r="A22" s="275" t="s">
        <v>60</v>
      </c>
      <c r="B22" s="230"/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0"/>
      <c r="W22" s="230"/>
      <c r="X22" s="230"/>
      <c r="Y22" s="230"/>
      <c r="Z22" s="230"/>
      <c r="AA22" s="230"/>
      <c r="AB22" s="230"/>
      <c r="AC22" s="230"/>
      <c r="AD22" s="230"/>
      <c r="AE22" s="230"/>
      <c r="AF22" s="230"/>
      <c r="AG22" s="230"/>
      <c r="AH22" s="230"/>
      <c r="AI22" s="230"/>
      <c r="AJ22" s="230"/>
      <c r="AK22" s="230"/>
      <c r="AL22" s="230"/>
      <c r="AM22" s="230"/>
      <c r="AN22" s="230"/>
      <c r="AO22" s="230"/>
      <c r="AP22" s="230"/>
      <c r="AQ22" s="230"/>
      <c r="AR22" s="230"/>
      <c r="AS22" s="230"/>
      <c r="AT22" s="230"/>
      <c r="AU22" s="230"/>
      <c r="AV22" s="230"/>
      <c r="AW22" s="230"/>
      <c r="AX22" s="230"/>
      <c r="AY22" s="230"/>
      <c r="AZ22" s="230"/>
      <c r="BA22" s="230"/>
      <c r="BB22" s="230"/>
      <c r="BC22" s="230"/>
      <c r="BD22" s="230"/>
      <c r="BE22" s="230"/>
      <c r="BF22" s="230"/>
      <c r="BG22" s="230"/>
      <c r="BH22" s="230"/>
      <c r="BI22" s="230"/>
      <c r="BJ22" s="230"/>
      <c r="BK22" s="230"/>
      <c r="BL22" s="230"/>
      <c r="BM22" s="230"/>
      <c r="BN22" s="230"/>
      <c r="BO22" s="230"/>
      <c r="BP22" s="230"/>
      <c r="BQ22" s="230"/>
      <c r="BR22" s="230"/>
      <c r="BS22" s="230"/>
      <c r="BT22" s="230"/>
      <c r="BU22" s="230"/>
      <c r="BV22" s="230"/>
      <c r="BW22" s="230"/>
      <c r="BX22" s="230"/>
      <c r="BY22" s="230"/>
      <c r="BZ22" s="230"/>
      <c r="CA22" s="230"/>
      <c r="CB22" s="230"/>
      <c r="CC22" s="230"/>
      <c r="CD22" s="230"/>
      <c r="CE22" s="230"/>
      <c r="CF22" s="230"/>
      <c r="CG22" s="230"/>
      <c r="CH22" s="230"/>
      <c r="CI22" s="230"/>
      <c r="CJ22" s="230"/>
      <c r="CK22" s="230"/>
      <c r="CL22" s="230"/>
      <c r="CM22" s="230"/>
      <c r="CN22" s="230"/>
      <c r="CO22" s="230"/>
      <c r="CP22" s="230"/>
      <c r="CQ22" s="230"/>
      <c r="CR22" s="230"/>
      <c r="CS22" s="230"/>
      <c r="CT22" s="230"/>
      <c r="CU22" s="230"/>
      <c r="CV22" s="230"/>
      <c r="CW22" s="230"/>
      <c r="CX22" s="230"/>
      <c r="CY22" s="230"/>
      <c r="CZ22" s="230"/>
      <c r="DA22" s="230"/>
      <c r="DB22" s="230"/>
      <c r="DC22" s="230"/>
      <c r="DD22" s="230"/>
      <c r="DE22" s="230"/>
      <c r="DF22" s="230"/>
      <c r="DG22" s="230"/>
      <c r="DH22" s="230"/>
      <c r="DI22" s="230"/>
      <c r="DJ22" s="230"/>
      <c r="DK22" s="230"/>
      <c r="DL22" s="230"/>
      <c r="DM22" s="230"/>
      <c r="DN22" s="230"/>
      <c r="DO22" s="230"/>
      <c r="DP22" s="230"/>
      <c r="DQ22" s="230"/>
      <c r="DR22" s="230"/>
      <c r="DS22" s="230"/>
    </row>
  </sheetData>
  <mergeCells count="14">
    <mergeCell ref="A3:A4"/>
    <mergeCell ref="B3:B4"/>
    <mergeCell ref="C3:C4"/>
    <mergeCell ref="CV2:DG2"/>
    <mergeCell ref="DH2:DS2"/>
    <mergeCell ref="A1:C1"/>
    <mergeCell ref="D2:O2"/>
    <mergeCell ref="BL2:BW2"/>
    <mergeCell ref="BX2:CI2"/>
    <mergeCell ref="CJ2:CU2"/>
    <mergeCell ref="P2:AA2"/>
    <mergeCell ref="AB2:AM2"/>
    <mergeCell ref="AN2:AY2"/>
    <mergeCell ref="AZ2:BK2"/>
  </mergeCells>
  <hyperlinks>
    <hyperlink ref="A22" r:id="rId1" xr:uid="{2B5F203D-6DCC-47E7-9143-2FC70BE25C4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EF38"/>
  <sheetViews>
    <sheetView topLeftCell="A4" zoomScale="53" zoomScaleNormal="53" workbookViewId="0">
      <pane xSplit="4" ySplit="4" topLeftCell="CM8" activePane="bottomRight" state="frozen"/>
      <selection activeCell="G25" sqref="G25"/>
      <selection pane="topRight" activeCell="A4" sqref="A4"/>
      <selection pane="bottomLeft" activeCell="A4" sqref="A4"/>
      <selection pane="bottomRight" activeCell="CP47" sqref="CP47"/>
    </sheetView>
  </sheetViews>
  <sheetFormatPr baseColWidth="10" defaultColWidth="8.83203125" defaultRowHeight="15"/>
  <cols>
    <col min="2" max="2" width="22.5" customWidth="1"/>
    <col min="4" max="4" width="14.5" customWidth="1"/>
    <col min="5" max="5" width="16.5" customWidth="1"/>
    <col min="6" max="6" width="20.33203125" customWidth="1"/>
    <col min="7" max="7" width="13.1640625" customWidth="1"/>
    <col min="8" max="8" width="11.6640625" customWidth="1"/>
    <col min="9" max="9" width="11.33203125" customWidth="1"/>
    <col min="10" max="11" width="11.5" customWidth="1"/>
    <col min="12" max="12" width="12.6640625" customWidth="1"/>
    <col min="13" max="13" width="13.1640625" customWidth="1"/>
    <col min="14" max="14" width="10.5" customWidth="1"/>
    <col min="15" max="15" width="11.83203125" customWidth="1"/>
    <col min="16" max="16" width="12.33203125" customWidth="1"/>
    <col min="17" max="17" width="14.83203125" customWidth="1"/>
    <col min="18" max="18" width="12.6640625" customWidth="1"/>
    <col min="19" max="19" width="12.33203125" customWidth="1"/>
    <col min="20" max="20" width="13.1640625" customWidth="1"/>
    <col min="21" max="21" width="11.6640625" customWidth="1"/>
    <col min="22" max="22" width="14.5" customWidth="1"/>
    <col min="23" max="124" width="15.83203125" customWidth="1"/>
    <col min="126" max="126" width="15.1640625" customWidth="1"/>
    <col min="127" max="127" width="14.6640625" customWidth="1"/>
    <col min="128" max="128" width="21.5" customWidth="1"/>
    <col min="129" max="129" width="15.83203125" customWidth="1"/>
    <col min="130" max="130" width="15.1640625" customWidth="1"/>
    <col min="131" max="131" width="14.33203125" customWidth="1"/>
    <col min="132" max="132" width="13.33203125" customWidth="1"/>
    <col min="133" max="133" width="14.5" customWidth="1"/>
    <col min="134" max="134" width="14.1640625" customWidth="1"/>
    <col min="135" max="135" width="12.83203125" customWidth="1"/>
    <col min="136" max="136" width="22.6640625" customWidth="1"/>
  </cols>
  <sheetData>
    <row r="2" spans="2:135">
      <c r="B2" s="358" t="s">
        <v>63</v>
      </c>
      <c r="C2" s="358"/>
      <c r="D2" s="358"/>
      <c r="E2" s="358"/>
    </row>
    <row r="4" spans="2:135" ht="16" thickBot="1">
      <c r="B4" s="358" t="s">
        <v>63</v>
      </c>
      <c r="C4" s="358"/>
      <c r="D4" s="358"/>
    </row>
    <row r="5" spans="2:135" ht="15.5" customHeight="1">
      <c r="E5" s="333" t="s">
        <v>23</v>
      </c>
      <c r="F5" s="334"/>
      <c r="G5" s="334"/>
      <c r="H5" s="334"/>
      <c r="I5" s="334"/>
      <c r="J5" s="334"/>
      <c r="K5" s="334"/>
      <c r="L5" s="334"/>
      <c r="M5" s="334"/>
      <c r="N5" s="334"/>
      <c r="O5" s="334"/>
      <c r="P5" s="336"/>
      <c r="Q5" s="333" t="s">
        <v>24</v>
      </c>
      <c r="R5" s="334"/>
      <c r="S5" s="334"/>
      <c r="T5" s="334"/>
      <c r="U5" s="334"/>
      <c r="V5" s="334"/>
      <c r="W5" s="334"/>
      <c r="X5" s="334"/>
      <c r="Y5" s="334"/>
      <c r="Z5" s="334"/>
      <c r="AA5" s="334"/>
      <c r="AB5" s="336"/>
      <c r="AC5" s="333" t="s">
        <v>25</v>
      </c>
      <c r="AD5" s="334"/>
      <c r="AE5" s="334"/>
      <c r="AF5" s="334"/>
      <c r="AG5" s="334"/>
      <c r="AH5" s="334"/>
      <c r="AI5" s="334"/>
      <c r="AJ5" s="334"/>
      <c r="AK5" s="334"/>
      <c r="AL5" s="334"/>
      <c r="AM5" s="334"/>
      <c r="AN5" s="335"/>
      <c r="AO5" s="333" t="s">
        <v>346</v>
      </c>
      <c r="AP5" s="334"/>
      <c r="AQ5" s="334"/>
      <c r="AR5" s="334"/>
      <c r="AS5" s="334"/>
      <c r="AT5" s="334"/>
      <c r="AU5" s="334"/>
      <c r="AV5" s="334"/>
      <c r="AW5" s="334"/>
      <c r="AX5" s="334"/>
      <c r="AY5" s="334"/>
      <c r="AZ5" s="336"/>
      <c r="BA5" s="333" t="s">
        <v>347</v>
      </c>
      <c r="BB5" s="334"/>
      <c r="BC5" s="334"/>
      <c r="BD5" s="334"/>
      <c r="BE5" s="334"/>
      <c r="BF5" s="334"/>
      <c r="BG5" s="334"/>
      <c r="BH5" s="334"/>
      <c r="BI5" s="334"/>
      <c r="BJ5" s="334"/>
      <c r="BK5" s="334"/>
      <c r="BL5" s="336"/>
      <c r="BM5" s="333" t="s">
        <v>348</v>
      </c>
      <c r="BN5" s="334"/>
      <c r="BO5" s="334"/>
      <c r="BP5" s="334"/>
      <c r="BQ5" s="334"/>
      <c r="BR5" s="334"/>
      <c r="BS5" s="334"/>
      <c r="BT5" s="334"/>
      <c r="BU5" s="334"/>
      <c r="BV5" s="334"/>
      <c r="BW5" s="334"/>
      <c r="BX5" s="335"/>
      <c r="BY5" s="333" t="s">
        <v>349</v>
      </c>
      <c r="BZ5" s="334"/>
      <c r="CA5" s="334"/>
      <c r="CB5" s="334"/>
      <c r="CC5" s="334"/>
      <c r="CD5" s="334"/>
      <c r="CE5" s="334"/>
      <c r="CF5" s="334"/>
      <c r="CG5" s="334"/>
      <c r="CH5" s="334"/>
      <c r="CI5" s="334"/>
      <c r="CJ5" s="336"/>
      <c r="CK5" s="333" t="s">
        <v>350</v>
      </c>
      <c r="CL5" s="334"/>
      <c r="CM5" s="334"/>
      <c r="CN5" s="334"/>
      <c r="CO5" s="334"/>
      <c r="CP5" s="334"/>
      <c r="CQ5" s="334"/>
      <c r="CR5" s="334"/>
      <c r="CS5" s="334"/>
      <c r="CT5" s="334"/>
      <c r="CU5" s="334"/>
      <c r="CV5" s="336"/>
      <c r="CW5" s="333" t="s">
        <v>351</v>
      </c>
      <c r="CX5" s="334"/>
      <c r="CY5" s="334"/>
      <c r="CZ5" s="334"/>
      <c r="DA5" s="334"/>
      <c r="DB5" s="334"/>
      <c r="DC5" s="334"/>
      <c r="DD5" s="334"/>
      <c r="DE5" s="334"/>
      <c r="DF5" s="334"/>
      <c r="DG5" s="334"/>
      <c r="DH5" s="335"/>
      <c r="DI5" s="333" t="s">
        <v>352</v>
      </c>
      <c r="DJ5" s="334"/>
      <c r="DK5" s="334"/>
      <c r="DL5" s="334"/>
      <c r="DM5" s="334"/>
      <c r="DN5" s="334"/>
      <c r="DO5" s="334"/>
      <c r="DP5" s="334"/>
      <c r="DQ5" s="334"/>
      <c r="DR5" s="334"/>
      <c r="DS5" s="334"/>
      <c r="DT5" s="336"/>
    </row>
    <row r="6" spans="2:135" ht="14.75" customHeight="1">
      <c r="B6" s="366" t="s">
        <v>58</v>
      </c>
      <c r="C6" s="345" t="s">
        <v>54</v>
      </c>
      <c r="D6" s="367" t="s">
        <v>27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  <c r="O6" s="19">
        <v>11</v>
      </c>
      <c r="P6" s="19">
        <v>12</v>
      </c>
      <c r="Q6" s="19">
        <v>1</v>
      </c>
      <c r="R6" s="19">
        <v>2</v>
      </c>
      <c r="S6" s="19">
        <v>3</v>
      </c>
      <c r="T6" s="19">
        <v>4</v>
      </c>
      <c r="U6" s="19">
        <v>5</v>
      </c>
      <c r="V6" s="19">
        <v>6</v>
      </c>
      <c r="W6" s="19">
        <v>7</v>
      </c>
      <c r="X6" s="19">
        <v>8</v>
      </c>
      <c r="Y6" s="19">
        <v>9</v>
      </c>
      <c r="Z6" s="19">
        <v>10</v>
      </c>
      <c r="AA6" s="19">
        <v>11</v>
      </c>
      <c r="AB6" s="19">
        <v>12</v>
      </c>
      <c r="AC6" s="19">
        <v>1</v>
      </c>
      <c r="AD6" s="19">
        <v>2</v>
      </c>
      <c r="AE6" s="19">
        <v>3</v>
      </c>
      <c r="AF6" s="19">
        <v>4</v>
      </c>
      <c r="AG6" s="19">
        <v>5</v>
      </c>
      <c r="AH6" s="19">
        <v>6</v>
      </c>
      <c r="AI6" s="19">
        <v>7</v>
      </c>
      <c r="AJ6" s="19">
        <v>8</v>
      </c>
      <c r="AK6" s="19">
        <v>9</v>
      </c>
      <c r="AL6" s="19">
        <v>10</v>
      </c>
      <c r="AM6" s="19">
        <v>11</v>
      </c>
      <c r="AN6" s="20">
        <v>12</v>
      </c>
      <c r="AO6" s="19">
        <v>1</v>
      </c>
      <c r="AP6" s="19">
        <v>2</v>
      </c>
      <c r="AQ6" s="19">
        <v>3</v>
      </c>
      <c r="AR6" s="19">
        <v>4</v>
      </c>
      <c r="AS6" s="19">
        <v>5</v>
      </c>
      <c r="AT6" s="19">
        <v>6</v>
      </c>
      <c r="AU6" s="19">
        <v>7</v>
      </c>
      <c r="AV6" s="19">
        <v>8</v>
      </c>
      <c r="AW6" s="19">
        <v>9</v>
      </c>
      <c r="AX6" s="19">
        <v>10</v>
      </c>
      <c r="AY6" s="19">
        <v>11</v>
      </c>
      <c r="AZ6" s="19">
        <v>12</v>
      </c>
      <c r="BA6" s="19">
        <v>1</v>
      </c>
      <c r="BB6" s="19">
        <v>2</v>
      </c>
      <c r="BC6" s="19">
        <v>3</v>
      </c>
      <c r="BD6" s="19">
        <v>4</v>
      </c>
      <c r="BE6" s="19">
        <v>5</v>
      </c>
      <c r="BF6" s="19">
        <v>6</v>
      </c>
      <c r="BG6" s="19">
        <v>7</v>
      </c>
      <c r="BH6" s="19">
        <v>8</v>
      </c>
      <c r="BI6" s="19">
        <v>9</v>
      </c>
      <c r="BJ6" s="19">
        <v>10</v>
      </c>
      <c r="BK6" s="19">
        <v>11</v>
      </c>
      <c r="BL6" s="19">
        <v>12</v>
      </c>
      <c r="BM6" s="19">
        <v>1</v>
      </c>
      <c r="BN6" s="19">
        <v>2</v>
      </c>
      <c r="BO6" s="19">
        <v>3</v>
      </c>
      <c r="BP6" s="19">
        <v>4</v>
      </c>
      <c r="BQ6" s="19">
        <v>5</v>
      </c>
      <c r="BR6" s="19">
        <v>6</v>
      </c>
      <c r="BS6" s="19">
        <v>7</v>
      </c>
      <c r="BT6" s="19">
        <v>8</v>
      </c>
      <c r="BU6" s="19">
        <v>9</v>
      </c>
      <c r="BV6" s="19">
        <v>10</v>
      </c>
      <c r="BW6" s="19">
        <v>11</v>
      </c>
      <c r="BX6" s="20">
        <v>12</v>
      </c>
      <c r="BY6" s="19">
        <v>1</v>
      </c>
      <c r="BZ6" s="19">
        <v>2</v>
      </c>
      <c r="CA6" s="19">
        <v>3</v>
      </c>
      <c r="CB6" s="19">
        <v>4</v>
      </c>
      <c r="CC6" s="19">
        <v>5</v>
      </c>
      <c r="CD6" s="19">
        <v>6</v>
      </c>
      <c r="CE6" s="19">
        <v>7</v>
      </c>
      <c r="CF6" s="19">
        <v>8</v>
      </c>
      <c r="CG6" s="19">
        <v>9</v>
      </c>
      <c r="CH6" s="19">
        <v>10</v>
      </c>
      <c r="CI6" s="19">
        <v>11</v>
      </c>
      <c r="CJ6" s="19">
        <v>12</v>
      </c>
      <c r="CK6" s="19">
        <v>1</v>
      </c>
      <c r="CL6" s="19">
        <v>2</v>
      </c>
      <c r="CM6" s="19">
        <v>3</v>
      </c>
      <c r="CN6" s="19">
        <v>4</v>
      </c>
      <c r="CO6" s="19">
        <v>5</v>
      </c>
      <c r="CP6" s="19">
        <v>6</v>
      </c>
      <c r="CQ6" s="19">
        <v>7</v>
      </c>
      <c r="CR6" s="19">
        <v>8</v>
      </c>
      <c r="CS6" s="19">
        <v>9</v>
      </c>
      <c r="CT6" s="19">
        <v>10</v>
      </c>
      <c r="CU6" s="19">
        <v>11</v>
      </c>
      <c r="CV6" s="19">
        <v>12</v>
      </c>
      <c r="CW6" s="19">
        <v>1</v>
      </c>
      <c r="CX6" s="19">
        <v>2</v>
      </c>
      <c r="CY6" s="19">
        <v>3</v>
      </c>
      <c r="CZ6" s="19">
        <v>4</v>
      </c>
      <c r="DA6" s="19">
        <v>5</v>
      </c>
      <c r="DB6" s="19">
        <v>6</v>
      </c>
      <c r="DC6" s="19">
        <v>7</v>
      </c>
      <c r="DD6" s="19">
        <v>8</v>
      </c>
      <c r="DE6" s="19">
        <v>9</v>
      </c>
      <c r="DF6" s="19">
        <v>10</v>
      </c>
      <c r="DG6" s="19">
        <v>11</v>
      </c>
      <c r="DH6" s="20">
        <v>12</v>
      </c>
      <c r="DI6" s="19">
        <v>1</v>
      </c>
      <c r="DJ6" s="19">
        <v>2</v>
      </c>
      <c r="DK6" s="19">
        <v>3</v>
      </c>
      <c r="DL6" s="19">
        <v>4</v>
      </c>
      <c r="DM6" s="19">
        <v>5</v>
      </c>
      <c r="DN6" s="19">
        <v>6</v>
      </c>
      <c r="DO6" s="19">
        <v>7</v>
      </c>
      <c r="DP6" s="19">
        <v>8</v>
      </c>
      <c r="DQ6" s="19">
        <v>9</v>
      </c>
      <c r="DR6" s="19">
        <v>10</v>
      </c>
      <c r="DS6" s="19">
        <v>11</v>
      </c>
      <c r="DT6" s="19">
        <v>12</v>
      </c>
      <c r="DV6" s="365" t="s">
        <v>64</v>
      </c>
      <c r="DW6" s="365" t="s">
        <v>65</v>
      </c>
      <c r="DX6" s="365" t="s">
        <v>66</v>
      </c>
      <c r="DY6" s="365" t="s">
        <v>356</v>
      </c>
      <c r="DZ6" s="365" t="s">
        <v>357</v>
      </c>
      <c r="EA6" s="365" t="s">
        <v>358</v>
      </c>
      <c r="EB6" s="365" t="s">
        <v>359</v>
      </c>
      <c r="EC6" s="365" t="s">
        <v>360</v>
      </c>
      <c r="ED6" s="365" t="s">
        <v>361</v>
      </c>
      <c r="EE6" s="365" t="s">
        <v>362</v>
      </c>
    </row>
    <row r="7" spans="2:135">
      <c r="B7" s="366"/>
      <c r="C7" s="345"/>
      <c r="D7" s="367"/>
      <c r="E7" s="86">
        <v>1</v>
      </c>
      <c r="F7" s="86">
        <v>2</v>
      </c>
      <c r="G7" s="86">
        <v>3</v>
      </c>
      <c r="H7" s="86">
        <v>4</v>
      </c>
      <c r="I7" s="86">
        <v>5</v>
      </c>
      <c r="J7" s="86">
        <v>6</v>
      </c>
      <c r="K7" s="86">
        <v>7</v>
      </c>
      <c r="L7" s="86">
        <v>8</v>
      </c>
      <c r="M7" s="86">
        <v>9</v>
      </c>
      <c r="N7" s="86">
        <v>10</v>
      </c>
      <c r="O7" s="86">
        <v>11</v>
      </c>
      <c r="P7" s="86">
        <v>12</v>
      </c>
      <c r="Q7" s="86">
        <v>13</v>
      </c>
      <c r="R7" s="86">
        <v>14</v>
      </c>
      <c r="S7" s="86">
        <v>15</v>
      </c>
      <c r="T7" s="86">
        <v>16</v>
      </c>
      <c r="U7" s="86">
        <v>17</v>
      </c>
      <c r="V7" s="86">
        <v>18</v>
      </c>
      <c r="W7" s="86">
        <v>19</v>
      </c>
      <c r="X7" s="86">
        <v>20</v>
      </c>
      <c r="Y7" s="86">
        <v>21</v>
      </c>
      <c r="Z7" s="86">
        <v>22</v>
      </c>
      <c r="AA7" s="86">
        <v>23</v>
      </c>
      <c r="AB7" s="86">
        <v>24</v>
      </c>
      <c r="AC7" s="86">
        <v>25</v>
      </c>
      <c r="AD7" s="86">
        <v>26</v>
      </c>
      <c r="AE7" s="86">
        <v>27</v>
      </c>
      <c r="AF7" s="86">
        <v>28</v>
      </c>
      <c r="AG7" s="86">
        <v>29</v>
      </c>
      <c r="AH7" s="86">
        <v>30</v>
      </c>
      <c r="AI7" s="86">
        <v>31</v>
      </c>
      <c r="AJ7" s="86">
        <v>32</v>
      </c>
      <c r="AK7" s="86">
        <v>33</v>
      </c>
      <c r="AL7" s="86">
        <v>34</v>
      </c>
      <c r="AM7" s="86">
        <v>35</v>
      </c>
      <c r="AN7" s="86">
        <v>36</v>
      </c>
      <c r="AO7" s="86">
        <v>1</v>
      </c>
      <c r="AP7" s="86">
        <v>2</v>
      </c>
      <c r="AQ7" s="86">
        <v>3</v>
      </c>
      <c r="AR7" s="86">
        <v>4</v>
      </c>
      <c r="AS7" s="86">
        <v>5</v>
      </c>
      <c r="AT7" s="86">
        <v>6</v>
      </c>
      <c r="AU7" s="86">
        <v>7</v>
      </c>
      <c r="AV7" s="86">
        <v>8</v>
      </c>
      <c r="AW7" s="86">
        <v>9</v>
      </c>
      <c r="AX7" s="86">
        <v>10</v>
      </c>
      <c r="AY7" s="86">
        <v>11</v>
      </c>
      <c r="AZ7" s="86">
        <v>12</v>
      </c>
      <c r="BA7" s="86">
        <v>13</v>
      </c>
      <c r="BB7" s="86">
        <v>14</v>
      </c>
      <c r="BC7" s="86">
        <v>15</v>
      </c>
      <c r="BD7" s="86">
        <v>16</v>
      </c>
      <c r="BE7" s="86">
        <v>17</v>
      </c>
      <c r="BF7" s="86">
        <v>18</v>
      </c>
      <c r="BG7" s="86">
        <v>19</v>
      </c>
      <c r="BH7" s="86">
        <v>20</v>
      </c>
      <c r="BI7" s="86">
        <v>21</v>
      </c>
      <c r="BJ7" s="86">
        <v>22</v>
      </c>
      <c r="BK7" s="86">
        <v>23</v>
      </c>
      <c r="BL7" s="86">
        <v>24</v>
      </c>
      <c r="BM7" s="86">
        <v>25</v>
      </c>
      <c r="BN7" s="86">
        <v>26</v>
      </c>
      <c r="BO7" s="86">
        <v>27</v>
      </c>
      <c r="BP7" s="86">
        <v>28</v>
      </c>
      <c r="BQ7" s="86">
        <v>29</v>
      </c>
      <c r="BR7" s="86">
        <v>30</v>
      </c>
      <c r="BS7" s="86">
        <v>31</v>
      </c>
      <c r="BT7" s="86">
        <v>32</v>
      </c>
      <c r="BU7" s="86">
        <v>33</v>
      </c>
      <c r="BV7" s="86">
        <v>34</v>
      </c>
      <c r="BW7" s="86">
        <v>35</v>
      </c>
      <c r="BX7" s="86">
        <v>36</v>
      </c>
      <c r="BY7" s="86">
        <v>1</v>
      </c>
      <c r="BZ7" s="86">
        <v>2</v>
      </c>
      <c r="CA7" s="86">
        <v>3</v>
      </c>
      <c r="CB7" s="86">
        <v>4</v>
      </c>
      <c r="CC7" s="86">
        <v>5</v>
      </c>
      <c r="CD7" s="86">
        <v>6</v>
      </c>
      <c r="CE7" s="86">
        <v>7</v>
      </c>
      <c r="CF7" s="86">
        <v>8</v>
      </c>
      <c r="CG7" s="86">
        <v>9</v>
      </c>
      <c r="CH7" s="86">
        <v>10</v>
      </c>
      <c r="CI7" s="86">
        <v>11</v>
      </c>
      <c r="CJ7" s="86">
        <v>12</v>
      </c>
      <c r="CK7" s="86">
        <v>13</v>
      </c>
      <c r="CL7" s="86">
        <v>14</v>
      </c>
      <c r="CM7" s="86">
        <v>15</v>
      </c>
      <c r="CN7" s="86">
        <v>16</v>
      </c>
      <c r="CO7" s="86">
        <v>17</v>
      </c>
      <c r="CP7" s="86">
        <v>18</v>
      </c>
      <c r="CQ7" s="86">
        <v>19</v>
      </c>
      <c r="CR7" s="86">
        <v>20</v>
      </c>
      <c r="CS7" s="86">
        <v>21</v>
      </c>
      <c r="CT7" s="86">
        <v>22</v>
      </c>
      <c r="CU7" s="86">
        <v>23</v>
      </c>
      <c r="CV7" s="86">
        <v>24</v>
      </c>
      <c r="CW7" s="86">
        <v>25</v>
      </c>
      <c r="CX7" s="86">
        <v>26</v>
      </c>
      <c r="CY7" s="86">
        <v>27</v>
      </c>
      <c r="CZ7" s="86">
        <v>28</v>
      </c>
      <c r="DA7" s="86">
        <v>29</v>
      </c>
      <c r="DB7" s="86">
        <v>30</v>
      </c>
      <c r="DC7" s="86">
        <v>31</v>
      </c>
      <c r="DD7" s="86">
        <v>32</v>
      </c>
      <c r="DE7" s="86">
        <v>33</v>
      </c>
      <c r="DF7" s="86">
        <v>34</v>
      </c>
      <c r="DG7" s="86">
        <v>35</v>
      </c>
      <c r="DH7" s="86">
        <v>36</v>
      </c>
      <c r="DI7" s="86">
        <v>1</v>
      </c>
      <c r="DJ7" s="86">
        <v>2</v>
      </c>
      <c r="DK7" s="86">
        <v>3</v>
      </c>
      <c r="DL7" s="86">
        <v>4</v>
      </c>
      <c r="DM7" s="86">
        <v>5</v>
      </c>
      <c r="DN7" s="86">
        <v>6</v>
      </c>
      <c r="DO7" s="86">
        <v>7</v>
      </c>
      <c r="DP7" s="86">
        <v>8</v>
      </c>
      <c r="DQ7" s="86">
        <v>9</v>
      </c>
      <c r="DR7" s="86">
        <v>10</v>
      </c>
      <c r="DS7" s="86">
        <v>11</v>
      </c>
      <c r="DT7" s="86">
        <v>12</v>
      </c>
      <c r="DV7" s="365"/>
      <c r="DW7" s="365"/>
      <c r="DX7" s="365"/>
      <c r="DY7" s="365"/>
      <c r="DZ7" s="365"/>
      <c r="EA7" s="365"/>
      <c r="EB7" s="365"/>
      <c r="EC7" s="365"/>
      <c r="ED7" s="365"/>
      <c r="EE7" s="365"/>
    </row>
    <row r="8" spans="2:135">
      <c r="B8" s="89" t="s">
        <v>67</v>
      </c>
      <c r="C8" s="89"/>
      <c r="D8" s="89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5"/>
      <c r="BQ8" s="95"/>
      <c r="BR8" s="95"/>
      <c r="BS8" s="95"/>
      <c r="BT8" s="95"/>
      <c r="BU8" s="95"/>
      <c r="BV8" s="95"/>
      <c r="BW8" s="95"/>
      <c r="BX8" s="95"/>
      <c r="BY8" s="95"/>
      <c r="BZ8" s="95"/>
      <c r="CA8" s="95"/>
      <c r="CB8" s="95"/>
      <c r="CC8" s="95"/>
      <c r="CD8" s="95"/>
      <c r="CE8" s="95"/>
      <c r="CF8" s="95"/>
      <c r="CG8" s="95"/>
      <c r="CH8" s="95"/>
      <c r="CI8" s="95"/>
      <c r="CJ8" s="95"/>
      <c r="CK8" s="95"/>
      <c r="CL8" s="95"/>
      <c r="CM8" s="95"/>
      <c r="CN8" s="95"/>
      <c r="CO8" s="95"/>
      <c r="CP8" s="95"/>
      <c r="CQ8" s="95"/>
      <c r="CR8" s="95"/>
      <c r="CS8" s="95"/>
      <c r="CT8" s="95"/>
      <c r="CU8" s="95"/>
      <c r="CV8" s="95"/>
      <c r="CW8" s="95"/>
      <c r="CX8" s="95"/>
      <c r="CY8" s="95"/>
      <c r="CZ8" s="95"/>
      <c r="DA8" s="95"/>
      <c r="DB8" s="95"/>
      <c r="DC8" s="95"/>
      <c r="DD8" s="95"/>
      <c r="DE8" s="95"/>
      <c r="DF8" s="95"/>
      <c r="DG8" s="95"/>
      <c r="DH8" s="95"/>
      <c r="DI8" s="95"/>
      <c r="DJ8" s="95"/>
      <c r="DK8" s="95"/>
      <c r="DL8" s="95"/>
      <c r="DM8" s="95"/>
      <c r="DN8" s="95"/>
      <c r="DO8" s="95"/>
      <c r="DP8" s="95"/>
      <c r="DQ8" s="95"/>
      <c r="DR8" s="95"/>
      <c r="DS8" s="95"/>
      <c r="DT8" s="95"/>
      <c r="DV8" s="90">
        <f>SUM(E8:P8)</f>
        <v>0</v>
      </c>
      <c r="DW8" s="90">
        <f t="shared" ref="DW8:EE14" si="0">SUM(F8:Q8)</f>
        <v>0</v>
      </c>
      <c r="DX8" s="90">
        <f t="shared" si="0"/>
        <v>0</v>
      </c>
      <c r="DY8" s="90">
        <f t="shared" si="0"/>
        <v>0</v>
      </c>
      <c r="DZ8" s="90">
        <f t="shared" si="0"/>
        <v>0</v>
      </c>
      <c r="EA8" s="90">
        <f t="shared" si="0"/>
        <v>0</v>
      </c>
      <c r="EB8" s="90">
        <f t="shared" si="0"/>
        <v>0</v>
      </c>
      <c r="EC8" s="90">
        <f t="shared" si="0"/>
        <v>0</v>
      </c>
      <c r="ED8" s="90">
        <f t="shared" si="0"/>
        <v>0</v>
      </c>
      <c r="EE8" s="90">
        <f t="shared" si="0"/>
        <v>0</v>
      </c>
    </row>
    <row r="9" spans="2:135">
      <c r="B9" s="89" t="s">
        <v>437</v>
      </c>
      <c r="C9" s="89"/>
      <c r="D9" s="89"/>
      <c r="E9" s="95">
        <v>0</v>
      </c>
      <c r="F9" s="95">
        <v>0</v>
      </c>
      <c r="G9" s="95">
        <v>0</v>
      </c>
      <c r="H9" s="95">
        <v>0</v>
      </c>
      <c r="I9" s="95">
        <v>0</v>
      </c>
      <c r="J9" s="95">
        <v>0</v>
      </c>
      <c r="K9" s="95">
        <v>0</v>
      </c>
      <c r="L9" s="95">
        <v>0</v>
      </c>
      <c r="M9" s="95">
        <v>0</v>
      </c>
      <c r="N9" s="95">
        <v>0</v>
      </c>
      <c r="O9" s="95">
        <v>0</v>
      </c>
      <c r="P9" s="95">
        <v>0</v>
      </c>
      <c r="Q9" s="95">
        <f>Q20+'Экономический эффект'!Q15+50000000+Q15+Q16</f>
        <v>1138907667.1871402</v>
      </c>
      <c r="R9" s="95">
        <f>R20+'Экономический эффект'!R15+50000000+R15+R16</f>
        <v>1142697800.5400155</v>
      </c>
      <c r="S9" s="95">
        <f>S20+'Экономический эффект'!S15+50000000+S15+S16</f>
        <v>1146556810.3701036</v>
      </c>
      <c r="T9" s="95">
        <f>T20+'Экономический эффект'!T15+50000000+T15+T16</f>
        <v>1150486050.2027478</v>
      </c>
      <c r="U9" s="95">
        <f>U20+'Экономический эффект'!U15+50000000+U15+U16</f>
        <v>1154486901.3650362</v>
      </c>
      <c r="V9" s="95">
        <f>V20+'Экономический эффект'!V15+50000000+V15+V16</f>
        <v>1158560773.5699925</v>
      </c>
      <c r="W9" s="95">
        <f>W20+'Экономический эффект'!W15+50000000+W15+W16</f>
        <v>1162709105.5131831</v>
      </c>
      <c r="X9" s="95">
        <f>X20+'Экономический эффект'!X15+50000000+X15+X16</f>
        <v>1166933365.4819977</v>
      </c>
      <c r="Y9" s="95">
        <f>Y20+'Экономический эффект'!Y15+50000000+Y15+Y16</f>
        <v>1171235051.9778821</v>
      </c>
      <c r="Z9" s="95">
        <f>Z20+'Экономический эффект'!Z15+50000000+Z15+Z16</f>
        <v>1175615694.351794</v>
      </c>
      <c r="AA9" s="95">
        <f>AA20+'Экономический эффект'!AA15+50000000+AA15+AA16</f>
        <v>1180076853.4531679</v>
      </c>
      <c r="AB9" s="95">
        <f>AB20+'Экономический эффект'!AB15+50000000+AB15+AB16</f>
        <v>1184620122.2926772</v>
      </c>
      <c r="AC9" s="95">
        <f>AC20+'Экономический эффект'!AC15+50000000+AC15+AC16</f>
        <v>1189257126.7190847</v>
      </c>
      <c r="AD9" s="95">
        <f>AD20+'Экономический эффект'!AD15+50000000+AD15+AD16</f>
        <v>1193969526.1104891</v>
      </c>
      <c r="AE9" s="95">
        <f>AE20+'Экономический эффект'!AE15+50000000+AE15+AE16</f>
        <v>1198769014.0802696</v>
      </c>
      <c r="AF9" s="95">
        <f>AF20+'Экономический эффект'!AF15+50000000+AF15+AF16</f>
        <v>1203657319.1980429</v>
      </c>
      <c r="AG9" s="95">
        <f>AG20+'Экономический эффект'!AG15+50000000+AG15+AG16</f>
        <v>1208636205.7259593</v>
      </c>
      <c r="AH9" s="95">
        <f>AH20+'Экономический эффект'!AH15+50000000+AH15+AH16</f>
        <v>1213707474.3706567</v>
      </c>
      <c r="AI9" s="95">
        <f>AI20+'Экономический эффект'!AI15+50000000+AI15+AI16</f>
        <v>1218872963.0512159</v>
      </c>
      <c r="AJ9" s="95">
        <f>AJ20+'Экономический эффект'!AJ15+50000000+AJ15+AJ16</f>
        <v>1224134547.6834517</v>
      </c>
      <c r="AK9" s="95">
        <f>AK20+'Экономический эффект'!AK15+50000000+AK15+AK16</f>
        <v>1229494142.9808967</v>
      </c>
      <c r="AL9" s="95">
        <f>AL20+'Экономический эффект'!AL15+50000000+AL15+AL16</f>
        <v>1234953703.272825</v>
      </c>
      <c r="AM9" s="95">
        <f>AM20+'Экономический эффект'!AM15+50000000+AM15+AM16</f>
        <v>1240515223.3396912</v>
      </c>
      <c r="AN9" s="95">
        <f>AN20+'Экономический эффект'!AN15+50000000+AN15+AN16</f>
        <v>1246180739.2663457</v>
      </c>
      <c r="AO9" s="95">
        <f>AO20+'Экономический эффект'!AO15+50000000+AO15+AO16</f>
        <v>1251962329.3134174</v>
      </c>
      <c r="AP9" s="95">
        <f>AP20+'Экономический эффект'!AP15+50000000+AP15+AP16</f>
        <v>1257842114.8072412</v>
      </c>
      <c r="AQ9" s="95">
        <f>AQ20+'Экономический эффект'!AQ15+50000000+AQ15+AQ16</f>
        <v>1263832261.0487368</v>
      </c>
      <c r="AR9" s="95">
        <f>AR20+'Экономический эффект'!AR15+50000000+AR15+AR16</f>
        <v>1269934978.241636</v>
      </c>
      <c r="AS9" s="95">
        <f>AS20+'Экономический эффект'!AS15+50000000+AS15+AS16</f>
        <v>1276152522.4404781</v>
      </c>
      <c r="AT9" s="95">
        <f>AT20+'Экономический эффект'!AT15+50000000+AT15+AT16</f>
        <v>1282487196.5187922</v>
      </c>
      <c r="AU9" s="95">
        <f>AU20+'Экономический эффект'!AU15+50000000+AU15+AU16</f>
        <v>1288941351.1579003</v>
      </c>
      <c r="AV9" s="95">
        <f>AV20+'Экономический эффект'!AV15+50000000+AV15+AV16</f>
        <v>1295517385.8567805</v>
      </c>
      <c r="AW9" s="95">
        <f>AW20+'Экономический эффект'!AW15+50000000+AW15+AW16</f>
        <v>1302217749.9634418</v>
      </c>
      <c r="AX9" s="95">
        <f>AX20+'Экономический эффект'!AX15+50000000+AX15+AX16</f>
        <v>1309044943.7282722</v>
      </c>
      <c r="AY9" s="95">
        <f>AY20+'Экономический эффект'!AY15+50000000+AY15+AY16</f>
        <v>1316001519.3798242</v>
      </c>
      <c r="AZ9" s="95">
        <f>AZ20+'Экономический эффект'!AZ15+50000000+AZ15+AZ16</f>
        <v>1323090082.2235241</v>
      </c>
      <c r="BA9" s="95">
        <f>BA20+'Экономический эффект'!BA15+50000000+BA15+BA16</f>
        <v>1330323291.7637949</v>
      </c>
      <c r="BB9" s="95">
        <f>BB20+'Экономический эффект'!BB15+50000000+BB15+BB16</f>
        <v>1337683862.8500857</v>
      </c>
      <c r="BC9" s="95">
        <f>BC20+'Экономический эффект'!BC15+50000000+BC15+BC16</f>
        <v>1345184566.8473306</v>
      </c>
      <c r="BD9" s="95">
        <f>BD20+'Экономический эффект'!BD15+50000000+BD15+BD16</f>
        <v>1352828232.8313494</v>
      </c>
      <c r="BE9" s="95">
        <f>BE20+'Экономический эффект'!BE15+50000000+BE15+BE16</f>
        <v>1360617748.809732</v>
      </c>
      <c r="BF9" s="95">
        <f>BF20+'Экономический эффект'!BF15+50000000+BF15+BF16</f>
        <v>1368556062.9687443</v>
      </c>
      <c r="BG9" s="95">
        <f>BG20+'Экономический эффект'!BG15+50000000+BG15+BG16</f>
        <v>1376646184.9468186</v>
      </c>
      <c r="BH9" s="95">
        <f>BH20+'Экономический эффект'!BH15+50000000+BH15+BH16</f>
        <v>1384891187.1351914</v>
      </c>
      <c r="BI9" s="95">
        <f>BI20+'Экономический эффект'!BI15+50000000+BI15+BI16</f>
        <v>1393294206.0062761</v>
      </c>
      <c r="BJ9" s="95">
        <f>BJ20+'Экономический эффект'!BJ15+50000000+BJ15+BJ16</f>
        <v>1401858443.4703565</v>
      </c>
      <c r="BK9" s="95">
        <f>BK20+'Экономический эффект'!BK15+50000000+BK15+BK16</f>
        <v>1410587168.2612128</v>
      </c>
      <c r="BL9" s="95">
        <f>BL20+'Экономический эффект'!BL15+50000000+BL15+BL16</f>
        <v>1419483717.3512988</v>
      </c>
      <c r="BM9" s="95">
        <f>BM20+'Экономический эффект'!BM15+50000000+BM15+BM16</f>
        <v>1428561497.3970969</v>
      </c>
      <c r="BN9" s="95">
        <f>BN20+'Экономический эффект'!BN15+50000000+BN15+BN16</f>
        <v>1437803986.2153049</v>
      </c>
      <c r="BO9" s="95">
        <f>BO20+'Экономический эффект'!BO15+50000000+BO15+BO16</f>
        <v>1447224734.2905078</v>
      </c>
      <c r="BP9" s="95">
        <f>BP20+'Экономический эффект'!BP15+50000000+BP15+BP16</f>
        <v>1456827366.3150115</v>
      </c>
      <c r="BQ9" s="95">
        <f>BQ20+'Экономический эффект'!BQ15+50000000+BQ15+BQ16</f>
        <v>1466615582.7615275</v>
      </c>
      <c r="BR9" s="95">
        <f>BR20+'Экономический эффект'!BR15+50000000+BR15+BR16</f>
        <v>1476593161.4894075</v>
      </c>
      <c r="BS9" s="95">
        <f>BS20+'Экономический эффект'!BS15+50000000+BS15+BS16</f>
        <v>1486763959.3851497</v>
      </c>
      <c r="BT9" s="95">
        <f>BT20+'Экономический эффект'!BT15+50000000+BT15+BT16</f>
        <v>1497131914.0379109</v>
      </c>
      <c r="BU9" s="95">
        <f>BU20+'Экономический эффект'!BU15+50000000+BU15+BU16</f>
        <v>1507701045.4507694</v>
      </c>
      <c r="BV9" s="95">
        <f>BV20+'Экономический эффект'!BV15+50000000+BV15+BV16</f>
        <v>1518475457.7885079</v>
      </c>
      <c r="BW9" s="95">
        <f>BW20+'Экономический эффект'!BW15+50000000+BW15+BW16</f>
        <v>1529459341.1626968</v>
      </c>
      <c r="BX9" s="95">
        <f>BX20+'Экономический эффект'!BX15+50000000+BX15+BX16</f>
        <v>1540656973.4548745</v>
      </c>
      <c r="BY9" s="95">
        <f>BY20+'Экономический эффект'!BY15+50000000+BY15+BY16</f>
        <v>1552082722.1786447</v>
      </c>
      <c r="BZ9" s="95">
        <f>BZ20+'Экономический эффект'!BZ15+50000000+BZ15+BZ16</f>
        <v>1563721046.3815169</v>
      </c>
      <c r="CA9" s="95">
        <f>CA20+'Экономический эффект'!CA15+50000000+CA15+CA16</f>
        <v>1575586498.5873489</v>
      </c>
      <c r="CB9" s="95">
        <f>CB20+'Экономический эффект'!CB15+50000000+CB15+CB16</f>
        <v>1587683726.7802546</v>
      </c>
      <c r="CC9" s="95">
        <f>CC20+'Экономический эффект'!CC15+50000000+CC15+CC16</f>
        <v>1600017476.4308667</v>
      </c>
      <c r="CD9" s="95">
        <f>CD20+'Экономический эффект'!CD15+50000000+CD15+CD16</f>
        <v>1612592592.5658598</v>
      </c>
      <c r="CE9" s="95">
        <f>CE20+'Экономический эффект'!CE15+50000000+CE15+CE16</f>
        <v>1625414021.8816652</v>
      </c>
      <c r="CF9" s="95">
        <f>CF20+'Экономический эффект'!CF15+50000000+CF15+CF16</f>
        <v>1638486814.9033151</v>
      </c>
      <c r="CG9" s="95">
        <f>CG20+'Экономический эффект'!CG15+50000000+CG15+CG16</f>
        <v>1651816128.1893899</v>
      </c>
      <c r="CH9" s="95">
        <f>CH20+'Экономический эффект'!CH15+50000000+CH15+CH16</f>
        <v>1665407226.5840509</v>
      </c>
      <c r="CI9" s="95">
        <f>CI20+'Экономический эффект'!CI15+50000000+CI15+CI16</f>
        <v>1679265485.5171714</v>
      </c>
      <c r="CJ9" s="95">
        <f>CJ20+'Экономический эффект'!CJ15+50000000+CJ15+CJ16</f>
        <v>1693396393.3535881</v>
      </c>
      <c r="CK9" s="95">
        <f>CK20+'Экономический эффект'!CK15+50000000+CK15+CK16</f>
        <v>1707815553.7925367</v>
      </c>
      <c r="CL9" s="95">
        <f>CL20+'Экономический эффект'!CL15+50000000+CL15+CL16</f>
        <v>1722508688.3183322</v>
      </c>
      <c r="CM9" s="95">
        <f>CM20+'Экономический эффект'!CM15+50000000+CM15+CM16</f>
        <v>1737491638.7034018</v>
      </c>
      <c r="CN9" s="95">
        <f>CN20+'Экономический эффект'!CN15+50000000+CN15+CN16</f>
        <v>1752770369.5647893</v>
      </c>
      <c r="CO9" s="95">
        <f>CO20+'Экономический эффект'!CO15+50000000+CO15+CO16</f>
        <v>1768350970.9752712</v>
      </c>
      <c r="CP9" s="95">
        <f>CP20+'Экономический эффект'!CP15+50000000+CP15+CP16</f>
        <v>1784239661.1302609</v>
      </c>
      <c r="CQ9" s="95">
        <f>CQ20+'Экономический эффект'!CQ15+50000000+CQ15+CQ16</f>
        <v>1800442789.0716901</v>
      </c>
      <c r="CR9" s="95">
        <f>CR20+'Экономический эффект'!CR15+50000000+CR15+CR16</f>
        <v>1816966837.4700899</v>
      </c>
      <c r="CS9" s="95">
        <f>CS20+'Экономический эффект'!CS15+50000000+CS15+CS16</f>
        <v>1833818425.4661222</v>
      </c>
      <c r="CT9" s="95">
        <f>CT20+'Экономический эффект'!CT15+50000000+CT15+CT16</f>
        <v>1851004311.572825</v>
      </c>
      <c r="CU9" s="95">
        <f>CU20+'Экономический эффект'!CU15+50000000+CU15+CU16</f>
        <v>1868531396.6398792</v>
      </c>
      <c r="CV9" s="95">
        <f>CV20+'Экономический эффект'!CV15+50000000+CV15+CV16</f>
        <v>1886406726.8812275</v>
      </c>
      <c r="CW9" s="95">
        <f>CW20+'Экономический эффект'!CW15+50000000+CW15+CW16</f>
        <v>1904647496.9673944</v>
      </c>
      <c r="CX9" s="95">
        <f>CX20+'Экономический эффект'!CX15+50000000+CX15+CX16</f>
        <v>1923241053.1838961</v>
      </c>
      <c r="CY9" s="95">
        <f>CY20+'Экономический эффект'!CY15+50000000+CY15+CY16</f>
        <v>1942204896.6571631</v>
      </c>
      <c r="CZ9" s="95">
        <f>CZ20+'Экономический эффект'!CZ15+50000000+CZ15+CZ16</f>
        <v>1961546686.6494079</v>
      </c>
      <c r="DA9" s="95">
        <f>DA20+'Экономический эффект'!DA15+50000000+DA15+DA16</f>
        <v>1981274243.9239292</v>
      </c>
      <c r="DB9" s="95">
        <f>DB20+'Экономический эффект'!DB15+50000000+DB15+DB16</f>
        <v>2001395554.1823506</v>
      </c>
      <c r="DC9" s="95">
        <f>DC20+'Экономический эффект'!DC15+50000000+DC15+DC16</f>
        <v>2021918771.5753388</v>
      </c>
      <c r="DD9" s="95">
        <f>DD20+'Экономический эффект'!DD15+50000000+DD15+DD16</f>
        <v>2042852222.2883768</v>
      </c>
      <c r="DE9" s="95">
        <f>DE20+'Экономический эффект'!DE15+50000000+DE15+DE16</f>
        <v>2064204408.2041979</v>
      </c>
      <c r="DF9" s="95">
        <f>DF20+'Экономический эффект'!DF15+50000000+DF15+DF16</f>
        <v>2085984010.6435237</v>
      </c>
      <c r="DG9" s="95">
        <f>DG20+'Экономический эффект'!DG15+50000000+DG15+DG16</f>
        <v>2108199894.185782</v>
      </c>
      <c r="DH9" s="95">
        <f>DH20+'Экономический эффект'!DH15+50000000+DH15+DH16</f>
        <v>2130861110.5715189</v>
      </c>
      <c r="DI9" s="95">
        <f>DI20+'Экономический эффект'!DI15+50000000+DI15+DI16</f>
        <v>2153986902.6882606</v>
      </c>
      <c r="DJ9" s="95">
        <f>DJ20+'Экономический эффект'!DJ15+50000000+DJ15+DJ16</f>
        <v>2177566708.6415997</v>
      </c>
      <c r="DK9" s="95">
        <f>DK20+'Экономический эффект'!DK15+50000000+DK15+DK16</f>
        <v>2201620165.9133492</v>
      </c>
      <c r="DL9" s="95">
        <f>DL20+'Экономический эффект'!DL15+50000000+DL15+DL16</f>
        <v>2226157115.6086121</v>
      </c>
      <c r="DM9" s="95">
        <f>DM20+'Экономический эффект'!DM15+50000000+DM15+DM16</f>
        <v>2251187606.7936869</v>
      </c>
      <c r="DN9" s="95">
        <f>DN20+'Экономический эффект'!DN15+50000000+DN15+DN16</f>
        <v>2276721900.9267449</v>
      </c>
      <c r="DO9" s="95">
        <f>DO20+'Экономический эффект'!DO15+50000000+DO15+DO16</f>
        <v>2302770476.3832722</v>
      </c>
      <c r="DP9" s="95">
        <f>DP20+'Экономический эффект'!DP15+50000000+DP15+DP16</f>
        <v>2329344033.0783029</v>
      </c>
      <c r="DQ9" s="95">
        <f>DQ20+'Экономический эффект'!DQ15+50000000+DQ15+DQ16</f>
        <v>2356453497.1875257</v>
      </c>
      <c r="DR9" s="95">
        <f>DR20+'Экономический эффект'!DR15+50000000+DR15+DR16</f>
        <v>2384110025.9693689</v>
      </c>
      <c r="DS9" s="95">
        <f>DS20+'Экономический эффект'!DS15+50000000+DS15+DS16</f>
        <v>2412325012.6902437</v>
      </c>
      <c r="DT9" s="95">
        <f>DT20+'Экономический эффект'!DT15+50000000+DT15+DT16</f>
        <v>2441110091.6551414</v>
      </c>
      <c r="DV9" s="92">
        <v>-2</v>
      </c>
      <c r="DW9" s="92">
        <f t="shared" ref="DW9" si="1">SUM(F9:Q9)</f>
        <v>1138907667.1871402</v>
      </c>
      <c r="DX9" s="92">
        <f t="shared" ref="DX9" si="2">SUM(G9:R9)</f>
        <v>2281605467.7271557</v>
      </c>
      <c r="DY9" s="92">
        <f t="shared" ref="DY9" si="3">SUM(H9:S9)</f>
        <v>3428162278.0972595</v>
      </c>
      <c r="DZ9" s="92">
        <f t="shared" ref="DZ9" si="4">SUM(I9:T9)</f>
        <v>4578648328.3000069</v>
      </c>
      <c r="EA9" s="92">
        <f t="shared" ref="EA9" si="5">SUM(J9:U9)</f>
        <v>5733135229.6650429</v>
      </c>
      <c r="EB9" s="92">
        <f t="shared" ref="EB9" si="6">SUM(K9:V9)</f>
        <v>6891696003.2350349</v>
      </c>
      <c r="EC9" s="92">
        <f t="shared" ref="EC9" si="7">SUM(L9:W9)</f>
        <v>8054405108.7482185</v>
      </c>
      <c r="ED9" s="92">
        <f t="shared" ref="ED9" si="8">SUM(M9:X9)</f>
        <v>9221338474.230217</v>
      </c>
      <c r="EE9" s="92">
        <f t="shared" ref="EE9" si="9">SUM(N9:Y9)</f>
        <v>10392573526.208099</v>
      </c>
    </row>
    <row r="10" spans="2:135">
      <c r="B10" s="8" t="s">
        <v>400</v>
      </c>
      <c r="C10" s="5" t="s">
        <v>35</v>
      </c>
      <c r="D10" s="91">
        <f>SUM(E10:DT10)</f>
        <v>7000006.4799999855</v>
      </c>
      <c r="E10" s="80">
        <v>0</v>
      </c>
      <c r="F10" s="80">
        <v>0</v>
      </c>
      <c r="G10" s="80">
        <v>0</v>
      </c>
      <c r="H10" s="80">
        <v>0</v>
      </c>
      <c r="I10" s="80">
        <v>0</v>
      </c>
      <c r="J10" s="80">
        <v>0</v>
      </c>
      <c r="K10" s="80">
        <v>0</v>
      </c>
      <c r="L10" s="80">
        <v>0</v>
      </c>
      <c r="M10" s="80">
        <v>0</v>
      </c>
      <c r="N10" s="80">
        <v>0</v>
      </c>
      <c r="O10" s="80">
        <v>0</v>
      </c>
      <c r="P10" s="80">
        <v>7</v>
      </c>
      <c r="Q10" s="80">
        <v>64814.81</v>
      </c>
      <c r="R10" s="80">
        <v>64814.81</v>
      </c>
      <c r="S10" s="80">
        <v>64814.81</v>
      </c>
      <c r="T10" s="80">
        <v>64814.81</v>
      </c>
      <c r="U10" s="80">
        <v>64814.81</v>
      </c>
      <c r="V10" s="80">
        <v>64814.81</v>
      </c>
      <c r="W10" s="80">
        <v>64814.81</v>
      </c>
      <c r="X10" s="80">
        <v>64814.81</v>
      </c>
      <c r="Y10" s="80">
        <v>64814.81</v>
      </c>
      <c r="Z10" s="80">
        <v>64814.81</v>
      </c>
      <c r="AA10" s="80">
        <v>64814.81</v>
      </c>
      <c r="AB10" s="80">
        <v>64814.81</v>
      </c>
      <c r="AC10" s="80">
        <v>64814.81</v>
      </c>
      <c r="AD10" s="80">
        <v>64814.81</v>
      </c>
      <c r="AE10" s="80">
        <v>64814.81</v>
      </c>
      <c r="AF10" s="80">
        <v>64814.81</v>
      </c>
      <c r="AG10" s="80">
        <v>64814.81</v>
      </c>
      <c r="AH10" s="80">
        <v>64814.81</v>
      </c>
      <c r="AI10" s="80">
        <v>64814.81</v>
      </c>
      <c r="AJ10" s="80">
        <v>64814.81</v>
      </c>
      <c r="AK10" s="80">
        <v>64814.81</v>
      </c>
      <c r="AL10" s="80">
        <v>64814.81</v>
      </c>
      <c r="AM10" s="80">
        <v>64814.81</v>
      </c>
      <c r="AN10" s="80">
        <v>64814.81</v>
      </c>
      <c r="AO10" s="80">
        <v>64814.81</v>
      </c>
      <c r="AP10" s="80">
        <v>64814.81</v>
      </c>
      <c r="AQ10" s="80">
        <v>64814.81</v>
      </c>
      <c r="AR10" s="80">
        <v>64814.81</v>
      </c>
      <c r="AS10" s="80">
        <v>64814.81</v>
      </c>
      <c r="AT10" s="80">
        <v>64814.81</v>
      </c>
      <c r="AU10" s="80">
        <v>64814.81</v>
      </c>
      <c r="AV10" s="80">
        <v>64814.81</v>
      </c>
      <c r="AW10" s="80">
        <v>64814.81</v>
      </c>
      <c r="AX10" s="80">
        <v>64814.81</v>
      </c>
      <c r="AY10" s="80">
        <v>64814.81</v>
      </c>
      <c r="AZ10" s="80">
        <v>64814.81</v>
      </c>
      <c r="BA10" s="80">
        <v>64814.81</v>
      </c>
      <c r="BB10" s="80">
        <v>64814.81</v>
      </c>
      <c r="BC10" s="80">
        <v>64814.81</v>
      </c>
      <c r="BD10" s="80">
        <v>64814.81</v>
      </c>
      <c r="BE10" s="80">
        <v>64814.81</v>
      </c>
      <c r="BF10" s="80">
        <v>64814.81</v>
      </c>
      <c r="BG10" s="80">
        <v>64814.81</v>
      </c>
      <c r="BH10" s="80">
        <v>64814.81</v>
      </c>
      <c r="BI10" s="80">
        <v>64814.81</v>
      </c>
      <c r="BJ10" s="80">
        <v>64814.81</v>
      </c>
      <c r="BK10" s="80">
        <v>64814.81</v>
      </c>
      <c r="BL10" s="80">
        <v>64814.81</v>
      </c>
      <c r="BM10" s="80">
        <v>64814.81</v>
      </c>
      <c r="BN10" s="80">
        <v>64814.81</v>
      </c>
      <c r="BO10" s="80">
        <v>64814.81</v>
      </c>
      <c r="BP10" s="80">
        <v>64814.81</v>
      </c>
      <c r="BQ10" s="80">
        <v>64814.81</v>
      </c>
      <c r="BR10" s="80">
        <v>64814.81</v>
      </c>
      <c r="BS10" s="80">
        <v>64814.81</v>
      </c>
      <c r="BT10" s="80">
        <v>64814.81</v>
      </c>
      <c r="BU10" s="80">
        <v>64814.81</v>
      </c>
      <c r="BV10" s="80">
        <v>64814.81</v>
      </c>
      <c r="BW10" s="80">
        <v>64814.81</v>
      </c>
      <c r="BX10" s="80">
        <v>64814.81</v>
      </c>
      <c r="BY10" s="80">
        <v>64814.81</v>
      </c>
      <c r="BZ10" s="80">
        <v>64814.81</v>
      </c>
      <c r="CA10" s="80">
        <v>64814.81</v>
      </c>
      <c r="CB10" s="80">
        <v>64814.81</v>
      </c>
      <c r="CC10" s="80">
        <v>64814.81</v>
      </c>
      <c r="CD10" s="80">
        <v>64814.81</v>
      </c>
      <c r="CE10" s="80">
        <v>64814.81</v>
      </c>
      <c r="CF10" s="80">
        <v>64814.81</v>
      </c>
      <c r="CG10" s="80">
        <v>64814.81</v>
      </c>
      <c r="CH10" s="80">
        <v>64814.81</v>
      </c>
      <c r="CI10" s="80">
        <v>64814.81</v>
      </c>
      <c r="CJ10" s="80">
        <v>64814.81</v>
      </c>
      <c r="CK10" s="80">
        <v>64814.81</v>
      </c>
      <c r="CL10" s="80">
        <v>64814.81</v>
      </c>
      <c r="CM10" s="80">
        <v>64814.81</v>
      </c>
      <c r="CN10" s="80">
        <v>64814.81</v>
      </c>
      <c r="CO10" s="80">
        <v>64814.81</v>
      </c>
      <c r="CP10" s="80">
        <v>64814.81</v>
      </c>
      <c r="CQ10" s="80">
        <v>64814.81</v>
      </c>
      <c r="CR10" s="80">
        <v>64814.81</v>
      </c>
      <c r="CS10" s="80">
        <v>64814.81</v>
      </c>
      <c r="CT10" s="80">
        <v>64814.81</v>
      </c>
      <c r="CU10" s="80">
        <v>64814.81</v>
      </c>
      <c r="CV10" s="80">
        <v>64814.81</v>
      </c>
      <c r="CW10" s="80">
        <v>64814.81</v>
      </c>
      <c r="CX10" s="80">
        <v>64814.81</v>
      </c>
      <c r="CY10" s="80">
        <v>64814.81</v>
      </c>
      <c r="CZ10" s="80">
        <v>64814.81</v>
      </c>
      <c r="DA10" s="80">
        <v>64814.81</v>
      </c>
      <c r="DB10" s="80">
        <v>64814.81</v>
      </c>
      <c r="DC10" s="80">
        <v>64814.81</v>
      </c>
      <c r="DD10" s="80">
        <v>64814.81</v>
      </c>
      <c r="DE10" s="80">
        <v>64814.81</v>
      </c>
      <c r="DF10" s="80">
        <v>64814.81</v>
      </c>
      <c r="DG10" s="80">
        <v>64814.81</v>
      </c>
      <c r="DH10" s="80">
        <v>64814.81</v>
      </c>
      <c r="DI10" s="80">
        <v>64814.81</v>
      </c>
      <c r="DJ10" s="80">
        <v>64814.81</v>
      </c>
      <c r="DK10" s="80">
        <v>64814.81</v>
      </c>
      <c r="DL10" s="80">
        <v>64814.81</v>
      </c>
      <c r="DM10" s="80">
        <v>64814.81</v>
      </c>
      <c r="DN10" s="80">
        <v>64814.81</v>
      </c>
      <c r="DO10" s="80">
        <v>64814.81</v>
      </c>
      <c r="DP10" s="80">
        <v>64814.81</v>
      </c>
      <c r="DQ10" s="80">
        <v>64814.81</v>
      </c>
      <c r="DR10" s="80">
        <v>64814.81</v>
      </c>
      <c r="DS10" s="80">
        <v>64814.81</v>
      </c>
      <c r="DT10" s="80">
        <v>64814.81</v>
      </c>
      <c r="DV10" s="92">
        <v>0</v>
      </c>
      <c r="DW10" s="92">
        <f t="shared" si="0"/>
        <v>64821.81</v>
      </c>
      <c r="DX10" s="92">
        <f t="shared" si="0"/>
        <v>129636.62</v>
      </c>
      <c r="DY10" s="92">
        <f t="shared" si="0"/>
        <v>194451.43</v>
      </c>
      <c r="DZ10" s="92">
        <f t="shared" si="0"/>
        <v>259266.24</v>
      </c>
      <c r="EA10" s="92">
        <f t="shared" si="0"/>
        <v>324081.05</v>
      </c>
      <c r="EB10" s="92">
        <f t="shared" si="0"/>
        <v>388895.86</v>
      </c>
      <c r="EC10" s="92">
        <f t="shared" si="0"/>
        <v>453710.67</v>
      </c>
      <c r="ED10" s="92">
        <f t="shared" si="0"/>
        <v>518525.48</v>
      </c>
      <c r="EE10" s="92">
        <f t="shared" si="0"/>
        <v>583340.29</v>
      </c>
    </row>
    <row r="11" spans="2:135" ht="30">
      <c r="B11" s="8" t="s">
        <v>401</v>
      </c>
      <c r="C11" s="5" t="s">
        <v>35</v>
      </c>
      <c r="D11" s="91">
        <f t="shared" ref="D11:D18" si="10">SUM(E11:DT11)</f>
        <v>3000000.2399999951</v>
      </c>
      <c r="E11" s="80">
        <v>0</v>
      </c>
      <c r="F11" s="80">
        <v>0</v>
      </c>
      <c r="G11" s="80">
        <v>0</v>
      </c>
      <c r="H11" s="80">
        <v>0</v>
      </c>
      <c r="I11" s="80">
        <v>0</v>
      </c>
      <c r="J11" s="80">
        <v>0</v>
      </c>
      <c r="K11" s="80">
        <v>0</v>
      </c>
      <c r="L11" s="80">
        <v>0</v>
      </c>
      <c r="M11" s="80">
        <v>0</v>
      </c>
      <c r="N11" s="80">
        <v>0</v>
      </c>
      <c r="O11" s="80">
        <v>0</v>
      </c>
      <c r="P11" s="80">
        <v>0</v>
      </c>
      <c r="Q11" s="80">
        <v>27777.78</v>
      </c>
      <c r="R11" s="80">
        <v>27777.78</v>
      </c>
      <c r="S11" s="80">
        <v>27777.78</v>
      </c>
      <c r="T11" s="80">
        <v>27777.78</v>
      </c>
      <c r="U11" s="80">
        <v>27777.78</v>
      </c>
      <c r="V11" s="80">
        <v>27777.78</v>
      </c>
      <c r="W11" s="80">
        <v>27777.78</v>
      </c>
      <c r="X11" s="80">
        <v>27777.78</v>
      </c>
      <c r="Y11" s="80">
        <v>27777.78</v>
      </c>
      <c r="Z11" s="80">
        <v>27777.78</v>
      </c>
      <c r="AA11" s="80">
        <v>27777.78</v>
      </c>
      <c r="AB11" s="80">
        <v>27777.78</v>
      </c>
      <c r="AC11" s="80">
        <v>27777.78</v>
      </c>
      <c r="AD11" s="80">
        <v>27777.78</v>
      </c>
      <c r="AE11" s="80">
        <v>27777.78</v>
      </c>
      <c r="AF11" s="80">
        <v>27777.78</v>
      </c>
      <c r="AG11" s="80">
        <v>27777.78</v>
      </c>
      <c r="AH11" s="80">
        <v>27777.78</v>
      </c>
      <c r="AI11" s="80">
        <v>27777.78</v>
      </c>
      <c r="AJ11" s="80">
        <v>27777.78</v>
      </c>
      <c r="AK11" s="80">
        <v>27777.78</v>
      </c>
      <c r="AL11" s="80">
        <v>27777.78</v>
      </c>
      <c r="AM11" s="80">
        <v>27777.78</v>
      </c>
      <c r="AN11" s="80">
        <v>27777.78</v>
      </c>
      <c r="AO11" s="80">
        <v>27777.78</v>
      </c>
      <c r="AP11" s="80">
        <v>27777.78</v>
      </c>
      <c r="AQ11" s="80">
        <v>27777.78</v>
      </c>
      <c r="AR11" s="80">
        <v>27777.78</v>
      </c>
      <c r="AS11" s="80">
        <v>27777.78</v>
      </c>
      <c r="AT11" s="80">
        <v>27777.78</v>
      </c>
      <c r="AU11" s="80">
        <v>27777.78</v>
      </c>
      <c r="AV11" s="80">
        <v>27777.78</v>
      </c>
      <c r="AW11" s="80">
        <v>27777.78</v>
      </c>
      <c r="AX11" s="80">
        <v>27777.78</v>
      </c>
      <c r="AY11" s="80">
        <v>27777.78</v>
      </c>
      <c r="AZ11" s="80">
        <v>27777.78</v>
      </c>
      <c r="BA11" s="80">
        <v>27777.78</v>
      </c>
      <c r="BB11" s="80">
        <v>27777.78</v>
      </c>
      <c r="BC11" s="80">
        <v>27777.78</v>
      </c>
      <c r="BD11" s="80">
        <v>27777.78</v>
      </c>
      <c r="BE11" s="80">
        <v>27777.78</v>
      </c>
      <c r="BF11" s="80">
        <v>27777.78</v>
      </c>
      <c r="BG11" s="80">
        <v>27777.78</v>
      </c>
      <c r="BH11" s="80">
        <v>27777.78</v>
      </c>
      <c r="BI11" s="80">
        <v>27777.78</v>
      </c>
      <c r="BJ11" s="80">
        <v>27777.78</v>
      </c>
      <c r="BK11" s="80">
        <v>27777.78</v>
      </c>
      <c r="BL11" s="80">
        <v>27777.78</v>
      </c>
      <c r="BM11" s="80">
        <v>27777.78</v>
      </c>
      <c r="BN11" s="80">
        <v>27777.78</v>
      </c>
      <c r="BO11" s="80">
        <v>27777.78</v>
      </c>
      <c r="BP11" s="80">
        <v>27777.78</v>
      </c>
      <c r="BQ11" s="80">
        <v>27777.78</v>
      </c>
      <c r="BR11" s="80">
        <v>27777.78</v>
      </c>
      <c r="BS11" s="80">
        <v>27777.78</v>
      </c>
      <c r="BT11" s="80">
        <v>27777.78</v>
      </c>
      <c r="BU11" s="80">
        <v>27777.78</v>
      </c>
      <c r="BV11" s="80">
        <v>27777.78</v>
      </c>
      <c r="BW11" s="80">
        <v>27777.78</v>
      </c>
      <c r="BX11" s="80">
        <v>27777.78</v>
      </c>
      <c r="BY11" s="80">
        <v>27777.78</v>
      </c>
      <c r="BZ11" s="80">
        <v>27777.78</v>
      </c>
      <c r="CA11" s="80">
        <v>27777.78</v>
      </c>
      <c r="CB11" s="80">
        <v>27777.78</v>
      </c>
      <c r="CC11" s="80">
        <v>27777.78</v>
      </c>
      <c r="CD11" s="80">
        <v>27777.78</v>
      </c>
      <c r="CE11" s="80">
        <v>27777.78</v>
      </c>
      <c r="CF11" s="80">
        <v>27777.78</v>
      </c>
      <c r="CG11" s="80">
        <v>27777.78</v>
      </c>
      <c r="CH11" s="80">
        <v>27777.78</v>
      </c>
      <c r="CI11" s="80">
        <v>27777.78</v>
      </c>
      <c r="CJ11" s="80">
        <v>27777.78</v>
      </c>
      <c r="CK11" s="80">
        <v>27777.78</v>
      </c>
      <c r="CL11" s="80">
        <v>27777.78</v>
      </c>
      <c r="CM11" s="80">
        <v>27777.78</v>
      </c>
      <c r="CN11" s="80">
        <v>27777.78</v>
      </c>
      <c r="CO11" s="80">
        <v>27777.78</v>
      </c>
      <c r="CP11" s="80">
        <v>27777.78</v>
      </c>
      <c r="CQ11" s="80">
        <v>27777.78</v>
      </c>
      <c r="CR11" s="80">
        <v>27777.78</v>
      </c>
      <c r="CS11" s="80">
        <v>27777.78</v>
      </c>
      <c r="CT11" s="80">
        <v>27777.78</v>
      </c>
      <c r="CU11" s="80">
        <v>27777.78</v>
      </c>
      <c r="CV11" s="80">
        <v>27777.78</v>
      </c>
      <c r="CW11" s="80">
        <v>27777.78</v>
      </c>
      <c r="CX11" s="80">
        <v>27777.78</v>
      </c>
      <c r="CY11" s="80">
        <v>27777.78</v>
      </c>
      <c r="CZ11" s="80">
        <v>27777.78</v>
      </c>
      <c r="DA11" s="80">
        <v>27777.78</v>
      </c>
      <c r="DB11" s="80">
        <v>27777.78</v>
      </c>
      <c r="DC11" s="80">
        <v>27777.78</v>
      </c>
      <c r="DD11" s="80">
        <v>27777.78</v>
      </c>
      <c r="DE11" s="80">
        <v>27777.78</v>
      </c>
      <c r="DF11" s="80">
        <v>27777.78</v>
      </c>
      <c r="DG11" s="80">
        <v>27777.78</v>
      </c>
      <c r="DH11" s="80">
        <v>27777.78</v>
      </c>
      <c r="DI11" s="80">
        <v>27777.78</v>
      </c>
      <c r="DJ11" s="80">
        <v>27777.78</v>
      </c>
      <c r="DK11" s="80">
        <v>27777.78</v>
      </c>
      <c r="DL11" s="80">
        <v>27777.78</v>
      </c>
      <c r="DM11" s="80">
        <v>27777.78</v>
      </c>
      <c r="DN11" s="80">
        <v>27777.78</v>
      </c>
      <c r="DO11" s="80">
        <v>27777.78</v>
      </c>
      <c r="DP11" s="80">
        <v>27777.78</v>
      </c>
      <c r="DQ11" s="80">
        <v>27777.78</v>
      </c>
      <c r="DR11" s="80">
        <v>27777.78</v>
      </c>
      <c r="DS11" s="80">
        <v>27777.78</v>
      </c>
      <c r="DT11" s="80">
        <v>27777.78</v>
      </c>
      <c r="DV11" s="92">
        <f>SUM(E11:P11)</f>
        <v>0</v>
      </c>
      <c r="DW11" s="92">
        <f t="shared" si="0"/>
        <v>27777.78</v>
      </c>
      <c r="DX11" s="92">
        <f t="shared" si="0"/>
        <v>55555.56</v>
      </c>
      <c r="DY11" s="92">
        <f t="shared" si="0"/>
        <v>83333.34</v>
      </c>
      <c r="DZ11" s="92">
        <f t="shared" si="0"/>
        <v>111111.12</v>
      </c>
      <c r="EA11" s="92">
        <f t="shared" si="0"/>
        <v>138888.9</v>
      </c>
      <c r="EB11" s="92">
        <f t="shared" si="0"/>
        <v>166666.68</v>
      </c>
      <c r="EC11" s="92">
        <f t="shared" si="0"/>
        <v>194444.46</v>
      </c>
      <c r="ED11" s="92">
        <f t="shared" si="0"/>
        <v>222222.24</v>
      </c>
      <c r="EE11" s="92">
        <f t="shared" si="0"/>
        <v>250000.02</v>
      </c>
    </row>
    <row r="12" spans="2:135" ht="30">
      <c r="B12" s="8" t="s">
        <v>402</v>
      </c>
      <c r="C12" s="5" t="s">
        <v>35</v>
      </c>
      <c r="D12" s="91">
        <f t="shared" si="10"/>
        <v>2000000.1600000015</v>
      </c>
      <c r="E12" s="80">
        <v>0</v>
      </c>
      <c r="F12" s="80">
        <v>0</v>
      </c>
      <c r="G12" s="80">
        <v>0</v>
      </c>
      <c r="H12" s="80">
        <v>0</v>
      </c>
      <c r="I12" s="80">
        <v>0</v>
      </c>
      <c r="J12" s="80">
        <v>0</v>
      </c>
      <c r="K12" s="80">
        <v>0</v>
      </c>
      <c r="L12" s="80">
        <v>0</v>
      </c>
      <c r="M12" s="80">
        <v>0</v>
      </c>
      <c r="N12" s="80">
        <v>0</v>
      </c>
      <c r="O12" s="80">
        <v>0</v>
      </c>
      <c r="P12" s="80">
        <v>0</v>
      </c>
      <c r="Q12" s="80">
        <v>18518.52</v>
      </c>
      <c r="R12" s="80">
        <v>18518.52</v>
      </c>
      <c r="S12" s="80">
        <v>18518.52</v>
      </c>
      <c r="T12" s="80">
        <v>18518.52</v>
      </c>
      <c r="U12" s="80">
        <v>18518.52</v>
      </c>
      <c r="V12" s="80">
        <v>18518.52</v>
      </c>
      <c r="W12" s="80">
        <v>18518.52</v>
      </c>
      <c r="X12" s="80">
        <v>18518.52</v>
      </c>
      <c r="Y12" s="80">
        <v>18518.52</v>
      </c>
      <c r="Z12" s="80">
        <v>18518.52</v>
      </c>
      <c r="AA12" s="80">
        <v>18518.52</v>
      </c>
      <c r="AB12" s="80">
        <v>18518.52</v>
      </c>
      <c r="AC12" s="80">
        <v>18518.52</v>
      </c>
      <c r="AD12" s="80">
        <v>18518.52</v>
      </c>
      <c r="AE12" s="80">
        <v>18518.52</v>
      </c>
      <c r="AF12" s="80">
        <v>18518.52</v>
      </c>
      <c r="AG12" s="80">
        <v>18518.52</v>
      </c>
      <c r="AH12" s="80">
        <v>18518.52</v>
      </c>
      <c r="AI12" s="80">
        <v>18518.52</v>
      </c>
      <c r="AJ12" s="80">
        <v>18518.52</v>
      </c>
      <c r="AK12" s="80">
        <v>18518.52</v>
      </c>
      <c r="AL12" s="80">
        <v>18518.52</v>
      </c>
      <c r="AM12" s="80">
        <v>18518.52</v>
      </c>
      <c r="AN12" s="80">
        <v>18518.52</v>
      </c>
      <c r="AO12" s="80">
        <v>18518.52</v>
      </c>
      <c r="AP12" s="80">
        <v>18518.52</v>
      </c>
      <c r="AQ12" s="80">
        <v>18518.52</v>
      </c>
      <c r="AR12" s="80">
        <v>18518.52</v>
      </c>
      <c r="AS12" s="80">
        <v>18518.52</v>
      </c>
      <c r="AT12" s="80">
        <v>18518.52</v>
      </c>
      <c r="AU12" s="80">
        <v>18518.52</v>
      </c>
      <c r="AV12" s="80">
        <v>18518.52</v>
      </c>
      <c r="AW12" s="80">
        <v>18518.52</v>
      </c>
      <c r="AX12" s="80">
        <v>18518.52</v>
      </c>
      <c r="AY12" s="80">
        <v>18518.52</v>
      </c>
      <c r="AZ12" s="80">
        <v>18518.52</v>
      </c>
      <c r="BA12" s="80">
        <v>18518.52</v>
      </c>
      <c r="BB12" s="80">
        <v>18518.52</v>
      </c>
      <c r="BC12" s="80">
        <v>18518.52</v>
      </c>
      <c r="BD12" s="80">
        <v>18518.52</v>
      </c>
      <c r="BE12" s="80">
        <v>18518.52</v>
      </c>
      <c r="BF12" s="80">
        <v>18518.52</v>
      </c>
      <c r="BG12" s="80">
        <v>18518.52</v>
      </c>
      <c r="BH12" s="80">
        <v>18518.52</v>
      </c>
      <c r="BI12" s="80">
        <v>18518.52</v>
      </c>
      <c r="BJ12" s="80">
        <v>18518.52</v>
      </c>
      <c r="BK12" s="80">
        <v>18518.52</v>
      </c>
      <c r="BL12" s="80">
        <v>18518.52</v>
      </c>
      <c r="BM12" s="80">
        <v>18518.52</v>
      </c>
      <c r="BN12" s="80">
        <v>18518.52</v>
      </c>
      <c r="BO12" s="80">
        <v>18518.52</v>
      </c>
      <c r="BP12" s="80">
        <v>18518.52</v>
      </c>
      <c r="BQ12" s="80">
        <v>18518.52</v>
      </c>
      <c r="BR12" s="80">
        <v>18518.52</v>
      </c>
      <c r="BS12" s="80">
        <v>18518.52</v>
      </c>
      <c r="BT12" s="80">
        <v>18518.52</v>
      </c>
      <c r="BU12" s="80">
        <v>18518.52</v>
      </c>
      <c r="BV12" s="80">
        <v>18518.52</v>
      </c>
      <c r="BW12" s="80">
        <v>18518.52</v>
      </c>
      <c r="BX12" s="80">
        <v>18518.52</v>
      </c>
      <c r="BY12" s="80">
        <v>18518.52</v>
      </c>
      <c r="BZ12" s="80">
        <v>18518.52</v>
      </c>
      <c r="CA12" s="80">
        <v>18518.52</v>
      </c>
      <c r="CB12" s="80">
        <v>18518.52</v>
      </c>
      <c r="CC12" s="80">
        <v>18518.52</v>
      </c>
      <c r="CD12" s="80">
        <v>18518.52</v>
      </c>
      <c r="CE12" s="80">
        <v>18518.52</v>
      </c>
      <c r="CF12" s="80">
        <v>18518.52</v>
      </c>
      <c r="CG12" s="80">
        <v>18518.52</v>
      </c>
      <c r="CH12" s="80">
        <v>18518.52</v>
      </c>
      <c r="CI12" s="80">
        <v>18518.52</v>
      </c>
      <c r="CJ12" s="80">
        <v>18518.52</v>
      </c>
      <c r="CK12" s="80">
        <v>18518.52</v>
      </c>
      <c r="CL12" s="80">
        <v>18518.52</v>
      </c>
      <c r="CM12" s="80">
        <v>18518.52</v>
      </c>
      <c r="CN12" s="80">
        <v>18518.52</v>
      </c>
      <c r="CO12" s="80">
        <v>18518.52</v>
      </c>
      <c r="CP12" s="80">
        <v>18518.52</v>
      </c>
      <c r="CQ12" s="80">
        <v>18518.52</v>
      </c>
      <c r="CR12" s="80">
        <v>18518.52</v>
      </c>
      <c r="CS12" s="80">
        <v>18518.52</v>
      </c>
      <c r="CT12" s="80">
        <v>18518.52</v>
      </c>
      <c r="CU12" s="80">
        <v>18518.52</v>
      </c>
      <c r="CV12" s="80">
        <v>18518.52</v>
      </c>
      <c r="CW12" s="80">
        <v>18518.52</v>
      </c>
      <c r="CX12" s="80">
        <v>18518.52</v>
      </c>
      <c r="CY12" s="80">
        <v>18518.52</v>
      </c>
      <c r="CZ12" s="80">
        <v>18518.52</v>
      </c>
      <c r="DA12" s="80">
        <v>18518.52</v>
      </c>
      <c r="DB12" s="80">
        <v>18518.52</v>
      </c>
      <c r="DC12" s="80">
        <v>18518.52</v>
      </c>
      <c r="DD12" s="80">
        <v>18518.52</v>
      </c>
      <c r="DE12" s="80">
        <v>18518.52</v>
      </c>
      <c r="DF12" s="80">
        <v>18518.52</v>
      </c>
      <c r="DG12" s="80">
        <v>18518.52</v>
      </c>
      <c r="DH12" s="80">
        <v>18518.52</v>
      </c>
      <c r="DI12" s="80">
        <v>18518.52</v>
      </c>
      <c r="DJ12" s="80">
        <v>18518.52</v>
      </c>
      <c r="DK12" s="80">
        <v>18518.52</v>
      </c>
      <c r="DL12" s="80">
        <v>18518.52</v>
      </c>
      <c r="DM12" s="80">
        <v>18518.52</v>
      </c>
      <c r="DN12" s="80">
        <v>18518.52</v>
      </c>
      <c r="DO12" s="80">
        <v>18518.52</v>
      </c>
      <c r="DP12" s="80">
        <v>18518.52</v>
      </c>
      <c r="DQ12" s="80">
        <v>18518.52</v>
      </c>
      <c r="DR12" s="80">
        <v>18518.52</v>
      </c>
      <c r="DS12" s="80">
        <v>18518.52</v>
      </c>
      <c r="DT12" s="80">
        <v>18518.52</v>
      </c>
      <c r="DV12" s="92">
        <f t="shared" ref="DV12:DV13" si="11">SUM(E12:P12)</f>
        <v>0</v>
      </c>
      <c r="DW12" s="92">
        <f t="shared" ref="DW12:DW13" si="12">SUM(F12:Q12)</f>
        <v>18518.52</v>
      </c>
      <c r="DX12" s="92">
        <f t="shared" ref="DX12:DX13" si="13">SUM(G12:R12)</f>
        <v>37037.040000000001</v>
      </c>
      <c r="DY12" s="92">
        <f t="shared" ref="DY12:DY13" si="14">SUM(H12:S12)</f>
        <v>55555.56</v>
      </c>
      <c r="DZ12" s="92">
        <f t="shared" ref="DZ12:DZ13" si="15">SUM(I12:T12)</f>
        <v>74074.080000000002</v>
      </c>
      <c r="EA12" s="92">
        <f t="shared" ref="EA12:EA13" si="16">SUM(J12:U12)</f>
        <v>92592.6</v>
      </c>
      <c r="EB12" s="92">
        <f t="shared" ref="EB12:EB13" si="17">SUM(K12:V12)</f>
        <v>111111.12000000001</v>
      </c>
      <c r="EC12" s="92">
        <f t="shared" ref="EC12:EC13" si="18">SUM(L12:W12)</f>
        <v>129629.64000000001</v>
      </c>
      <c r="ED12" s="92">
        <f t="shared" ref="ED12:ED13" si="19">SUM(M12:X12)</f>
        <v>148148.16</v>
      </c>
      <c r="EE12" s="92">
        <f t="shared" ref="EE12:EE13" si="20">SUM(N12:Y12)</f>
        <v>166666.68</v>
      </c>
    </row>
    <row r="13" spans="2:135" ht="30">
      <c r="B13" s="8" t="s">
        <v>403</v>
      </c>
      <c r="C13" s="5" t="s">
        <v>35</v>
      </c>
      <c r="D13" s="91">
        <f t="shared" si="10"/>
        <v>1000000.0800000008</v>
      </c>
      <c r="E13" s="80">
        <v>0</v>
      </c>
      <c r="F13" s="80">
        <v>0</v>
      </c>
      <c r="G13" s="80">
        <v>0</v>
      </c>
      <c r="H13" s="80">
        <v>0</v>
      </c>
      <c r="I13" s="80">
        <v>0</v>
      </c>
      <c r="J13" s="80">
        <v>0</v>
      </c>
      <c r="K13" s="80">
        <v>0</v>
      </c>
      <c r="L13" s="80">
        <v>0</v>
      </c>
      <c r="M13" s="80">
        <v>0</v>
      </c>
      <c r="N13" s="80">
        <v>0</v>
      </c>
      <c r="O13" s="80">
        <v>0</v>
      </c>
      <c r="P13" s="80">
        <v>0</v>
      </c>
      <c r="Q13" s="80">
        <v>9259.26</v>
      </c>
      <c r="R13" s="80">
        <v>9259.26</v>
      </c>
      <c r="S13" s="80">
        <v>9259.26</v>
      </c>
      <c r="T13" s="80">
        <v>9259.26</v>
      </c>
      <c r="U13" s="80">
        <v>9259.26</v>
      </c>
      <c r="V13" s="80">
        <v>9259.26</v>
      </c>
      <c r="W13" s="80">
        <v>9259.26</v>
      </c>
      <c r="X13" s="80">
        <v>9259.26</v>
      </c>
      <c r="Y13" s="80">
        <v>9259.26</v>
      </c>
      <c r="Z13" s="80">
        <v>9259.26</v>
      </c>
      <c r="AA13" s="80">
        <v>9259.26</v>
      </c>
      <c r="AB13" s="80">
        <v>9259.26</v>
      </c>
      <c r="AC13" s="80">
        <v>9259.26</v>
      </c>
      <c r="AD13" s="80">
        <v>9259.26</v>
      </c>
      <c r="AE13" s="80">
        <v>9259.26</v>
      </c>
      <c r="AF13" s="80">
        <v>9259.26</v>
      </c>
      <c r="AG13" s="80">
        <v>9259.26</v>
      </c>
      <c r="AH13" s="80">
        <v>9259.26</v>
      </c>
      <c r="AI13" s="80">
        <v>9259.26</v>
      </c>
      <c r="AJ13" s="80">
        <v>9259.26</v>
      </c>
      <c r="AK13" s="80">
        <v>9259.26</v>
      </c>
      <c r="AL13" s="80">
        <v>9259.26</v>
      </c>
      <c r="AM13" s="80">
        <v>9259.26</v>
      </c>
      <c r="AN13" s="80">
        <v>9259.26</v>
      </c>
      <c r="AO13" s="80">
        <v>9259.26</v>
      </c>
      <c r="AP13" s="80">
        <v>9259.26</v>
      </c>
      <c r="AQ13" s="80">
        <v>9259.26</v>
      </c>
      <c r="AR13" s="80">
        <v>9259.26</v>
      </c>
      <c r="AS13" s="80">
        <v>9259.26</v>
      </c>
      <c r="AT13" s="80">
        <v>9259.26</v>
      </c>
      <c r="AU13" s="80">
        <v>9259.26</v>
      </c>
      <c r="AV13" s="80">
        <v>9259.26</v>
      </c>
      <c r="AW13" s="80">
        <v>9259.26</v>
      </c>
      <c r="AX13" s="80">
        <v>9259.26</v>
      </c>
      <c r="AY13" s="80">
        <v>9259.26</v>
      </c>
      <c r="AZ13" s="80">
        <v>9259.26</v>
      </c>
      <c r="BA13" s="80">
        <v>9259.26</v>
      </c>
      <c r="BB13" s="80">
        <v>9259.26</v>
      </c>
      <c r="BC13" s="80">
        <v>9259.26</v>
      </c>
      <c r="BD13" s="80">
        <v>9259.26</v>
      </c>
      <c r="BE13" s="80">
        <v>9259.26</v>
      </c>
      <c r="BF13" s="80">
        <v>9259.26</v>
      </c>
      <c r="BG13" s="80">
        <v>9259.26</v>
      </c>
      <c r="BH13" s="80">
        <v>9259.26</v>
      </c>
      <c r="BI13" s="80">
        <v>9259.26</v>
      </c>
      <c r="BJ13" s="80">
        <v>9259.26</v>
      </c>
      <c r="BK13" s="80">
        <v>9259.26</v>
      </c>
      <c r="BL13" s="80">
        <v>9259.26</v>
      </c>
      <c r="BM13" s="80">
        <v>9259.26</v>
      </c>
      <c r="BN13" s="80">
        <v>9259.26</v>
      </c>
      <c r="BO13" s="80">
        <v>9259.26</v>
      </c>
      <c r="BP13" s="80">
        <v>9259.26</v>
      </c>
      <c r="BQ13" s="80">
        <v>9259.26</v>
      </c>
      <c r="BR13" s="80">
        <v>9259.26</v>
      </c>
      <c r="BS13" s="80">
        <v>9259.26</v>
      </c>
      <c r="BT13" s="80">
        <v>9259.26</v>
      </c>
      <c r="BU13" s="80">
        <v>9259.26</v>
      </c>
      <c r="BV13" s="80">
        <v>9259.26</v>
      </c>
      <c r="BW13" s="80">
        <v>9259.26</v>
      </c>
      <c r="BX13" s="80">
        <v>9259.26</v>
      </c>
      <c r="BY13" s="80">
        <v>9259.26</v>
      </c>
      <c r="BZ13" s="80">
        <v>9259.26</v>
      </c>
      <c r="CA13" s="80">
        <v>9259.26</v>
      </c>
      <c r="CB13" s="80">
        <v>9259.26</v>
      </c>
      <c r="CC13" s="80">
        <v>9259.26</v>
      </c>
      <c r="CD13" s="80">
        <v>9259.26</v>
      </c>
      <c r="CE13" s="80">
        <v>9259.26</v>
      </c>
      <c r="CF13" s="80">
        <v>9259.26</v>
      </c>
      <c r="CG13" s="80">
        <v>9259.26</v>
      </c>
      <c r="CH13" s="80">
        <v>9259.26</v>
      </c>
      <c r="CI13" s="80">
        <v>9259.26</v>
      </c>
      <c r="CJ13" s="80">
        <v>9259.26</v>
      </c>
      <c r="CK13" s="80">
        <v>9259.26</v>
      </c>
      <c r="CL13" s="80">
        <v>9259.26</v>
      </c>
      <c r="CM13" s="80">
        <v>9259.26</v>
      </c>
      <c r="CN13" s="80">
        <v>9259.26</v>
      </c>
      <c r="CO13" s="80">
        <v>9259.26</v>
      </c>
      <c r="CP13" s="80">
        <v>9259.26</v>
      </c>
      <c r="CQ13" s="80">
        <v>9259.26</v>
      </c>
      <c r="CR13" s="80">
        <v>9259.26</v>
      </c>
      <c r="CS13" s="80">
        <v>9259.26</v>
      </c>
      <c r="CT13" s="80">
        <v>9259.26</v>
      </c>
      <c r="CU13" s="80">
        <v>9259.26</v>
      </c>
      <c r="CV13" s="80">
        <v>9259.26</v>
      </c>
      <c r="CW13" s="80">
        <v>9259.26</v>
      </c>
      <c r="CX13" s="80">
        <v>9259.26</v>
      </c>
      <c r="CY13" s="80">
        <v>9259.26</v>
      </c>
      <c r="CZ13" s="80">
        <v>9259.26</v>
      </c>
      <c r="DA13" s="80">
        <v>9259.26</v>
      </c>
      <c r="DB13" s="80">
        <v>9259.26</v>
      </c>
      <c r="DC13" s="80">
        <v>9259.26</v>
      </c>
      <c r="DD13" s="80">
        <v>9259.26</v>
      </c>
      <c r="DE13" s="80">
        <v>9259.26</v>
      </c>
      <c r="DF13" s="80">
        <v>9259.26</v>
      </c>
      <c r="DG13" s="80">
        <v>9259.26</v>
      </c>
      <c r="DH13" s="80">
        <v>9259.26</v>
      </c>
      <c r="DI13" s="80">
        <v>9259.26</v>
      </c>
      <c r="DJ13" s="80">
        <v>9259.26</v>
      </c>
      <c r="DK13" s="80">
        <v>9259.26</v>
      </c>
      <c r="DL13" s="80">
        <v>9259.26</v>
      </c>
      <c r="DM13" s="80">
        <v>9259.26</v>
      </c>
      <c r="DN13" s="80">
        <v>9259.26</v>
      </c>
      <c r="DO13" s="80">
        <v>9259.26</v>
      </c>
      <c r="DP13" s="80">
        <v>9259.26</v>
      </c>
      <c r="DQ13" s="80">
        <v>9259.26</v>
      </c>
      <c r="DR13" s="80">
        <v>9259.26</v>
      </c>
      <c r="DS13" s="80">
        <v>9259.26</v>
      </c>
      <c r="DT13" s="80">
        <v>9259.26</v>
      </c>
      <c r="DV13" s="92">
        <f t="shared" si="11"/>
        <v>0</v>
      </c>
      <c r="DW13" s="92">
        <f t="shared" si="12"/>
        <v>9259.26</v>
      </c>
      <c r="DX13" s="92">
        <f t="shared" si="13"/>
        <v>18518.52</v>
      </c>
      <c r="DY13" s="92">
        <f t="shared" si="14"/>
        <v>27777.78</v>
      </c>
      <c r="DZ13" s="92">
        <f t="shared" si="15"/>
        <v>37037.040000000001</v>
      </c>
      <c r="EA13" s="92">
        <f t="shared" si="16"/>
        <v>46296.3</v>
      </c>
      <c r="EB13" s="92">
        <f t="shared" si="17"/>
        <v>55555.560000000005</v>
      </c>
      <c r="EC13" s="92">
        <f t="shared" si="18"/>
        <v>64814.820000000007</v>
      </c>
      <c r="ED13" s="92">
        <f t="shared" si="19"/>
        <v>74074.080000000002</v>
      </c>
      <c r="EE13" s="92">
        <f t="shared" si="20"/>
        <v>83333.34</v>
      </c>
    </row>
    <row r="14" spans="2:135" ht="30">
      <c r="B14" s="6" t="s">
        <v>404</v>
      </c>
      <c r="C14" s="5" t="s">
        <v>35</v>
      </c>
      <c r="D14" s="91">
        <f t="shared" si="10"/>
        <v>1000000.0800000008</v>
      </c>
      <c r="E14" s="80">
        <v>0</v>
      </c>
      <c r="F14" s="80">
        <v>0</v>
      </c>
      <c r="G14" s="80">
        <v>0</v>
      </c>
      <c r="H14" s="80">
        <v>0</v>
      </c>
      <c r="I14" s="80">
        <v>0</v>
      </c>
      <c r="J14" s="80">
        <v>0</v>
      </c>
      <c r="K14" s="80">
        <v>0</v>
      </c>
      <c r="L14" s="80">
        <v>0</v>
      </c>
      <c r="M14" s="80">
        <v>0</v>
      </c>
      <c r="N14" s="80">
        <v>0</v>
      </c>
      <c r="O14" s="80">
        <v>0</v>
      </c>
      <c r="P14" s="80">
        <v>0</v>
      </c>
      <c r="Q14" s="80">
        <v>9259.26</v>
      </c>
      <c r="R14" s="80">
        <v>9259.26</v>
      </c>
      <c r="S14" s="80">
        <v>9259.26</v>
      </c>
      <c r="T14" s="80">
        <v>9259.26</v>
      </c>
      <c r="U14" s="80">
        <v>9259.26</v>
      </c>
      <c r="V14" s="80">
        <v>9259.26</v>
      </c>
      <c r="W14" s="80">
        <v>9259.26</v>
      </c>
      <c r="X14" s="80">
        <v>9259.26</v>
      </c>
      <c r="Y14" s="80">
        <v>9259.26</v>
      </c>
      <c r="Z14" s="80">
        <v>9259.26</v>
      </c>
      <c r="AA14" s="80">
        <v>9259.26</v>
      </c>
      <c r="AB14" s="80">
        <v>9259.26</v>
      </c>
      <c r="AC14" s="80">
        <v>9259.26</v>
      </c>
      <c r="AD14" s="80">
        <v>9259.26</v>
      </c>
      <c r="AE14" s="80">
        <v>9259.26</v>
      </c>
      <c r="AF14" s="80">
        <v>9259.26</v>
      </c>
      <c r="AG14" s="80">
        <v>9259.26</v>
      </c>
      <c r="AH14" s="80">
        <v>9259.26</v>
      </c>
      <c r="AI14" s="80">
        <v>9259.26</v>
      </c>
      <c r="AJ14" s="80">
        <v>9259.26</v>
      </c>
      <c r="AK14" s="80">
        <v>9259.26</v>
      </c>
      <c r="AL14" s="80">
        <v>9259.26</v>
      </c>
      <c r="AM14" s="80">
        <v>9259.26</v>
      </c>
      <c r="AN14" s="80">
        <v>9259.26</v>
      </c>
      <c r="AO14" s="80">
        <v>9259.26</v>
      </c>
      <c r="AP14" s="80">
        <v>9259.26</v>
      </c>
      <c r="AQ14" s="80">
        <v>9259.26</v>
      </c>
      <c r="AR14" s="80">
        <v>9259.26</v>
      </c>
      <c r="AS14" s="80">
        <v>9259.26</v>
      </c>
      <c r="AT14" s="80">
        <v>9259.26</v>
      </c>
      <c r="AU14" s="80">
        <v>9259.26</v>
      </c>
      <c r="AV14" s="80">
        <v>9259.26</v>
      </c>
      <c r="AW14" s="80">
        <v>9259.26</v>
      </c>
      <c r="AX14" s="80">
        <v>9259.26</v>
      </c>
      <c r="AY14" s="80">
        <v>9259.26</v>
      </c>
      <c r="AZ14" s="80">
        <v>9259.26</v>
      </c>
      <c r="BA14" s="80">
        <v>9259.26</v>
      </c>
      <c r="BB14" s="80">
        <v>9259.26</v>
      </c>
      <c r="BC14" s="80">
        <v>9259.26</v>
      </c>
      <c r="BD14" s="80">
        <v>9259.26</v>
      </c>
      <c r="BE14" s="80">
        <v>9259.26</v>
      </c>
      <c r="BF14" s="80">
        <v>9259.26</v>
      </c>
      <c r="BG14" s="80">
        <v>9259.26</v>
      </c>
      <c r="BH14" s="80">
        <v>9259.26</v>
      </c>
      <c r="BI14" s="80">
        <v>9259.26</v>
      </c>
      <c r="BJ14" s="80">
        <v>9259.26</v>
      </c>
      <c r="BK14" s="80">
        <v>9259.26</v>
      </c>
      <c r="BL14" s="80">
        <v>9259.26</v>
      </c>
      <c r="BM14" s="80">
        <v>9259.26</v>
      </c>
      <c r="BN14" s="80">
        <v>9259.26</v>
      </c>
      <c r="BO14" s="80">
        <v>9259.26</v>
      </c>
      <c r="BP14" s="80">
        <v>9259.26</v>
      </c>
      <c r="BQ14" s="80">
        <v>9259.26</v>
      </c>
      <c r="BR14" s="80">
        <v>9259.26</v>
      </c>
      <c r="BS14" s="80">
        <v>9259.26</v>
      </c>
      <c r="BT14" s="80">
        <v>9259.26</v>
      </c>
      <c r="BU14" s="80">
        <v>9259.26</v>
      </c>
      <c r="BV14" s="80">
        <v>9259.26</v>
      </c>
      <c r="BW14" s="80">
        <v>9259.26</v>
      </c>
      <c r="BX14" s="80">
        <v>9259.26</v>
      </c>
      <c r="BY14" s="80">
        <v>9259.26</v>
      </c>
      <c r="BZ14" s="80">
        <v>9259.26</v>
      </c>
      <c r="CA14" s="80">
        <v>9259.26</v>
      </c>
      <c r="CB14" s="80">
        <v>9259.26</v>
      </c>
      <c r="CC14" s="80">
        <v>9259.26</v>
      </c>
      <c r="CD14" s="80">
        <v>9259.26</v>
      </c>
      <c r="CE14" s="80">
        <v>9259.26</v>
      </c>
      <c r="CF14" s="80">
        <v>9259.26</v>
      </c>
      <c r="CG14" s="80">
        <v>9259.26</v>
      </c>
      <c r="CH14" s="80">
        <v>9259.26</v>
      </c>
      <c r="CI14" s="80">
        <v>9259.26</v>
      </c>
      <c r="CJ14" s="80">
        <v>9259.26</v>
      </c>
      <c r="CK14" s="80">
        <v>9259.26</v>
      </c>
      <c r="CL14" s="80">
        <v>9259.26</v>
      </c>
      <c r="CM14" s="80">
        <v>9259.26</v>
      </c>
      <c r="CN14" s="80">
        <v>9259.26</v>
      </c>
      <c r="CO14" s="80">
        <v>9259.26</v>
      </c>
      <c r="CP14" s="80">
        <v>9259.26</v>
      </c>
      <c r="CQ14" s="80">
        <v>9259.26</v>
      </c>
      <c r="CR14" s="80">
        <v>9259.26</v>
      </c>
      <c r="CS14" s="80">
        <v>9259.26</v>
      </c>
      <c r="CT14" s="80">
        <v>9259.26</v>
      </c>
      <c r="CU14" s="80">
        <v>9259.26</v>
      </c>
      <c r="CV14" s="80">
        <v>9259.26</v>
      </c>
      <c r="CW14" s="80">
        <v>9259.26</v>
      </c>
      <c r="CX14" s="80">
        <v>9259.26</v>
      </c>
      <c r="CY14" s="80">
        <v>9259.26</v>
      </c>
      <c r="CZ14" s="80">
        <v>9259.26</v>
      </c>
      <c r="DA14" s="80">
        <v>9259.26</v>
      </c>
      <c r="DB14" s="80">
        <v>9259.26</v>
      </c>
      <c r="DC14" s="80">
        <v>9259.26</v>
      </c>
      <c r="DD14" s="80">
        <v>9259.26</v>
      </c>
      <c r="DE14" s="80">
        <v>9259.26</v>
      </c>
      <c r="DF14" s="80">
        <v>9259.26</v>
      </c>
      <c r="DG14" s="80">
        <v>9259.26</v>
      </c>
      <c r="DH14" s="80">
        <v>9259.26</v>
      </c>
      <c r="DI14" s="80">
        <v>9259.26</v>
      </c>
      <c r="DJ14" s="80">
        <v>9259.26</v>
      </c>
      <c r="DK14" s="80">
        <v>9259.26</v>
      </c>
      <c r="DL14" s="80">
        <v>9259.26</v>
      </c>
      <c r="DM14" s="80">
        <v>9259.26</v>
      </c>
      <c r="DN14" s="80">
        <v>9259.26</v>
      </c>
      <c r="DO14" s="80">
        <v>9259.26</v>
      </c>
      <c r="DP14" s="80">
        <v>9259.26</v>
      </c>
      <c r="DQ14" s="80">
        <v>9259.26</v>
      </c>
      <c r="DR14" s="80">
        <v>9259.26</v>
      </c>
      <c r="DS14" s="80">
        <v>9259.26</v>
      </c>
      <c r="DT14" s="80">
        <v>9259.26</v>
      </c>
      <c r="DV14" s="92">
        <f>SUM(E14:P14)</f>
        <v>0</v>
      </c>
      <c r="DW14" s="92">
        <f t="shared" si="0"/>
        <v>9259.26</v>
      </c>
      <c r="DX14" s="92">
        <f t="shared" si="0"/>
        <v>18518.52</v>
      </c>
      <c r="DY14" s="92">
        <f t="shared" si="0"/>
        <v>27777.78</v>
      </c>
      <c r="DZ14" s="92">
        <f t="shared" si="0"/>
        <v>37037.040000000001</v>
      </c>
      <c r="EA14" s="92">
        <f t="shared" si="0"/>
        <v>46296.3</v>
      </c>
      <c r="EB14" s="92">
        <f t="shared" si="0"/>
        <v>55555.560000000005</v>
      </c>
      <c r="EC14" s="92">
        <f t="shared" si="0"/>
        <v>64814.820000000007</v>
      </c>
      <c r="ED14" s="92">
        <f t="shared" si="0"/>
        <v>74074.080000000002</v>
      </c>
      <c r="EE14" s="92">
        <f t="shared" si="0"/>
        <v>83333.34</v>
      </c>
    </row>
    <row r="15" spans="2:135" s="217" customFormat="1" ht="30">
      <c r="B15" s="223" t="s">
        <v>445</v>
      </c>
      <c r="C15" s="216"/>
      <c r="D15" s="91">
        <f t="shared" si="10"/>
        <v>7560000</v>
      </c>
      <c r="E15" s="218">
        <v>0</v>
      </c>
      <c r="F15" s="218">
        <v>0</v>
      </c>
      <c r="G15" s="218">
        <v>0</v>
      </c>
      <c r="H15" s="218">
        <v>0</v>
      </c>
      <c r="I15" s="218">
        <v>0</v>
      </c>
      <c r="J15" s="218">
        <v>0</v>
      </c>
      <c r="K15" s="218">
        <v>0</v>
      </c>
      <c r="L15" s="218">
        <v>0</v>
      </c>
      <c r="M15" s="218">
        <v>0</v>
      </c>
      <c r="N15" s="218">
        <v>0</v>
      </c>
      <c r="O15" s="218">
        <v>0</v>
      </c>
      <c r="P15" s="218">
        <v>0</v>
      </c>
      <c r="Q15" s="218">
        <v>50000</v>
      </c>
      <c r="R15" s="218">
        <v>50000</v>
      </c>
      <c r="S15" s="218">
        <v>50000</v>
      </c>
      <c r="T15" s="218">
        <v>50000</v>
      </c>
      <c r="U15" s="218">
        <v>50000</v>
      </c>
      <c r="V15" s="218">
        <v>50000</v>
      </c>
      <c r="W15" s="218">
        <v>50000</v>
      </c>
      <c r="X15" s="218">
        <v>50000</v>
      </c>
      <c r="Y15" s="218">
        <v>50000</v>
      </c>
      <c r="Z15" s="218">
        <v>50000</v>
      </c>
      <c r="AA15" s="218">
        <v>50000</v>
      </c>
      <c r="AB15" s="218">
        <v>50000</v>
      </c>
      <c r="AC15" s="218">
        <v>55000</v>
      </c>
      <c r="AD15" s="218">
        <v>55000</v>
      </c>
      <c r="AE15" s="218">
        <v>55000</v>
      </c>
      <c r="AF15" s="218">
        <v>55000</v>
      </c>
      <c r="AG15" s="218">
        <v>55000</v>
      </c>
      <c r="AH15" s="218">
        <v>55000</v>
      </c>
      <c r="AI15" s="218">
        <v>55000</v>
      </c>
      <c r="AJ15" s="218">
        <v>55000</v>
      </c>
      <c r="AK15" s="218">
        <v>55000</v>
      </c>
      <c r="AL15" s="218">
        <v>55000</v>
      </c>
      <c r="AM15" s="218">
        <v>55000</v>
      </c>
      <c r="AN15" s="218">
        <v>55000</v>
      </c>
      <c r="AO15" s="218">
        <v>60000</v>
      </c>
      <c r="AP15" s="218">
        <v>60000</v>
      </c>
      <c r="AQ15" s="218">
        <v>60000</v>
      </c>
      <c r="AR15" s="218">
        <v>60000</v>
      </c>
      <c r="AS15" s="218">
        <v>60000</v>
      </c>
      <c r="AT15" s="218">
        <v>60000</v>
      </c>
      <c r="AU15" s="218">
        <v>60000</v>
      </c>
      <c r="AV15" s="218">
        <v>60000</v>
      </c>
      <c r="AW15" s="218">
        <v>60000</v>
      </c>
      <c r="AX15" s="218">
        <v>60000</v>
      </c>
      <c r="AY15" s="218">
        <v>60000</v>
      </c>
      <c r="AZ15" s="218">
        <v>60000</v>
      </c>
      <c r="BA15" s="218">
        <v>65000</v>
      </c>
      <c r="BB15" s="218">
        <v>65000</v>
      </c>
      <c r="BC15" s="218">
        <v>65000</v>
      </c>
      <c r="BD15" s="218">
        <v>65000</v>
      </c>
      <c r="BE15" s="218">
        <v>65000</v>
      </c>
      <c r="BF15" s="218">
        <v>65000</v>
      </c>
      <c r="BG15" s="218">
        <v>65000</v>
      </c>
      <c r="BH15" s="218">
        <v>65000</v>
      </c>
      <c r="BI15" s="218">
        <v>65000</v>
      </c>
      <c r="BJ15" s="218">
        <v>65000</v>
      </c>
      <c r="BK15" s="218">
        <v>65000</v>
      </c>
      <c r="BL15" s="218">
        <v>65000</v>
      </c>
      <c r="BM15" s="218">
        <v>70000</v>
      </c>
      <c r="BN15" s="218">
        <v>70000</v>
      </c>
      <c r="BO15" s="218">
        <v>70000</v>
      </c>
      <c r="BP15" s="218">
        <v>70000</v>
      </c>
      <c r="BQ15" s="218">
        <v>70000</v>
      </c>
      <c r="BR15" s="218">
        <v>70000</v>
      </c>
      <c r="BS15" s="218">
        <v>70000</v>
      </c>
      <c r="BT15" s="218">
        <v>70000</v>
      </c>
      <c r="BU15" s="218">
        <v>70000</v>
      </c>
      <c r="BV15" s="218">
        <v>70000</v>
      </c>
      <c r="BW15" s="218">
        <v>70000</v>
      </c>
      <c r="BX15" s="218">
        <v>70000</v>
      </c>
      <c r="BY15" s="218">
        <v>75000</v>
      </c>
      <c r="BZ15" s="218">
        <v>75000</v>
      </c>
      <c r="CA15" s="218">
        <v>75000</v>
      </c>
      <c r="CB15" s="218">
        <v>75000</v>
      </c>
      <c r="CC15" s="218">
        <v>75000</v>
      </c>
      <c r="CD15" s="218">
        <v>75000</v>
      </c>
      <c r="CE15" s="218">
        <v>75000</v>
      </c>
      <c r="CF15" s="218">
        <v>75000</v>
      </c>
      <c r="CG15" s="218">
        <v>75000</v>
      </c>
      <c r="CH15" s="218">
        <v>75000</v>
      </c>
      <c r="CI15" s="218">
        <v>75000</v>
      </c>
      <c r="CJ15" s="218">
        <v>75000</v>
      </c>
      <c r="CK15" s="218">
        <v>80000</v>
      </c>
      <c r="CL15" s="218">
        <v>80000</v>
      </c>
      <c r="CM15" s="218">
        <v>80000</v>
      </c>
      <c r="CN15" s="218">
        <v>80000</v>
      </c>
      <c r="CO15" s="218">
        <v>80000</v>
      </c>
      <c r="CP15" s="218">
        <v>80000</v>
      </c>
      <c r="CQ15" s="218">
        <v>80000</v>
      </c>
      <c r="CR15" s="218">
        <v>80000</v>
      </c>
      <c r="CS15" s="218">
        <v>80000</v>
      </c>
      <c r="CT15" s="218">
        <v>80000</v>
      </c>
      <c r="CU15" s="218">
        <v>80000</v>
      </c>
      <c r="CV15" s="218">
        <v>80000</v>
      </c>
      <c r="CW15" s="218">
        <v>85000</v>
      </c>
      <c r="CX15" s="218">
        <v>85000</v>
      </c>
      <c r="CY15" s="218">
        <v>85000</v>
      </c>
      <c r="CZ15" s="218">
        <v>85000</v>
      </c>
      <c r="DA15" s="218">
        <v>85000</v>
      </c>
      <c r="DB15" s="218">
        <v>85000</v>
      </c>
      <c r="DC15" s="218">
        <v>85000</v>
      </c>
      <c r="DD15" s="218">
        <v>85000</v>
      </c>
      <c r="DE15" s="218">
        <v>85000</v>
      </c>
      <c r="DF15" s="218">
        <v>85000</v>
      </c>
      <c r="DG15" s="218">
        <v>85000</v>
      </c>
      <c r="DH15" s="218">
        <v>85000</v>
      </c>
      <c r="DI15" s="218">
        <v>90000</v>
      </c>
      <c r="DJ15" s="218">
        <v>90000</v>
      </c>
      <c r="DK15" s="218">
        <v>90000</v>
      </c>
      <c r="DL15" s="218">
        <v>90000</v>
      </c>
      <c r="DM15" s="218">
        <v>90000</v>
      </c>
      <c r="DN15" s="218">
        <v>90000</v>
      </c>
      <c r="DO15" s="218">
        <v>90000</v>
      </c>
      <c r="DP15" s="218">
        <v>90000</v>
      </c>
      <c r="DQ15" s="218">
        <v>90000</v>
      </c>
      <c r="DR15" s="218">
        <v>90000</v>
      </c>
      <c r="DS15" s="218">
        <v>90000</v>
      </c>
      <c r="DT15" s="218">
        <v>90000</v>
      </c>
      <c r="DV15" s="224"/>
      <c r="DW15" s="224"/>
      <c r="DX15" s="224"/>
      <c r="DY15" s="224"/>
      <c r="DZ15" s="224"/>
      <c r="EA15" s="224"/>
      <c r="EB15" s="224"/>
      <c r="EC15" s="224"/>
      <c r="ED15" s="224"/>
      <c r="EE15" s="224"/>
    </row>
    <row r="16" spans="2:135" s="217" customFormat="1" ht="30">
      <c r="B16" s="223" t="s">
        <v>446</v>
      </c>
      <c r="C16" s="216"/>
      <c r="D16" s="91">
        <f t="shared" si="10"/>
        <v>37800000</v>
      </c>
      <c r="E16" s="218">
        <v>0</v>
      </c>
      <c r="F16" s="218">
        <v>0</v>
      </c>
      <c r="G16" s="218">
        <v>0</v>
      </c>
      <c r="H16" s="218">
        <v>0</v>
      </c>
      <c r="I16" s="218">
        <v>0</v>
      </c>
      <c r="J16" s="218">
        <v>0</v>
      </c>
      <c r="K16" s="218">
        <v>0</v>
      </c>
      <c r="L16" s="218">
        <v>0</v>
      </c>
      <c r="M16" s="218">
        <v>0</v>
      </c>
      <c r="N16" s="218">
        <v>0</v>
      </c>
      <c r="O16" s="218">
        <v>0</v>
      </c>
      <c r="P16" s="218">
        <v>0</v>
      </c>
      <c r="Q16" s="218">
        <v>350000</v>
      </c>
      <c r="R16" s="218">
        <v>350000</v>
      </c>
      <c r="S16" s="218">
        <v>350000</v>
      </c>
      <c r="T16" s="218">
        <v>350000</v>
      </c>
      <c r="U16" s="218">
        <v>350000</v>
      </c>
      <c r="V16" s="218">
        <v>350000</v>
      </c>
      <c r="W16" s="218">
        <v>350000</v>
      </c>
      <c r="X16" s="218">
        <v>350000</v>
      </c>
      <c r="Y16" s="218">
        <v>350000</v>
      </c>
      <c r="Z16" s="218">
        <v>350000</v>
      </c>
      <c r="AA16" s="218">
        <v>350000</v>
      </c>
      <c r="AB16" s="218">
        <v>350000</v>
      </c>
      <c r="AC16" s="218">
        <v>350000</v>
      </c>
      <c r="AD16" s="218">
        <v>350000</v>
      </c>
      <c r="AE16" s="218">
        <v>350000</v>
      </c>
      <c r="AF16" s="218">
        <v>350000</v>
      </c>
      <c r="AG16" s="218">
        <v>350000</v>
      </c>
      <c r="AH16" s="218">
        <v>350000</v>
      </c>
      <c r="AI16" s="218">
        <v>350000</v>
      </c>
      <c r="AJ16" s="218">
        <v>350000</v>
      </c>
      <c r="AK16" s="218">
        <v>350000</v>
      </c>
      <c r="AL16" s="218">
        <v>350000</v>
      </c>
      <c r="AM16" s="218">
        <v>350000</v>
      </c>
      <c r="AN16" s="218">
        <v>350000</v>
      </c>
      <c r="AO16" s="218">
        <v>350000</v>
      </c>
      <c r="AP16" s="218">
        <v>350000</v>
      </c>
      <c r="AQ16" s="218">
        <v>350000</v>
      </c>
      <c r="AR16" s="218">
        <v>350000</v>
      </c>
      <c r="AS16" s="218">
        <v>350000</v>
      </c>
      <c r="AT16" s="218">
        <v>350000</v>
      </c>
      <c r="AU16" s="218">
        <v>350000</v>
      </c>
      <c r="AV16" s="218">
        <v>350000</v>
      </c>
      <c r="AW16" s="218">
        <v>350000</v>
      </c>
      <c r="AX16" s="218">
        <v>350000</v>
      </c>
      <c r="AY16" s="218">
        <v>350000</v>
      </c>
      <c r="AZ16" s="218">
        <v>350000</v>
      </c>
      <c r="BA16" s="218">
        <v>350000</v>
      </c>
      <c r="BB16" s="218">
        <v>350000</v>
      </c>
      <c r="BC16" s="218">
        <v>350000</v>
      </c>
      <c r="BD16" s="218">
        <v>350000</v>
      </c>
      <c r="BE16" s="218">
        <v>350000</v>
      </c>
      <c r="BF16" s="218">
        <v>350000</v>
      </c>
      <c r="BG16" s="218">
        <v>350000</v>
      </c>
      <c r="BH16" s="218">
        <v>350000</v>
      </c>
      <c r="BI16" s="218">
        <v>350000</v>
      </c>
      <c r="BJ16" s="218">
        <v>350000</v>
      </c>
      <c r="BK16" s="218">
        <v>350000</v>
      </c>
      <c r="BL16" s="218">
        <v>350000</v>
      </c>
      <c r="BM16" s="218">
        <v>350000</v>
      </c>
      <c r="BN16" s="218">
        <v>350000</v>
      </c>
      <c r="BO16" s="218">
        <v>350000</v>
      </c>
      <c r="BP16" s="218">
        <v>350000</v>
      </c>
      <c r="BQ16" s="218">
        <v>350000</v>
      </c>
      <c r="BR16" s="218">
        <v>350000</v>
      </c>
      <c r="BS16" s="218">
        <v>350000</v>
      </c>
      <c r="BT16" s="218">
        <v>350000</v>
      </c>
      <c r="BU16" s="218">
        <v>350000</v>
      </c>
      <c r="BV16" s="218">
        <v>350000</v>
      </c>
      <c r="BW16" s="218">
        <v>350000</v>
      </c>
      <c r="BX16" s="218">
        <v>350000</v>
      </c>
      <c r="BY16" s="218">
        <v>350000</v>
      </c>
      <c r="BZ16" s="218">
        <v>350000</v>
      </c>
      <c r="CA16" s="218">
        <v>350000</v>
      </c>
      <c r="CB16" s="218">
        <v>350000</v>
      </c>
      <c r="CC16" s="218">
        <v>350000</v>
      </c>
      <c r="CD16" s="218">
        <v>350000</v>
      </c>
      <c r="CE16" s="218">
        <v>350000</v>
      </c>
      <c r="CF16" s="218">
        <v>350000</v>
      </c>
      <c r="CG16" s="218">
        <v>350000</v>
      </c>
      <c r="CH16" s="218">
        <v>350000</v>
      </c>
      <c r="CI16" s="218">
        <v>350000</v>
      </c>
      <c r="CJ16" s="218">
        <v>350000</v>
      </c>
      <c r="CK16" s="218">
        <v>350000</v>
      </c>
      <c r="CL16" s="218">
        <v>350000</v>
      </c>
      <c r="CM16" s="218">
        <v>350000</v>
      </c>
      <c r="CN16" s="218">
        <v>350000</v>
      </c>
      <c r="CO16" s="218">
        <v>350000</v>
      </c>
      <c r="CP16" s="218">
        <v>350000</v>
      </c>
      <c r="CQ16" s="218">
        <v>350000</v>
      </c>
      <c r="CR16" s="218">
        <v>350000</v>
      </c>
      <c r="CS16" s="218">
        <v>350000</v>
      </c>
      <c r="CT16" s="218">
        <v>350000</v>
      </c>
      <c r="CU16" s="218">
        <v>350000</v>
      </c>
      <c r="CV16" s="218">
        <v>350000</v>
      </c>
      <c r="CW16" s="218">
        <v>350000</v>
      </c>
      <c r="CX16" s="218">
        <v>350000</v>
      </c>
      <c r="CY16" s="218">
        <v>350000</v>
      </c>
      <c r="CZ16" s="218">
        <v>350000</v>
      </c>
      <c r="DA16" s="218">
        <v>350000</v>
      </c>
      <c r="DB16" s="218">
        <v>350000</v>
      </c>
      <c r="DC16" s="218">
        <v>350000</v>
      </c>
      <c r="DD16" s="218">
        <v>350000</v>
      </c>
      <c r="DE16" s="218">
        <v>350000</v>
      </c>
      <c r="DF16" s="218">
        <v>350000</v>
      </c>
      <c r="DG16" s="218">
        <v>350000</v>
      </c>
      <c r="DH16" s="218">
        <v>350000</v>
      </c>
      <c r="DI16" s="218">
        <v>350000</v>
      </c>
      <c r="DJ16" s="218">
        <v>350000</v>
      </c>
      <c r="DK16" s="218">
        <v>350000</v>
      </c>
      <c r="DL16" s="218">
        <v>350000</v>
      </c>
      <c r="DM16" s="218">
        <v>350000</v>
      </c>
      <c r="DN16" s="218">
        <v>350000</v>
      </c>
      <c r="DO16" s="218">
        <v>350000</v>
      </c>
      <c r="DP16" s="218">
        <v>350000</v>
      </c>
      <c r="DQ16" s="218">
        <v>350000</v>
      </c>
      <c r="DR16" s="218">
        <v>350000</v>
      </c>
      <c r="DS16" s="218">
        <v>350000</v>
      </c>
      <c r="DT16" s="218">
        <v>350000</v>
      </c>
      <c r="DV16" s="224"/>
      <c r="DW16" s="224"/>
      <c r="DX16" s="224"/>
      <c r="DY16" s="224"/>
      <c r="DZ16" s="224"/>
      <c r="EA16" s="224"/>
      <c r="EB16" s="224"/>
      <c r="EC16" s="224"/>
      <c r="ED16" s="224"/>
      <c r="EE16" s="224"/>
    </row>
    <row r="17" spans="2:135" ht="45">
      <c r="B17" s="6" t="s">
        <v>439</v>
      </c>
      <c r="C17" s="5" t="s">
        <v>35</v>
      </c>
      <c r="D17" s="91">
        <f t="shared" ref="D17" si="21">SUM(E17:DT17)</f>
        <v>5400000000</v>
      </c>
      <c r="E17" s="80">
        <v>0</v>
      </c>
      <c r="F17" s="80">
        <v>0</v>
      </c>
      <c r="G17" s="80">
        <v>0</v>
      </c>
      <c r="H17" s="80">
        <v>0</v>
      </c>
      <c r="I17" s="80">
        <v>0</v>
      </c>
      <c r="J17" s="80">
        <v>0</v>
      </c>
      <c r="K17" s="80">
        <v>0</v>
      </c>
      <c r="L17" s="80">
        <v>0</v>
      </c>
      <c r="M17" s="80">
        <v>0</v>
      </c>
      <c r="N17" s="80">
        <v>0</v>
      </c>
      <c r="O17" s="80">
        <v>0</v>
      </c>
      <c r="P17" s="80">
        <v>0</v>
      </c>
      <c r="Q17" s="80">
        <v>50000000</v>
      </c>
      <c r="R17" s="80">
        <v>50000000</v>
      </c>
      <c r="S17" s="80">
        <v>50000000</v>
      </c>
      <c r="T17" s="80">
        <v>50000000</v>
      </c>
      <c r="U17" s="80">
        <v>50000000</v>
      </c>
      <c r="V17" s="80">
        <v>50000000</v>
      </c>
      <c r="W17" s="80">
        <v>50000000</v>
      </c>
      <c r="X17" s="80">
        <v>50000000</v>
      </c>
      <c r="Y17" s="80">
        <v>50000000</v>
      </c>
      <c r="Z17" s="80">
        <v>50000000</v>
      </c>
      <c r="AA17" s="80">
        <v>50000000</v>
      </c>
      <c r="AB17" s="80">
        <v>50000000</v>
      </c>
      <c r="AC17" s="80">
        <v>50000000</v>
      </c>
      <c r="AD17" s="80">
        <v>50000000</v>
      </c>
      <c r="AE17" s="80">
        <v>50000000</v>
      </c>
      <c r="AF17" s="80">
        <v>50000000</v>
      </c>
      <c r="AG17" s="80">
        <v>50000000</v>
      </c>
      <c r="AH17" s="80">
        <v>50000000</v>
      </c>
      <c r="AI17" s="80">
        <v>50000000</v>
      </c>
      <c r="AJ17" s="80">
        <v>50000000</v>
      </c>
      <c r="AK17" s="80">
        <v>50000000</v>
      </c>
      <c r="AL17" s="80">
        <v>50000000</v>
      </c>
      <c r="AM17" s="80">
        <v>50000000</v>
      </c>
      <c r="AN17" s="80">
        <v>50000000</v>
      </c>
      <c r="AO17" s="80">
        <v>50000000</v>
      </c>
      <c r="AP17" s="80">
        <v>50000000</v>
      </c>
      <c r="AQ17" s="80">
        <v>50000000</v>
      </c>
      <c r="AR17" s="80">
        <v>50000000</v>
      </c>
      <c r="AS17" s="80">
        <v>50000000</v>
      </c>
      <c r="AT17" s="80">
        <v>50000000</v>
      </c>
      <c r="AU17" s="80">
        <v>50000000</v>
      </c>
      <c r="AV17" s="80">
        <v>50000000</v>
      </c>
      <c r="AW17" s="80">
        <v>50000000</v>
      </c>
      <c r="AX17" s="80">
        <v>50000000</v>
      </c>
      <c r="AY17" s="80">
        <v>50000000</v>
      </c>
      <c r="AZ17" s="80">
        <v>50000000</v>
      </c>
      <c r="BA17" s="80">
        <v>50000000</v>
      </c>
      <c r="BB17" s="80">
        <v>50000000</v>
      </c>
      <c r="BC17" s="80">
        <v>50000000</v>
      </c>
      <c r="BD17" s="80">
        <v>50000000</v>
      </c>
      <c r="BE17" s="80">
        <v>50000000</v>
      </c>
      <c r="BF17" s="80">
        <v>50000000</v>
      </c>
      <c r="BG17" s="80">
        <v>50000000</v>
      </c>
      <c r="BH17" s="80">
        <v>50000000</v>
      </c>
      <c r="BI17" s="80">
        <v>50000000</v>
      </c>
      <c r="BJ17" s="80">
        <v>50000000</v>
      </c>
      <c r="BK17" s="80">
        <v>50000000</v>
      </c>
      <c r="BL17" s="80">
        <v>50000000</v>
      </c>
      <c r="BM17" s="80">
        <v>50000000</v>
      </c>
      <c r="BN17" s="80">
        <v>50000000</v>
      </c>
      <c r="BO17" s="80">
        <v>50000000</v>
      </c>
      <c r="BP17" s="80">
        <v>50000000</v>
      </c>
      <c r="BQ17" s="80">
        <v>50000000</v>
      </c>
      <c r="BR17" s="80">
        <v>50000000</v>
      </c>
      <c r="BS17" s="80">
        <v>50000000</v>
      </c>
      <c r="BT17" s="80">
        <v>50000000</v>
      </c>
      <c r="BU17" s="80">
        <v>50000000</v>
      </c>
      <c r="BV17" s="80">
        <v>50000000</v>
      </c>
      <c r="BW17" s="80">
        <v>50000000</v>
      </c>
      <c r="BX17" s="80">
        <v>50000000</v>
      </c>
      <c r="BY17" s="80">
        <v>50000000</v>
      </c>
      <c r="BZ17" s="80">
        <v>50000000</v>
      </c>
      <c r="CA17" s="80">
        <v>50000000</v>
      </c>
      <c r="CB17" s="80">
        <v>50000000</v>
      </c>
      <c r="CC17" s="80">
        <v>50000000</v>
      </c>
      <c r="CD17" s="80">
        <v>50000000</v>
      </c>
      <c r="CE17" s="80">
        <v>50000000</v>
      </c>
      <c r="CF17" s="80">
        <v>50000000</v>
      </c>
      <c r="CG17" s="80">
        <v>50000000</v>
      </c>
      <c r="CH17" s="80">
        <v>50000000</v>
      </c>
      <c r="CI17" s="80">
        <v>50000000</v>
      </c>
      <c r="CJ17" s="80">
        <v>50000000</v>
      </c>
      <c r="CK17" s="80">
        <v>50000000</v>
      </c>
      <c r="CL17" s="80">
        <v>50000000</v>
      </c>
      <c r="CM17" s="80">
        <v>50000000</v>
      </c>
      <c r="CN17" s="80">
        <v>50000000</v>
      </c>
      <c r="CO17" s="80">
        <v>50000000</v>
      </c>
      <c r="CP17" s="80">
        <v>50000000</v>
      </c>
      <c r="CQ17" s="80">
        <v>50000000</v>
      </c>
      <c r="CR17" s="80">
        <v>50000000</v>
      </c>
      <c r="CS17" s="80">
        <v>50000000</v>
      </c>
      <c r="CT17" s="80">
        <v>50000000</v>
      </c>
      <c r="CU17" s="80">
        <v>50000000</v>
      </c>
      <c r="CV17" s="80">
        <v>50000000</v>
      </c>
      <c r="CW17" s="80">
        <v>50000000</v>
      </c>
      <c r="CX17" s="80">
        <v>50000000</v>
      </c>
      <c r="CY17" s="80">
        <v>50000000</v>
      </c>
      <c r="CZ17" s="80">
        <v>50000000</v>
      </c>
      <c r="DA17" s="80">
        <v>50000000</v>
      </c>
      <c r="DB17" s="80">
        <v>50000000</v>
      </c>
      <c r="DC17" s="80">
        <v>50000000</v>
      </c>
      <c r="DD17" s="80">
        <v>50000000</v>
      </c>
      <c r="DE17" s="80">
        <v>50000000</v>
      </c>
      <c r="DF17" s="80">
        <v>50000000</v>
      </c>
      <c r="DG17" s="80">
        <v>50000000</v>
      </c>
      <c r="DH17" s="80">
        <v>50000000</v>
      </c>
      <c r="DI17" s="80">
        <v>50000000</v>
      </c>
      <c r="DJ17" s="80">
        <v>50000000</v>
      </c>
      <c r="DK17" s="80">
        <v>50000000</v>
      </c>
      <c r="DL17" s="80">
        <v>50000000</v>
      </c>
      <c r="DM17" s="80">
        <v>50000000</v>
      </c>
      <c r="DN17" s="80">
        <v>50000000</v>
      </c>
      <c r="DO17" s="80">
        <v>50000000</v>
      </c>
      <c r="DP17" s="80">
        <v>50000000</v>
      </c>
      <c r="DQ17" s="80">
        <v>50000000</v>
      </c>
      <c r="DR17" s="80">
        <v>50000000</v>
      </c>
      <c r="DS17" s="80">
        <v>50000000</v>
      </c>
      <c r="DT17" s="80">
        <v>50000000</v>
      </c>
      <c r="DV17" s="92">
        <f t="shared" ref="DV17" si="22">SUM(E17:P17)</f>
        <v>0</v>
      </c>
      <c r="DW17" s="92">
        <f t="shared" ref="DW17" si="23">SUM(F17:Q17)</f>
        <v>50000000</v>
      </c>
      <c r="DX17" s="92">
        <f t="shared" ref="DX17" si="24">SUM(G17:R17)</f>
        <v>100000000</v>
      </c>
      <c r="DY17" s="92">
        <f t="shared" ref="DY17" si="25">SUM(H17:S17)</f>
        <v>150000000</v>
      </c>
      <c r="DZ17" s="92">
        <f t="shared" ref="DZ17" si="26">SUM(I17:T17)</f>
        <v>200000000</v>
      </c>
      <c r="EA17" s="92">
        <f t="shared" ref="EA17" si="27">SUM(J17:U17)</f>
        <v>250000000</v>
      </c>
      <c r="EB17" s="92">
        <f t="shared" ref="EB17" si="28">SUM(K17:V17)</f>
        <v>300000000</v>
      </c>
      <c r="EC17" s="92">
        <f t="shared" ref="EC17" si="29">SUM(L17:W17)</f>
        <v>350000000</v>
      </c>
      <c r="ED17" s="92">
        <f t="shared" ref="ED17" si="30">SUM(M17:X17)</f>
        <v>400000000</v>
      </c>
      <c r="EE17" s="92">
        <f t="shared" ref="EE17" si="31">SUM(N17:Y17)</f>
        <v>450000000</v>
      </c>
    </row>
    <row r="18" spans="2:135">
      <c r="B18" s="8" t="s">
        <v>405</v>
      </c>
      <c r="C18" s="5" t="s">
        <v>35</v>
      </c>
      <c r="D18" s="91">
        <f t="shared" si="10"/>
        <v>3000000.2399999951</v>
      </c>
      <c r="E18" s="80">
        <f>'Приложение (затраты)'!D6</f>
        <v>0</v>
      </c>
      <c r="F18" s="80">
        <v>0</v>
      </c>
      <c r="G18" s="80">
        <f>'Приложение (затраты)'!F6</f>
        <v>0</v>
      </c>
      <c r="H18" s="80">
        <v>0</v>
      </c>
      <c r="I18" s="80">
        <f>'Приложение (затраты)'!H6</f>
        <v>0</v>
      </c>
      <c r="J18" s="80">
        <v>0</v>
      </c>
      <c r="K18" s="80">
        <f>'Приложение (затраты)'!J6</f>
        <v>0</v>
      </c>
      <c r="L18" s="80">
        <v>0</v>
      </c>
      <c r="M18" s="80">
        <f>'Приложение (затраты)'!L6</f>
        <v>0</v>
      </c>
      <c r="N18" s="80">
        <v>0</v>
      </c>
      <c r="O18" s="80">
        <f>'Приложение (затраты)'!N6</f>
        <v>0</v>
      </c>
      <c r="P18" s="80">
        <v>0</v>
      </c>
      <c r="Q18" s="80">
        <v>27777.78</v>
      </c>
      <c r="R18" s="80">
        <v>27777.78</v>
      </c>
      <c r="S18" s="80">
        <v>27777.78</v>
      </c>
      <c r="T18" s="80">
        <v>27777.78</v>
      </c>
      <c r="U18" s="80">
        <v>27777.78</v>
      </c>
      <c r="V18" s="80">
        <v>27777.78</v>
      </c>
      <c r="W18" s="80">
        <v>27777.78</v>
      </c>
      <c r="X18" s="80">
        <v>27777.78</v>
      </c>
      <c r="Y18" s="80">
        <v>27777.78</v>
      </c>
      <c r="Z18" s="80">
        <v>27777.78</v>
      </c>
      <c r="AA18" s="80">
        <v>27777.78</v>
      </c>
      <c r="AB18" s="80">
        <v>27777.78</v>
      </c>
      <c r="AC18" s="80">
        <v>27777.78</v>
      </c>
      <c r="AD18" s="80">
        <v>27777.78</v>
      </c>
      <c r="AE18" s="80">
        <v>27777.78</v>
      </c>
      <c r="AF18" s="80">
        <v>27777.78</v>
      </c>
      <c r="AG18" s="80">
        <v>27777.78</v>
      </c>
      <c r="AH18" s="80">
        <v>27777.78</v>
      </c>
      <c r="AI18" s="80">
        <v>27777.78</v>
      </c>
      <c r="AJ18" s="80">
        <v>27777.78</v>
      </c>
      <c r="AK18" s="80">
        <v>27777.78</v>
      </c>
      <c r="AL18" s="80">
        <v>27777.78</v>
      </c>
      <c r="AM18" s="80">
        <v>27777.78</v>
      </c>
      <c r="AN18" s="80">
        <v>27777.78</v>
      </c>
      <c r="AO18" s="80">
        <v>27777.78</v>
      </c>
      <c r="AP18" s="80">
        <v>27777.78</v>
      </c>
      <c r="AQ18" s="80">
        <v>27777.78</v>
      </c>
      <c r="AR18" s="80">
        <v>27777.78</v>
      </c>
      <c r="AS18" s="80">
        <v>27777.78</v>
      </c>
      <c r="AT18" s="80">
        <v>27777.78</v>
      </c>
      <c r="AU18" s="80">
        <v>27777.78</v>
      </c>
      <c r="AV18" s="80">
        <v>27777.78</v>
      </c>
      <c r="AW18" s="80">
        <v>27777.78</v>
      </c>
      <c r="AX18" s="80">
        <v>27777.78</v>
      </c>
      <c r="AY18" s="80">
        <v>27777.78</v>
      </c>
      <c r="AZ18" s="80">
        <v>27777.78</v>
      </c>
      <c r="BA18" s="80">
        <v>27777.78</v>
      </c>
      <c r="BB18" s="80">
        <v>27777.78</v>
      </c>
      <c r="BC18" s="80">
        <v>27777.78</v>
      </c>
      <c r="BD18" s="80">
        <v>27777.78</v>
      </c>
      <c r="BE18" s="80">
        <v>27777.78</v>
      </c>
      <c r="BF18" s="80">
        <v>27777.78</v>
      </c>
      <c r="BG18" s="80">
        <v>27777.78</v>
      </c>
      <c r="BH18" s="80">
        <v>27777.78</v>
      </c>
      <c r="BI18" s="80">
        <v>27777.78</v>
      </c>
      <c r="BJ18" s="80">
        <v>27777.78</v>
      </c>
      <c r="BK18" s="80">
        <v>27777.78</v>
      </c>
      <c r="BL18" s="80">
        <v>27777.78</v>
      </c>
      <c r="BM18" s="80">
        <v>27777.78</v>
      </c>
      <c r="BN18" s="80">
        <v>27777.78</v>
      </c>
      <c r="BO18" s="80">
        <v>27777.78</v>
      </c>
      <c r="BP18" s="80">
        <v>27777.78</v>
      </c>
      <c r="BQ18" s="80">
        <v>27777.78</v>
      </c>
      <c r="BR18" s="80">
        <v>27777.78</v>
      </c>
      <c r="BS18" s="80">
        <v>27777.78</v>
      </c>
      <c r="BT18" s="80">
        <v>27777.78</v>
      </c>
      <c r="BU18" s="80">
        <v>27777.78</v>
      </c>
      <c r="BV18" s="80">
        <v>27777.78</v>
      </c>
      <c r="BW18" s="80">
        <v>27777.78</v>
      </c>
      <c r="BX18" s="80">
        <v>27777.78</v>
      </c>
      <c r="BY18" s="80">
        <v>27777.78</v>
      </c>
      <c r="BZ18" s="80">
        <v>27777.78</v>
      </c>
      <c r="CA18" s="80">
        <v>27777.78</v>
      </c>
      <c r="CB18" s="80">
        <v>27777.78</v>
      </c>
      <c r="CC18" s="80">
        <v>27777.78</v>
      </c>
      <c r="CD18" s="80">
        <v>27777.78</v>
      </c>
      <c r="CE18" s="80">
        <v>27777.78</v>
      </c>
      <c r="CF18" s="80">
        <v>27777.78</v>
      </c>
      <c r="CG18" s="80">
        <v>27777.78</v>
      </c>
      <c r="CH18" s="80">
        <v>27777.78</v>
      </c>
      <c r="CI18" s="80">
        <v>27777.78</v>
      </c>
      <c r="CJ18" s="80">
        <v>27777.78</v>
      </c>
      <c r="CK18" s="80">
        <v>27777.78</v>
      </c>
      <c r="CL18" s="80">
        <v>27777.78</v>
      </c>
      <c r="CM18" s="80">
        <v>27777.78</v>
      </c>
      <c r="CN18" s="80">
        <v>27777.78</v>
      </c>
      <c r="CO18" s="80">
        <v>27777.78</v>
      </c>
      <c r="CP18" s="80">
        <v>27777.78</v>
      </c>
      <c r="CQ18" s="80">
        <v>27777.78</v>
      </c>
      <c r="CR18" s="80">
        <v>27777.78</v>
      </c>
      <c r="CS18" s="80">
        <v>27777.78</v>
      </c>
      <c r="CT18" s="80">
        <v>27777.78</v>
      </c>
      <c r="CU18" s="80">
        <v>27777.78</v>
      </c>
      <c r="CV18" s="80">
        <v>27777.78</v>
      </c>
      <c r="CW18" s="80">
        <v>27777.78</v>
      </c>
      <c r="CX18" s="80">
        <v>27777.78</v>
      </c>
      <c r="CY18" s="80">
        <v>27777.78</v>
      </c>
      <c r="CZ18" s="80">
        <v>27777.78</v>
      </c>
      <c r="DA18" s="80">
        <v>27777.78</v>
      </c>
      <c r="DB18" s="80">
        <v>27777.78</v>
      </c>
      <c r="DC18" s="80">
        <v>27777.78</v>
      </c>
      <c r="DD18" s="80">
        <v>27777.78</v>
      </c>
      <c r="DE18" s="80">
        <v>27777.78</v>
      </c>
      <c r="DF18" s="80">
        <v>27777.78</v>
      </c>
      <c r="DG18" s="80">
        <v>27777.78</v>
      </c>
      <c r="DH18" s="80">
        <v>27777.78</v>
      </c>
      <c r="DI18" s="80">
        <v>27777.78</v>
      </c>
      <c r="DJ18" s="80">
        <v>27777.78</v>
      </c>
      <c r="DK18" s="80">
        <v>27777.78</v>
      </c>
      <c r="DL18" s="80">
        <v>27777.78</v>
      </c>
      <c r="DM18" s="80">
        <v>27777.78</v>
      </c>
      <c r="DN18" s="80">
        <v>27777.78</v>
      </c>
      <c r="DO18" s="80">
        <v>27777.78</v>
      </c>
      <c r="DP18" s="80">
        <v>27777.78</v>
      </c>
      <c r="DQ18" s="80">
        <v>27777.78</v>
      </c>
      <c r="DR18" s="80">
        <v>27777.78</v>
      </c>
      <c r="DS18" s="80">
        <v>27777.78</v>
      </c>
      <c r="DT18" s="80">
        <v>27777.78</v>
      </c>
      <c r="DV18" s="92">
        <f>SUM(E21:P21)</f>
        <v>1200000000</v>
      </c>
      <c r="DW18" s="92">
        <f t="shared" ref="DW18:EE18" si="32">SUM(F21:Q21)</f>
        <v>1200000000</v>
      </c>
      <c r="DX18" s="92">
        <f t="shared" si="32"/>
        <v>1200000000</v>
      </c>
      <c r="DY18" s="92">
        <f t="shared" si="32"/>
        <v>1200000000</v>
      </c>
      <c r="DZ18" s="92">
        <f t="shared" si="32"/>
        <v>1200000000</v>
      </c>
      <c r="EA18" s="92">
        <f t="shared" si="32"/>
        <v>1200000000</v>
      </c>
      <c r="EB18" s="92">
        <f t="shared" si="32"/>
        <v>1200000000</v>
      </c>
      <c r="EC18" s="92">
        <f t="shared" si="32"/>
        <v>1200000000</v>
      </c>
      <c r="ED18" s="92">
        <f t="shared" si="32"/>
        <v>1200000000</v>
      </c>
      <c r="EE18" s="92">
        <f t="shared" si="32"/>
        <v>1200000000</v>
      </c>
    </row>
    <row r="19" spans="2:135">
      <c r="B19" s="8" t="s">
        <v>453</v>
      </c>
      <c r="C19" s="5"/>
      <c r="D19" s="91"/>
      <c r="E19" s="80">
        <v>803333333</v>
      </c>
      <c r="F19" s="80">
        <v>803333333</v>
      </c>
      <c r="G19" s="80">
        <v>803333333</v>
      </c>
      <c r="H19" s="80">
        <v>803333333</v>
      </c>
      <c r="I19" s="80">
        <v>803333333</v>
      </c>
      <c r="J19" s="80">
        <v>803333333</v>
      </c>
      <c r="K19" s="80">
        <v>803333333</v>
      </c>
      <c r="L19" s="80">
        <v>803333333</v>
      </c>
      <c r="M19" s="80">
        <v>803333333</v>
      </c>
      <c r="N19" s="80">
        <v>803333333</v>
      </c>
      <c r="O19" s="80">
        <v>803333333</v>
      </c>
      <c r="P19" s="80">
        <v>803333333</v>
      </c>
      <c r="Q19" s="80">
        <v>803333333</v>
      </c>
      <c r="R19" s="80">
        <v>803333333</v>
      </c>
      <c r="S19" s="80">
        <v>803333333</v>
      </c>
      <c r="T19" s="80">
        <v>803333333</v>
      </c>
      <c r="U19" s="80">
        <v>803333333</v>
      </c>
      <c r="V19" s="80">
        <v>803333333</v>
      </c>
      <c r="W19" s="80">
        <v>803333333</v>
      </c>
      <c r="X19" s="80">
        <v>803333333</v>
      </c>
      <c r="Y19" s="80">
        <v>803333333</v>
      </c>
      <c r="Z19" s="80">
        <v>803333333</v>
      </c>
      <c r="AA19" s="80">
        <v>803333333</v>
      </c>
      <c r="AB19" s="80">
        <v>803333333</v>
      </c>
      <c r="AC19" s="80">
        <v>803333333</v>
      </c>
      <c r="AD19" s="80">
        <v>803333333</v>
      </c>
      <c r="AE19" s="80">
        <v>803333333</v>
      </c>
      <c r="AF19" s="80">
        <v>803333333</v>
      </c>
      <c r="AG19" s="80">
        <v>803333333</v>
      </c>
      <c r="AH19" s="80">
        <v>803333333</v>
      </c>
      <c r="AI19" s="80">
        <v>803333333</v>
      </c>
      <c r="AJ19" s="80">
        <v>803333333</v>
      </c>
      <c r="AK19" s="80">
        <v>803333333</v>
      </c>
      <c r="AL19" s="80">
        <v>803333333</v>
      </c>
      <c r="AM19" s="80">
        <v>803333333</v>
      </c>
      <c r="AN19" s="80">
        <v>803333333</v>
      </c>
      <c r="AO19" s="80">
        <v>803333333</v>
      </c>
      <c r="AP19" s="80">
        <v>803333333</v>
      </c>
      <c r="AQ19" s="80">
        <v>803333333</v>
      </c>
      <c r="AR19" s="80">
        <v>803333333</v>
      </c>
      <c r="AS19" s="80">
        <v>803333333</v>
      </c>
      <c r="AT19" s="80">
        <v>803333333</v>
      </c>
      <c r="AU19" s="80">
        <v>803333333</v>
      </c>
      <c r="AV19" s="80">
        <v>803333333</v>
      </c>
      <c r="AW19" s="80">
        <v>803333333</v>
      </c>
      <c r="AX19" s="80">
        <v>803333333</v>
      </c>
      <c r="AY19" s="80">
        <v>803333333</v>
      </c>
      <c r="AZ19" s="80">
        <v>803333333</v>
      </c>
      <c r="BA19" s="80">
        <v>803333333</v>
      </c>
      <c r="BB19" s="80">
        <v>803333333</v>
      </c>
      <c r="BC19" s="80">
        <v>803333333</v>
      </c>
      <c r="BD19" s="80">
        <v>803333333</v>
      </c>
      <c r="BE19" s="80">
        <v>803333333</v>
      </c>
      <c r="BF19" s="80">
        <v>803333333</v>
      </c>
      <c r="BG19" s="80">
        <v>803333333</v>
      </c>
      <c r="BH19" s="80">
        <v>803333333</v>
      </c>
      <c r="BI19" s="80">
        <v>803333333</v>
      </c>
      <c r="BJ19" s="80">
        <v>803333333</v>
      </c>
      <c r="BK19" s="80">
        <v>803333333</v>
      </c>
      <c r="BL19" s="80">
        <v>803333333</v>
      </c>
      <c r="BM19" s="80">
        <v>803333333</v>
      </c>
      <c r="BN19" s="80">
        <v>803333333</v>
      </c>
      <c r="BO19" s="80">
        <v>803333333</v>
      </c>
      <c r="BP19" s="80">
        <v>803333333</v>
      </c>
      <c r="BQ19" s="80">
        <v>803333333</v>
      </c>
      <c r="BR19" s="80">
        <v>803333333</v>
      </c>
      <c r="BS19" s="80">
        <v>803333333</v>
      </c>
      <c r="BT19" s="80">
        <v>803333333</v>
      </c>
      <c r="BU19" s="80">
        <v>803333333</v>
      </c>
      <c r="BV19" s="80">
        <v>803333333</v>
      </c>
      <c r="BW19" s="80">
        <v>803333333</v>
      </c>
      <c r="BX19" s="80">
        <v>803333333</v>
      </c>
      <c r="BY19" s="80">
        <v>803333333</v>
      </c>
      <c r="BZ19" s="80">
        <v>803333333</v>
      </c>
      <c r="CA19" s="80">
        <v>803333333</v>
      </c>
      <c r="CB19" s="80">
        <v>803333333</v>
      </c>
      <c r="CC19" s="80">
        <v>803333333</v>
      </c>
      <c r="CD19" s="80">
        <v>803333333</v>
      </c>
      <c r="CE19" s="80">
        <v>803333333</v>
      </c>
      <c r="CF19" s="80">
        <v>803333333</v>
      </c>
      <c r="CG19" s="80">
        <v>803333333</v>
      </c>
      <c r="CH19" s="80">
        <v>803333333</v>
      </c>
      <c r="CI19" s="80">
        <v>803333333</v>
      </c>
      <c r="CJ19" s="80">
        <v>803333333</v>
      </c>
      <c r="CK19" s="80">
        <v>803333333</v>
      </c>
      <c r="CL19" s="80">
        <v>803333333</v>
      </c>
      <c r="CM19" s="80">
        <v>803333333</v>
      </c>
      <c r="CN19" s="80">
        <v>803333333</v>
      </c>
      <c r="CO19" s="80">
        <v>803333333</v>
      </c>
      <c r="CP19" s="80">
        <v>803333333</v>
      </c>
      <c r="CQ19" s="80">
        <v>803333333</v>
      </c>
      <c r="CR19" s="80">
        <v>803333333</v>
      </c>
      <c r="CS19" s="80">
        <v>803333333</v>
      </c>
      <c r="CT19" s="80">
        <v>803333333</v>
      </c>
      <c r="CU19" s="80">
        <v>803333333</v>
      </c>
      <c r="CV19" s="80">
        <v>803333333</v>
      </c>
      <c r="CW19" s="80">
        <v>803333333</v>
      </c>
      <c r="CX19" s="80">
        <v>803333333</v>
      </c>
      <c r="CY19" s="80">
        <v>803333333</v>
      </c>
      <c r="CZ19" s="80">
        <v>803333333</v>
      </c>
      <c r="DA19" s="80">
        <v>803333333</v>
      </c>
      <c r="DB19" s="80">
        <v>803333333</v>
      </c>
      <c r="DC19" s="80">
        <v>803333333</v>
      </c>
      <c r="DD19" s="80">
        <v>803333333</v>
      </c>
      <c r="DE19" s="80">
        <v>803333333</v>
      </c>
      <c r="DF19" s="80">
        <v>803333333</v>
      </c>
      <c r="DG19" s="80">
        <v>803333333</v>
      </c>
      <c r="DH19" s="80">
        <v>803333333</v>
      </c>
      <c r="DI19" s="80">
        <v>803333333</v>
      </c>
      <c r="DJ19" s="80">
        <v>803333333</v>
      </c>
      <c r="DK19" s="80">
        <v>803333333</v>
      </c>
      <c r="DL19" s="80">
        <v>803333333</v>
      </c>
      <c r="DM19" s="80">
        <v>803333333</v>
      </c>
      <c r="DN19" s="80">
        <v>803333333</v>
      </c>
      <c r="DO19" s="80">
        <v>803333333</v>
      </c>
      <c r="DP19" s="80">
        <v>803333333</v>
      </c>
      <c r="DQ19" s="80">
        <v>803333333</v>
      </c>
      <c r="DR19" s="80">
        <v>803333333</v>
      </c>
      <c r="DS19" s="80">
        <v>803333333</v>
      </c>
      <c r="DT19" s="80">
        <v>803333333</v>
      </c>
      <c r="DV19" s="92"/>
      <c r="DW19" s="92"/>
      <c r="DX19" s="92"/>
      <c r="DY19" s="92"/>
      <c r="DZ19" s="92"/>
      <c r="EA19" s="92"/>
      <c r="EB19" s="92"/>
      <c r="EC19" s="92"/>
      <c r="ED19" s="92"/>
      <c r="EE19" s="92"/>
    </row>
    <row r="20" spans="2:135">
      <c r="B20" s="89" t="s">
        <v>59</v>
      </c>
      <c r="C20" s="89"/>
      <c r="D20" s="89">
        <f>SUM(D11:D18)</f>
        <v>5455360000.8000002</v>
      </c>
      <c r="E20" s="222">
        <f>SUM(E11:E19)</f>
        <v>803333333</v>
      </c>
      <c r="F20" s="222">
        <f t="shared" ref="F20:BQ20" si="33">SUM(F11:F19)</f>
        <v>803333333</v>
      </c>
      <c r="G20" s="222">
        <f t="shared" si="33"/>
        <v>803333333</v>
      </c>
      <c r="H20" s="222">
        <f t="shared" si="33"/>
        <v>803333333</v>
      </c>
      <c r="I20" s="222">
        <f t="shared" si="33"/>
        <v>803333333</v>
      </c>
      <c r="J20" s="222">
        <f t="shared" si="33"/>
        <v>803333333</v>
      </c>
      <c r="K20" s="222">
        <f t="shared" si="33"/>
        <v>803333333</v>
      </c>
      <c r="L20" s="222">
        <f t="shared" si="33"/>
        <v>803333333</v>
      </c>
      <c r="M20" s="222">
        <f t="shared" si="33"/>
        <v>803333333</v>
      </c>
      <c r="N20" s="222">
        <f t="shared" si="33"/>
        <v>803333333</v>
      </c>
      <c r="O20" s="222">
        <f t="shared" si="33"/>
        <v>803333333</v>
      </c>
      <c r="P20" s="222">
        <f t="shared" si="33"/>
        <v>803333333</v>
      </c>
      <c r="Q20" s="222">
        <f t="shared" si="33"/>
        <v>853825925.60000002</v>
      </c>
      <c r="R20" s="222">
        <f t="shared" si="33"/>
        <v>853825925.60000002</v>
      </c>
      <c r="S20" s="222">
        <f t="shared" si="33"/>
        <v>853825925.60000002</v>
      </c>
      <c r="T20" s="222">
        <f t="shared" si="33"/>
        <v>853825925.60000002</v>
      </c>
      <c r="U20" s="222">
        <f t="shared" si="33"/>
        <v>853825925.60000002</v>
      </c>
      <c r="V20" s="222">
        <f t="shared" si="33"/>
        <v>853825925.60000002</v>
      </c>
      <c r="W20" s="222">
        <f t="shared" si="33"/>
        <v>853825925.60000002</v>
      </c>
      <c r="X20" s="222">
        <f t="shared" si="33"/>
        <v>853825925.60000002</v>
      </c>
      <c r="Y20" s="222">
        <f t="shared" si="33"/>
        <v>853825925.60000002</v>
      </c>
      <c r="Z20" s="222">
        <f t="shared" si="33"/>
        <v>853825925.60000002</v>
      </c>
      <c r="AA20" s="222">
        <f t="shared" si="33"/>
        <v>853825925.60000002</v>
      </c>
      <c r="AB20" s="222">
        <f t="shared" si="33"/>
        <v>853825925.60000002</v>
      </c>
      <c r="AC20" s="222">
        <f t="shared" si="33"/>
        <v>853830925.60000002</v>
      </c>
      <c r="AD20" s="222">
        <f t="shared" si="33"/>
        <v>853830925.60000002</v>
      </c>
      <c r="AE20" s="222">
        <f t="shared" si="33"/>
        <v>853830925.60000002</v>
      </c>
      <c r="AF20" s="222">
        <f t="shared" si="33"/>
        <v>853830925.60000002</v>
      </c>
      <c r="AG20" s="222">
        <f t="shared" si="33"/>
        <v>853830925.60000002</v>
      </c>
      <c r="AH20" s="222">
        <f t="shared" si="33"/>
        <v>853830925.60000002</v>
      </c>
      <c r="AI20" s="222">
        <f t="shared" si="33"/>
        <v>853830925.60000002</v>
      </c>
      <c r="AJ20" s="222">
        <f t="shared" si="33"/>
        <v>853830925.60000002</v>
      </c>
      <c r="AK20" s="222">
        <f t="shared" si="33"/>
        <v>853830925.60000002</v>
      </c>
      <c r="AL20" s="222">
        <f t="shared" si="33"/>
        <v>853830925.60000002</v>
      </c>
      <c r="AM20" s="222">
        <f t="shared" si="33"/>
        <v>853830925.60000002</v>
      </c>
      <c r="AN20" s="222">
        <f t="shared" si="33"/>
        <v>853830925.60000002</v>
      </c>
      <c r="AO20" s="222">
        <f t="shared" si="33"/>
        <v>853835925.60000002</v>
      </c>
      <c r="AP20" s="222">
        <f t="shared" si="33"/>
        <v>853835925.60000002</v>
      </c>
      <c r="AQ20" s="222">
        <f t="shared" si="33"/>
        <v>853835925.60000002</v>
      </c>
      <c r="AR20" s="222">
        <f t="shared" si="33"/>
        <v>853835925.60000002</v>
      </c>
      <c r="AS20" s="222">
        <f t="shared" si="33"/>
        <v>853835925.60000002</v>
      </c>
      <c r="AT20" s="222">
        <f t="shared" si="33"/>
        <v>853835925.60000002</v>
      </c>
      <c r="AU20" s="222">
        <f t="shared" si="33"/>
        <v>853835925.60000002</v>
      </c>
      <c r="AV20" s="222">
        <f t="shared" si="33"/>
        <v>853835925.60000002</v>
      </c>
      <c r="AW20" s="222">
        <f t="shared" si="33"/>
        <v>853835925.60000002</v>
      </c>
      <c r="AX20" s="222">
        <f t="shared" si="33"/>
        <v>853835925.60000002</v>
      </c>
      <c r="AY20" s="222">
        <f t="shared" si="33"/>
        <v>853835925.60000002</v>
      </c>
      <c r="AZ20" s="222">
        <f t="shared" si="33"/>
        <v>853835925.60000002</v>
      </c>
      <c r="BA20" s="222">
        <f t="shared" si="33"/>
        <v>853840925.60000002</v>
      </c>
      <c r="BB20" s="222">
        <f t="shared" si="33"/>
        <v>853840925.60000002</v>
      </c>
      <c r="BC20" s="222">
        <f t="shared" si="33"/>
        <v>853840925.60000002</v>
      </c>
      <c r="BD20" s="222">
        <f t="shared" si="33"/>
        <v>853840925.60000002</v>
      </c>
      <c r="BE20" s="222">
        <f t="shared" si="33"/>
        <v>853840925.60000002</v>
      </c>
      <c r="BF20" s="222">
        <f t="shared" si="33"/>
        <v>853840925.60000002</v>
      </c>
      <c r="BG20" s="222">
        <f t="shared" si="33"/>
        <v>853840925.60000002</v>
      </c>
      <c r="BH20" s="222">
        <f t="shared" si="33"/>
        <v>853840925.60000002</v>
      </c>
      <c r="BI20" s="222">
        <f t="shared" si="33"/>
        <v>853840925.60000002</v>
      </c>
      <c r="BJ20" s="222">
        <f t="shared" si="33"/>
        <v>853840925.60000002</v>
      </c>
      <c r="BK20" s="222">
        <f t="shared" si="33"/>
        <v>853840925.60000002</v>
      </c>
      <c r="BL20" s="222">
        <f t="shared" si="33"/>
        <v>853840925.60000002</v>
      </c>
      <c r="BM20" s="222">
        <f t="shared" si="33"/>
        <v>853845925.60000002</v>
      </c>
      <c r="BN20" s="222">
        <f t="shared" si="33"/>
        <v>853845925.60000002</v>
      </c>
      <c r="BO20" s="222">
        <f t="shared" si="33"/>
        <v>853845925.60000002</v>
      </c>
      <c r="BP20" s="222">
        <f t="shared" si="33"/>
        <v>853845925.60000002</v>
      </c>
      <c r="BQ20" s="222">
        <f t="shared" si="33"/>
        <v>853845925.60000002</v>
      </c>
      <c r="BR20" s="222">
        <f t="shared" ref="BR20:DT20" si="34">SUM(BR11:BR19)</f>
        <v>853845925.60000002</v>
      </c>
      <c r="BS20" s="222">
        <f t="shared" si="34"/>
        <v>853845925.60000002</v>
      </c>
      <c r="BT20" s="222">
        <f t="shared" si="34"/>
        <v>853845925.60000002</v>
      </c>
      <c r="BU20" s="222">
        <f t="shared" si="34"/>
        <v>853845925.60000002</v>
      </c>
      <c r="BV20" s="222">
        <f t="shared" si="34"/>
        <v>853845925.60000002</v>
      </c>
      <c r="BW20" s="222">
        <f t="shared" si="34"/>
        <v>853845925.60000002</v>
      </c>
      <c r="BX20" s="222">
        <f t="shared" si="34"/>
        <v>853845925.60000002</v>
      </c>
      <c r="BY20" s="222">
        <f t="shared" si="34"/>
        <v>853850925.60000002</v>
      </c>
      <c r="BZ20" s="222">
        <f t="shared" si="34"/>
        <v>853850925.60000002</v>
      </c>
      <c r="CA20" s="222">
        <f t="shared" si="34"/>
        <v>853850925.60000002</v>
      </c>
      <c r="CB20" s="222">
        <f t="shared" si="34"/>
        <v>853850925.60000002</v>
      </c>
      <c r="CC20" s="222">
        <f t="shared" si="34"/>
        <v>853850925.60000002</v>
      </c>
      <c r="CD20" s="222">
        <f t="shared" si="34"/>
        <v>853850925.60000002</v>
      </c>
      <c r="CE20" s="222">
        <f t="shared" si="34"/>
        <v>853850925.60000002</v>
      </c>
      <c r="CF20" s="222">
        <f t="shared" si="34"/>
        <v>853850925.60000002</v>
      </c>
      <c r="CG20" s="222">
        <f t="shared" si="34"/>
        <v>853850925.60000002</v>
      </c>
      <c r="CH20" s="222">
        <f t="shared" si="34"/>
        <v>853850925.60000002</v>
      </c>
      <c r="CI20" s="222">
        <f t="shared" si="34"/>
        <v>853850925.60000002</v>
      </c>
      <c r="CJ20" s="222">
        <f t="shared" si="34"/>
        <v>853850925.60000002</v>
      </c>
      <c r="CK20" s="222">
        <f t="shared" si="34"/>
        <v>853855925.60000002</v>
      </c>
      <c r="CL20" s="222">
        <f t="shared" si="34"/>
        <v>853855925.60000002</v>
      </c>
      <c r="CM20" s="222">
        <f t="shared" si="34"/>
        <v>853855925.60000002</v>
      </c>
      <c r="CN20" s="222">
        <f t="shared" si="34"/>
        <v>853855925.60000002</v>
      </c>
      <c r="CO20" s="222">
        <f t="shared" si="34"/>
        <v>853855925.60000002</v>
      </c>
      <c r="CP20" s="222">
        <f t="shared" si="34"/>
        <v>853855925.60000002</v>
      </c>
      <c r="CQ20" s="222">
        <f t="shared" si="34"/>
        <v>853855925.60000002</v>
      </c>
      <c r="CR20" s="222">
        <f t="shared" si="34"/>
        <v>853855925.60000002</v>
      </c>
      <c r="CS20" s="222">
        <f t="shared" si="34"/>
        <v>853855925.60000002</v>
      </c>
      <c r="CT20" s="222">
        <f t="shared" si="34"/>
        <v>853855925.60000002</v>
      </c>
      <c r="CU20" s="222">
        <f t="shared" si="34"/>
        <v>853855925.60000002</v>
      </c>
      <c r="CV20" s="222">
        <f t="shared" si="34"/>
        <v>853855925.60000002</v>
      </c>
      <c r="CW20" s="222">
        <f t="shared" si="34"/>
        <v>853860925.60000002</v>
      </c>
      <c r="CX20" s="222">
        <f t="shared" si="34"/>
        <v>853860925.60000002</v>
      </c>
      <c r="CY20" s="222">
        <f t="shared" si="34"/>
        <v>853860925.60000002</v>
      </c>
      <c r="CZ20" s="222">
        <f t="shared" si="34"/>
        <v>853860925.60000002</v>
      </c>
      <c r="DA20" s="222">
        <f t="shared" si="34"/>
        <v>853860925.60000002</v>
      </c>
      <c r="DB20" s="222">
        <f t="shared" si="34"/>
        <v>853860925.60000002</v>
      </c>
      <c r="DC20" s="222">
        <f t="shared" si="34"/>
        <v>853860925.60000002</v>
      </c>
      <c r="DD20" s="222">
        <f t="shared" si="34"/>
        <v>853860925.60000002</v>
      </c>
      <c r="DE20" s="222">
        <f t="shared" si="34"/>
        <v>853860925.60000002</v>
      </c>
      <c r="DF20" s="222">
        <f t="shared" si="34"/>
        <v>853860925.60000002</v>
      </c>
      <c r="DG20" s="222">
        <f t="shared" si="34"/>
        <v>853860925.60000002</v>
      </c>
      <c r="DH20" s="222">
        <f t="shared" si="34"/>
        <v>853860925.60000002</v>
      </c>
      <c r="DI20" s="222">
        <f t="shared" si="34"/>
        <v>853865925.60000002</v>
      </c>
      <c r="DJ20" s="222">
        <f t="shared" si="34"/>
        <v>853865925.60000002</v>
      </c>
      <c r="DK20" s="222">
        <f t="shared" si="34"/>
        <v>853865925.60000002</v>
      </c>
      <c r="DL20" s="222">
        <f t="shared" si="34"/>
        <v>853865925.60000002</v>
      </c>
      <c r="DM20" s="222">
        <f t="shared" si="34"/>
        <v>853865925.60000002</v>
      </c>
      <c r="DN20" s="222">
        <f t="shared" si="34"/>
        <v>853865925.60000002</v>
      </c>
      <c r="DO20" s="222">
        <f t="shared" si="34"/>
        <v>853865925.60000002</v>
      </c>
      <c r="DP20" s="222">
        <f t="shared" si="34"/>
        <v>853865925.60000002</v>
      </c>
      <c r="DQ20" s="222">
        <f t="shared" si="34"/>
        <v>853865925.60000002</v>
      </c>
      <c r="DR20" s="222">
        <f t="shared" si="34"/>
        <v>853865925.60000002</v>
      </c>
      <c r="DS20" s="222">
        <f t="shared" si="34"/>
        <v>853865925.60000002</v>
      </c>
      <c r="DT20" s="222">
        <f t="shared" si="34"/>
        <v>853865925.60000002</v>
      </c>
      <c r="DV20" s="92">
        <f t="shared" ref="DV20" si="35">SUM(E20:P20)</f>
        <v>9639999996</v>
      </c>
      <c r="DW20" s="92">
        <f t="shared" ref="DW20" si="36">SUM(F20:Q20)</f>
        <v>9690492588.6000004</v>
      </c>
      <c r="DX20" s="92">
        <f t="shared" ref="DX20" si="37">SUM(G20:R20)</f>
        <v>9740985181.2000008</v>
      </c>
      <c r="DY20" s="92">
        <f t="shared" ref="DY20" si="38">SUM(H20:S20)</f>
        <v>9791477773.8000011</v>
      </c>
      <c r="DZ20" s="92">
        <f t="shared" ref="DZ20" si="39">SUM(I20:T20)</f>
        <v>9841970366.4000015</v>
      </c>
      <c r="EA20" s="92">
        <f t="shared" ref="EA20" si="40">SUM(J20:U20)</f>
        <v>9892462959.0000019</v>
      </c>
      <c r="EB20" s="92">
        <f t="shared" ref="EB20" si="41">SUM(K20:V20)</f>
        <v>9942955551.6000023</v>
      </c>
      <c r="EC20" s="92">
        <f t="shared" ref="EC20" si="42">SUM(L20:W20)</f>
        <v>9993448144.2000027</v>
      </c>
      <c r="ED20" s="92">
        <f t="shared" ref="ED20" si="43">SUM(M20:X20)</f>
        <v>10043940736.800001</v>
      </c>
      <c r="EE20" s="92">
        <f t="shared" ref="EE20" si="44">SUM(N20:Y20)</f>
        <v>10094433329.400002</v>
      </c>
    </row>
    <row r="21" spans="2:135" ht="34.5" customHeight="1">
      <c r="B21" s="93" t="s">
        <v>68</v>
      </c>
      <c r="C21" s="93"/>
      <c r="D21" s="94"/>
      <c r="E21" s="95">
        <v>100000000</v>
      </c>
      <c r="F21" s="95">
        <v>100000000</v>
      </c>
      <c r="G21" s="95">
        <v>100000000</v>
      </c>
      <c r="H21" s="95">
        <v>100000000</v>
      </c>
      <c r="I21" s="95">
        <v>100000000</v>
      </c>
      <c r="J21" s="95">
        <v>100000000</v>
      </c>
      <c r="K21" s="95">
        <v>100000000</v>
      </c>
      <c r="L21" s="95">
        <v>100000000</v>
      </c>
      <c r="M21" s="95">
        <v>100000000</v>
      </c>
      <c r="N21" s="95">
        <v>100000000</v>
      </c>
      <c r="O21" s="95">
        <v>100000000</v>
      </c>
      <c r="P21" s="95">
        <v>100000000</v>
      </c>
      <c r="Q21" s="95">
        <v>100000000</v>
      </c>
      <c r="R21" s="95">
        <v>100000000</v>
      </c>
      <c r="S21" s="95">
        <v>100000000</v>
      </c>
      <c r="T21" s="95">
        <v>100000000</v>
      </c>
      <c r="U21" s="95">
        <v>100000000</v>
      </c>
      <c r="V21" s="95">
        <v>100000000</v>
      </c>
      <c r="W21" s="95">
        <v>100000000</v>
      </c>
      <c r="X21" s="95">
        <v>100000000</v>
      </c>
      <c r="Y21" s="95">
        <v>100000000</v>
      </c>
      <c r="Z21" s="95">
        <v>100000000</v>
      </c>
      <c r="AA21" s="95">
        <v>100000000</v>
      </c>
      <c r="AB21" s="95">
        <v>100000000</v>
      </c>
      <c r="AC21" s="95">
        <v>100000000</v>
      </c>
      <c r="AD21" s="95">
        <v>100000000</v>
      </c>
      <c r="AE21" s="95">
        <v>100000000</v>
      </c>
      <c r="AF21" s="95">
        <v>100000000</v>
      </c>
      <c r="AG21" s="95">
        <v>100000000</v>
      </c>
      <c r="AH21" s="95">
        <v>100000000</v>
      </c>
      <c r="AI21" s="95">
        <v>100000000</v>
      </c>
      <c r="AJ21" s="95">
        <v>100000000</v>
      </c>
      <c r="AK21" s="95">
        <v>100000000</v>
      </c>
      <c r="AL21" s="95">
        <v>100000000</v>
      </c>
      <c r="AM21" s="95">
        <v>100000000</v>
      </c>
      <c r="AN21" s="95">
        <v>100000000</v>
      </c>
      <c r="AO21" s="95">
        <v>100000000</v>
      </c>
      <c r="AP21" s="95">
        <v>100000000</v>
      </c>
      <c r="AQ21" s="95">
        <v>100000000</v>
      </c>
      <c r="AR21" s="95">
        <v>100000000</v>
      </c>
      <c r="AS21" s="95">
        <v>100000000</v>
      </c>
      <c r="AT21" s="95">
        <v>100000000</v>
      </c>
      <c r="AU21" s="95">
        <v>100000000</v>
      </c>
      <c r="AV21" s="95">
        <v>100000000</v>
      </c>
      <c r="AW21" s="95">
        <v>100000000</v>
      </c>
      <c r="AX21" s="95">
        <v>100000000</v>
      </c>
      <c r="AY21" s="95">
        <v>100000000</v>
      </c>
      <c r="AZ21" s="95">
        <v>100000000</v>
      </c>
      <c r="BA21" s="95">
        <v>100000000</v>
      </c>
      <c r="BB21" s="95">
        <v>100000000</v>
      </c>
      <c r="BC21" s="95">
        <v>100000000</v>
      </c>
      <c r="BD21" s="95">
        <v>100000000</v>
      </c>
      <c r="BE21" s="95">
        <v>100000000</v>
      </c>
      <c r="BF21" s="95">
        <v>100000000</v>
      </c>
      <c r="BG21" s="95">
        <v>100000000</v>
      </c>
      <c r="BH21" s="95">
        <v>100000000</v>
      </c>
      <c r="BI21" s="95">
        <v>100000000</v>
      </c>
      <c r="BJ21" s="95">
        <v>100000000</v>
      </c>
      <c r="BK21" s="95">
        <v>100000000</v>
      </c>
      <c r="BL21" s="95">
        <v>100000000</v>
      </c>
      <c r="BM21" s="95">
        <v>100000000</v>
      </c>
      <c r="BN21" s="95">
        <v>100000000</v>
      </c>
      <c r="BO21" s="95">
        <v>100000000</v>
      </c>
      <c r="BP21" s="95">
        <v>100000000</v>
      </c>
      <c r="BQ21" s="95">
        <v>100000000</v>
      </c>
      <c r="BR21" s="95">
        <v>100000000</v>
      </c>
      <c r="BS21" s="95">
        <v>100000000</v>
      </c>
      <c r="BT21" s="95">
        <v>100000000</v>
      </c>
      <c r="BU21" s="95">
        <v>100000000</v>
      </c>
      <c r="BV21" s="95">
        <v>100000000</v>
      </c>
      <c r="BW21" s="95">
        <v>100000000</v>
      </c>
      <c r="BX21" s="95">
        <v>100000000</v>
      </c>
      <c r="BY21" s="95">
        <v>100000000</v>
      </c>
      <c r="BZ21" s="95">
        <v>100000000</v>
      </c>
      <c r="CA21" s="95">
        <v>100000000</v>
      </c>
      <c r="CB21" s="95">
        <v>100000000</v>
      </c>
      <c r="CC21" s="95">
        <v>100000000</v>
      </c>
      <c r="CD21" s="95">
        <v>100000000</v>
      </c>
      <c r="CE21" s="95">
        <v>100000000</v>
      </c>
      <c r="CF21" s="95">
        <v>100000000</v>
      </c>
      <c r="CG21" s="95">
        <v>100000000</v>
      </c>
      <c r="CH21" s="95">
        <v>100000000</v>
      </c>
      <c r="CI21" s="95">
        <v>100000000</v>
      </c>
      <c r="CJ21" s="95">
        <v>100000000</v>
      </c>
      <c r="CK21" s="95">
        <v>100000000</v>
      </c>
      <c r="CL21" s="95">
        <v>100000000</v>
      </c>
      <c r="CM21" s="95">
        <v>100000000</v>
      </c>
      <c r="CN21" s="95">
        <v>100000000</v>
      </c>
      <c r="CO21" s="95">
        <v>100000000</v>
      </c>
      <c r="CP21" s="95">
        <v>100000000</v>
      </c>
      <c r="CQ21" s="95">
        <v>100000000</v>
      </c>
      <c r="CR21" s="95">
        <v>100000000</v>
      </c>
      <c r="CS21" s="95">
        <v>100000000</v>
      </c>
      <c r="CT21" s="95">
        <v>100000000</v>
      </c>
      <c r="CU21" s="95">
        <v>100000000</v>
      </c>
      <c r="CV21" s="95">
        <v>100000000</v>
      </c>
      <c r="CW21" s="95">
        <v>100000000</v>
      </c>
      <c r="CX21" s="95">
        <v>100000000</v>
      </c>
      <c r="CY21" s="95">
        <v>100000000</v>
      </c>
      <c r="CZ21" s="95">
        <v>100000000</v>
      </c>
      <c r="DA21" s="95">
        <v>100000000</v>
      </c>
      <c r="DB21" s="95">
        <v>100000000</v>
      </c>
      <c r="DC21" s="95">
        <v>100000000</v>
      </c>
      <c r="DD21" s="95">
        <v>100000000</v>
      </c>
      <c r="DE21" s="95">
        <v>100000000</v>
      </c>
      <c r="DF21" s="95">
        <v>100000000</v>
      </c>
      <c r="DG21" s="95">
        <v>100000000</v>
      </c>
      <c r="DH21" s="95">
        <v>100000000</v>
      </c>
      <c r="DI21" s="95">
        <v>100000000</v>
      </c>
      <c r="DJ21" s="95">
        <v>100000000</v>
      </c>
      <c r="DK21" s="95">
        <v>100000000</v>
      </c>
      <c r="DL21" s="95">
        <v>100000000</v>
      </c>
      <c r="DM21" s="95">
        <v>100000000</v>
      </c>
      <c r="DN21" s="95">
        <v>100000000</v>
      </c>
      <c r="DO21" s="95">
        <v>100000000</v>
      </c>
      <c r="DP21" s="95">
        <v>100000000</v>
      </c>
      <c r="DQ21" s="95">
        <v>100000000</v>
      </c>
      <c r="DR21" s="95">
        <v>100000000</v>
      </c>
      <c r="DS21" s="95">
        <v>100000000</v>
      </c>
      <c r="DT21" s="95">
        <v>100000000</v>
      </c>
      <c r="DV21" s="96">
        <f>SUM(E21:P21)</f>
        <v>1200000000</v>
      </c>
      <c r="DW21" s="96">
        <f t="shared" ref="DW21:EE21" si="45">SUM(F21:Q21)</f>
        <v>1200000000</v>
      </c>
      <c r="DX21" s="96">
        <f t="shared" si="45"/>
        <v>1200000000</v>
      </c>
      <c r="DY21" s="96">
        <f t="shared" si="45"/>
        <v>1200000000</v>
      </c>
      <c r="DZ21" s="96">
        <f t="shared" si="45"/>
        <v>1200000000</v>
      </c>
      <c r="EA21" s="96">
        <f t="shared" si="45"/>
        <v>1200000000</v>
      </c>
      <c r="EB21" s="96">
        <f t="shared" si="45"/>
        <v>1200000000</v>
      </c>
      <c r="EC21" s="96">
        <f t="shared" si="45"/>
        <v>1200000000</v>
      </c>
      <c r="ED21" s="96">
        <f t="shared" si="45"/>
        <v>1200000000</v>
      </c>
      <c r="EE21" s="96">
        <f t="shared" si="45"/>
        <v>1200000000</v>
      </c>
    </row>
    <row r="22" spans="2:135" ht="14.75" customHeight="1">
      <c r="B22" s="93" t="s">
        <v>447</v>
      </c>
      <c r="C22" s="93"/>
      <c r="D22" s="94"/>
      <c r="E22" s="95">
        <f>E23</f>
        <v>171666</v>
      </c>
      <c r="F22" s="95">
        <f t="shared" ref="F22:BQ22" si="46">F23</f>
        <v>171666</v>
      </c>
      <c r="G22" s="95">
        <f t="shared" si="46"/>
        <v>171666</v>
      </c>
      <c r="H22" s="95">
        <f t="shared" si="46"/>
        <v>171666</v>
      </c>
      <c r="I22" s="95">
        <f t="shared" si="46"/>
        <v>171666</v>
      </c>
      <c r="J22" s="95">
        <f t="shared" si="46"/>
        <v>171666</v>
      </c>
      <c r="K22" s="95">
        <f t="shared" si="46"/>
        <v>171666</v>
      </c>
      <c r="L22" s="95">
        <f t="shared" si="46"/>
        <v>171666</v>
      </c>
      <c r="M22" s="95">
        <f t="shared" si="46"/>
        <v>171666</v>
      </c>
      <c r="N22" s="95">
        <f t="shared" si="46"/>
        <v>171666</v>
      </c>
      <c r="O22" s="95">
        <f t="shared" si="46"/>
        <v>171666</v>
      </c>
      <c r="P22" s="95">
        <f t="shared" si="46"/>
        <v>171666</v>
      </c>
      <c r="Q22" s="95">
        <f t="shared" si="46"/>
        <v>0</v>
      </c>
      <c r="R22" s="95">
        <f t="shared" si="46"/>
        <v>0</v>
      </c>
      <c r="S22" s="95">
        <f t="shared" si="46"/>
        <v>0</v>
      </c>
      <c r="T22" s="95">
        <f t="shared" si="46"/>
        <v>0</v>
      </c>
      <c r="U22" s="95">
        <f t="shared" si="46"/>
        <v>0</v>
      </c>
      <c r="V22" s="95">
        <f t="shared" si="46"/>
        <v>0</v>
      </c>
      <c r="W22" s="95">
        <f t="shared" si="46"/>
        <v>0</v>
      </c>
      <c r="X22" s="95">
        <f t="shared" si="46"/>
        <v>0</v>
      </c>
      <c r="Y22" s="95">
        <f t="shared" si="46"/>
        <v>0</v>
      </c>
      <c r="Z22" s="95">
        <f t="shared" si="46"/>
        <v>0</v>
      </c>
      <c r="AA22" s="95">
        <f t="shared" si="46"/>
        <v>0</v>
      </c>
      <c r="AB22" s="95">
        <f t="shared" si="46"/>
        <v>0</v>
      </c>
      <c r="AC22" s="95">
        <f t="shared" si="46"/>
        <v>0</v>
      </c>
      <c r="AD22" s="95">
        <f t="shared" si="46"/>
        <v>0</v>
      </c>
      <c r="AE22" s="95">
        <f t="shared" si="46"/>
        <v>0</v>
      </c>
      <c r="AF22" s="95">
        <f t="shared" si="46"/>
        <v>0</v>
      </c>
      <c r="AG22" s="95">
        <f t="shared" si="46"/>
        <v>0</v>
      </c>
      <c r="AH22" s="95">
        <f t="shared" si="46"/>
        <v>0</v>
      </c>
      <c r="AI22" s="95">
        <f t="shared" si="46"/>
        <v>0</v>
      </c>
      <c r="AJ22" s="95">
        <f t="shared" si="46"/>
        <v>0</v>
      </c>
      <c r="AK22" s="95">
        <f t="shared" si="46"/>
        <v>0</v>
      </c>
      <c r="AL22" s="95">
        <f t="shared" si="46"/>
        <v>0</v>
      </c>
      <c r="AM22" s="95">
        <f t="shared" si="46"/>
        <v>0</v>
      </c>
      <c r="AN22" s="95">
        <f t="shared" si="46"/>
        <v>0</v>
      </c>
      <c r="AO22" s="95">
        <f t="shared" si="46"/>
        <v>0</v>
      </c>
      <c r="AP22" s="95">
        <f t="shared" si="46"/>
        <v>0</v>
      </c>
      <c r="AQ22" s="95">
        <f t="shared" si="46"/>
        <v>0</v>
      </c>
      <c r="AR22" s="95">
        <f t="shared" si="46"/>
        <v>0</v>
      </c>
      <c r="AS22" s="95">
        <f t="shared" si="46"/>
        <v>0</v>
      </c>
      <c r="AT22" s="95">
        <f t="shared" si="46"/>
        <v>0</v>
      </c>
      <c r="AU22" s="95">
        <f t="shared" si="46"/>
        <v>0</v>
      </c>
      <c r="AV22" s="95">
        <f t="shared" si="46"/>
        <v>0</v>
      </c>
      <c r="AW22" s="95">
        <f t="shared" si="46"/>
        <v>0</v>
      </c>
      <c r="AX22" s="95">
        <f t="shared" si="46"/>
        <v>0</v>
      </c>
      <c r="AY22" s="95">
        <f t="shared" si="46"/>
        <v>0</v>
      </c>
      <c r="AZ22" s="95">
        <f t="shared" si="46"/>
        <v>0</v>
      </c>
      <c r="BA22" s="95">
        <f t="shared" si="46"/>
        <v>0</v>
      </c>
      <c r="BB22" s="95">
        <f t="shared" si="46"/>
        <v>0</v>
      </c>
      <c r="BC22" s="95">
        <f t="shared" si="46"/>
        <v>0</v>
      </c>
      <c r="BD22" s="95">
        <f t="shared" si="46"/>
        <v>0</v>
      </c>
      <c r="BE22" s="95">
        <f t="shared" si="46"/>
        <v>0</v>
      </c>
      <c r="BF22" s="95">
        <f t="shared" si="46"/>
        <v>0</v>
      </c>
      <c r="BG22" s="95">
        <f t="shared" si="46"/>
        <v>0</v>
      </c>
      <c r="BH22" s="95">
        <f t="shared" si="46"/>
        <v>0</v>
      </c>
      <c r="BI22" s="95">
        <f t="shared" si="46"/>
        <v>0</v>
      </c>
      <c r="BJ22" s="95">
        <f t="shared" si="46"/>
        <v>0</v>
      </c>
      <c r="BK22" s="95">
        <f t="shared" si="46"/>
        <v>0</v>
      </c>
      <c r="BL22" s="95">
        <f t="shared" si="46"/>
        <v>0</v>
      </c>
      <c r="BM22" s="95">
        <f t="shared" si="46"/>
        <v>0</v>
      </c>
      <c r="BN22" s="95">
        <f t="shared" si="46"/>
        <v>0</v>
      </c>
      <c r="BO22" s="95">
        <f t="shared" si="46"/>
        <v>0</v>
      </c>
      <c r="BP22" s="95">
        <f t="shared" si="46"/>
        <v>0</v>
      </c>
      <c r="BQ22" s="95">
        <f t="shared" si="46"/>
        <v>0</v>
      </c>
      <c r="BR22" s="95">
        <f t="shared" ref="BR22:DT22" si="47">BR23</f>
        <v>0</v>
      </c>
      <c r="BS22" s="95">
        <f t="shared" si="47"/>
        <v>0</v>
      </c>
      <c r="BT22" s="95">
        <f t="shared" si="47"/>
        <v>0</v>
      </c>
      <c r="BU22" s="95">
        <f t="shared" si="47"/>
        <v>0</v>
      </c>
      <c r="BV22" s="95">
        <f t="shared" si="47"/>
        <v>0</v>
      </c>
      <c r="BW22" s="95">
        <f t="shared" si="47"/>
        <v>0</v>
      </c>
      <c r="BX22" s="95">
        <f t="shared" si="47"/>
        <v>0</v>
      </c>
      <c r="BY22" s="95">
        <f t="shared" si="47"/>
        <v>0</v>
      </c>
      <c r="BZ22" s="95">
        <f t="shared" si="47"/>
        <v>0</v>
      </c>
      <c r="CA22" s="95">
        <f t="shared" si="47"/>
        <v>0</v>
      </c>
      <c r="CB22" s="95">
        <f t="shared" si="47"/>
        <v>0</v>
      </c>
      <c r="CC22" s="95">
        <f t="shared" si="47"/>
        <v>0</v>
      </c>
      <c r="CD22" s="95">
        <f t="shared" si="47"/>
        <v>0</v>
      </c>
      <c r="CE22" s="95">
        <f t="shared" si="47"/>
        <v>0</v>
      </c>
      <c r="CF22" s="95">
        <f t="shared" si="47"/>
        <v>0</v>
      </c>
      <c r="CG22" s="95">
        <f t="shared" si="47"/>
        <v>0</v>
      </c>
      <c r="CH22" s="95">
        <f t="shared" si="47"/>
        <v>0</v>
      </c>
      <c r="CI22" s="95">
        <f t="shared" si="47"/>
        <v>0</v>
      </c>
      <c r="CJ22" s="95">
        <f t="shared" si="47"/>
        <v>0</v>
      </c>
      <c r="CK22" s="95">
        <f t="shared" si="47"/>
        <v>0</v>
      </c>
      <c r="CL22" s="95">
        <f t="shared" si="47"/>
        <v>0</v>
      </c>
      <c r="CM22" s="95">
        <f t="shared" si="47"/>
        <v>0</v>
      </c>
      <c r="CN22" s="95">
        <f t="shared" si="47"/>
        <v>0</v>
      </c>
      <c r="CO22" s="95">
        <f t="shared" si="47"/>
        <v>0</v>
      </c>
      <c r="CP22" s="95">
        <f t="shared" si="47"/>
        <v>0</v>
      </c>
      <c r="CQ22" s="95">
        <f t="shared" si="47"/>
        <v>0</v>
      </c>
      <c r="CR22" s="95">
        <f t="shared" si="47"/>
        <v>0</v>
      </c>
      <c r="CS22" s="95">
        <f t="shared" si="47"/>
        <v>0</v>
      </c>
      <c r="CT22" s="95">
        <f t="shared" si="47"/>
        <v>0</v>
      </c>
      <c r="CU22" s="95">
        <f t="shared" si="47"/>
        <v>0</v>
      </c>
      <c r="CV22" s="95">
        <f t="shared" si="47"/>
        <v>0</v>
      </c>
      <c r="CW22" s="95">
        <f t="shared" si="47"/>
        <v>0</v>
      </c>
      <c r="CX22" s="95">
        <f t="shared" si="47"/>
        <v>0</v>
      </c>
      <c r="CY22" s="95">
        <f t="shared" si="47"/>
        <v>0</v>
      </c>
      <c r="CZ22" s="95">
        <f t="shared" si="47"/>
        <v>0</v>
      </c>
      <c r="DA22" s="95">
        <f t="shared" si="47"/>
        <v>0</v>
      </c>
      <c r="DB22" s="95">
        <f t="shared" si="47"/>
        <v>0</v>
      </c>
      <c r="DC22" s="95">
        <f t="shared" si="47"/>
        <v>0</v>
      </c>
      <c r="DD22" s="95">
        <f t="shared" si="47"/>
        <v>0</v>
      </c>
      <c r="DE22" s="95">
        <f t="shared" si="47"/>
        <v>0</v>
      </c>
      <c r="DF22" s="95">
        <f t="shared" si="47"/>
        <v>0</v>
      </c>
      <c r="DG22" s="95">
        <f t="shared" si="47"/>
        <v>0</v>
      </c>
      <c r="DH22" s="95">
        <f t="shared" si="47"/>
        <v>0</v>
      </c>
      <c r="DI22" s="95">
        <f t="shared" si="47"/>
        <v>0</v>
      </c>
      <c r="DJ22" s="95">
        <f t="shared" si="47"/>
        <v>0</v>
      </c>
      <c r="DK22" s="95">
        <f t="shared" si="47"/>
        <v>0</v>
      </c>
      <c r="DL22" s="95">
        <f t="shared" si="47"/>
        <v>0</v>
      </c>
      <c r="DM22" s="95">
        <f t="shared" si="47"/>
        <v>0</v>
      </c>
      <c r="DN22" s="95">
        <f t="shared" si="47"/>
        <v>0</v>
      </c>
      <c r="DO22" s="95">
        <f t="shared" si="47"/>
        <v>0</v>
      </c>
      <c r="DP22" s="95">
        <f t="shared" si="47"/>
        <v>0</v>
      </c>
      <c r="DQ22" s="95">
        <f t="shared" si="47"/>
        <v>0</v>
      </c>
      <c r="DR22" s="95">
        <f t="shared" si="47"/>
        <v>0</v>
      </c>
      <c r="DS22" s="95">
        <f t="shared" si="47"/>
        <v>0</v>
      </c>
      <c r="DT22" s="95">
        <f t="shared" si="47"/>
        <v>0</v>
      </c>
      <c r="DV22" s="97"/>
      <c r="DW22" s="97"/>
      <c r="DX22" s="97"/>
      <c r="DY22" s="97"/>
      <c r="DZ22" s="97"/>
      <c r="EA22" s="97"/>
      <c r="EB22" s="97"/>
      <c r="EC22" s="97"/>
      <c r="ED22" s="97"/>
      <c r="EE22" s="97"/>
    </row>
    <row r="23" spans="2:135" ht="39" thickBot="1">
      <c r="B23" s="190" t="s">
        <v>399</v>
      </c>
      <c r="C23" s="5" t="s">
        <v>35</v>
      </c>
      <c r="D23" s="91">
        <f>SUM(E23:DT23)</f>
        <v>2059992</v>
      </c>
      <c r="E23" s="80">
        <v>171666</v>
      </c>
      <c r="F23" s="80">
        <v>171666</v>
      </c>
      <c r="G23" s="80">
        <v>171666</v>
      </c>
      <c r="H23" s="80">
        <v>171666</v>
      </c>
      <c r="I23" s="80">
        <v>171666</v>
      </c>
      <c r="J23" s="80">
        <v>171666</v>
      </c>
      <c r="K23" s="80">
        <v>171666</v>
      </c>
      <c r="L23" s="80">
        <v>171666</v>
      </c>
      <c r="M23" s="80">
        <v>171666</v>
      </c>
      <c r="N23" s="80">
        <v>171666</v>
      </c>
      <c r="O23" s="80">
        <v>171666</v>
      </c>
      <c r="P23" s="80">
        <v>171666</v>
      </c>
      <c r="Q23" s="80">
        <v>0</v>
      </c>
      <c r="R23" s="80">
        <v>0</v>
      </c>
      <c r="S23" s="80">
        <v>0</v>
      </c>
      <c r="T23" s="80">
        <v>0</v>
      </c>
      <c r="U23" s="80">
        <v>0</v>
      </c>
      <c r="V23" s="80">
        <v>0</v>
      </c>
      <c r="W23" s="80">
        <v>0</v>
      </c>
      <c r="X23" s="80">
        <v>0</v>
      </c>
      <c r="Y23" s="80">
        <v>0</v>
      </c>
      <c r="Z23" s="80">
        <v>0</v>
      </c>
      <c r="AA23" s="80">
        <v>0</v>
      </c>
      <c r="AB23" s="80">
        <v>0</v>
      </c>
      <c r="AC23" s="80">
        <v>0</v>
      </c>
      <c r="AD23" s="80">
        <v>0</v>
      </c>
      <c r="AE23" s="80">
        <v>0</v>
      </c>
      <c r="AF23" s="80">
        <v>0</v>
      </c>
      <c r="AG23" s="80">
        <v>0</v>
      </c>
      <c r="AH23" s="80">
        <v>0</v>
      </c>
      <c r="AI23" s="80">
        <v>0</v>
      </c>
      <c r="AJ23" s="80">
        <v>0</v>
      </c>
      <c r="AK23" s="80">
        <v>0</v>
      </c>
      <c r="AL23" s="80">
        <v>0</v>
      </c>
      <c r="AM23" s="80">
        <v>0</v>
      </c>
      <c r="AN23" s="80">
        <v>0</v>
      </c>
      <c r="AO23" s="80">
        <v>0</v>
      </c>
      <c r="AP23" s="80">
        <v>0</v>
      </c>
      <c r="AQ23" s="80">
        <v>0</v>
      </c>
      <c r="AR23" s="80">
        <v>0</v>
      </c>
      <c r="AS23" s="80">
        <v>0</v>
      </c>
      <c r="AT23" s="80">
        <v>0</v>
      </c>
      <c r="AU23" s="80">
        <v>0</v>
      </c>
      <c r="AV23" s="80">
        <v>0</v>
      </c>
      <c r="AW23" s="80">
        <v>0</v>
      </c>
      <c r="AX23" s="80">
        <v>0</v>
      </c>
      <c r="AY23" s="80">
        <v>0</v>
      </c>
      <c r="AZ23" s="80">
        <v>0</v>
      </c>
      <c r="BA23" s="80">
        <v>0</v>
      </c>
      <c r="BB23" s="80">
        <v>0</v>
      </c>
      <c r="BC23" s="80">
        <v>0</v>
      </c>
      <c r="BD23" s="80">
        <v>0</v>
      </c>
      <c r="BE23" s="80">
        <v>0</v>
      </c>
      <c r="BF23" s="80">
        <v>0</v>
      </c>
      <c r="BG23" s="80">
        <v>0</v>
      </c>
      <c r="BH23" s="80">
        <v>0</v>
      </c>
      <c r="BI23" s="80">
        <v>0</v>
      </c>
      <c r="BJ23" s="80">
        <v>0</v>
      </c>
      <c r="BK23" s="80">
        <v>0</v>
      </c>
      <c r="BL23" s="80">
        <v>0</v>
      </c>
      <c r="BM23" s="80">
        <v>0</v>
      </c>
      <c r="BN23" s="80">
        <v>0</v>
      </c>
      <c r="BO23" s="80">
        <v>0</v>
      </c>
      <c r="BP23" s="80">
        <v>0</v>
      </c>
      <c r="BQ23" s="80">
        <v>0</v>
      </c>
      <c r="BR23" s="80">
        <v>0</v>
      </c>
      <c r="BS23" s="80">
        <v>0</v>
      </c>
      <c r="BT23" s="80">
        <v>0</v>
      </c>
      <c r="BU23" s="80">
        <v>0</v>
      </c>
      <c r="BV23" s="80">
        <v>0</v>
      </c>
      <c r="BW23" s="80">
        <v>0</v>
      </c>
      <c r="BX23" s="80">
        <v>0</v>
      </c>
      <c r="BY23" s="80">
        <v>0</v>
      </c>
      <c r="BZ23" s="80">
        <v>0</v>
      </c>
      <c r="CA23" s="80">
        <v>0</v>
      </c>
      <c r="CB23" s="80">
        <v>0</v>
      </c>
      <c r="CC23" s="80">
        <v>0</v>
      </c>
      <c r="CD23" s="80">
        <v>0</v>
      </c>
      <c r="CE23" s="80">
        <v>0</v>
      </c>
      <c r="CF23" s="80">
        <v>0</v>
      </c>
      <c r="CG23" s="80">
        <v>0</v>
      </c>
      <c r="CH23" s="80">
        <v>0</v>
      </c>
      <c r="CI23" s="80">
        <v>0</v>
      </c>
      <c r="CJ23" s="80">
        <v>0</v>
      </c>
      <c r="CK23" s="80">
        <v>0</v>
      </c>
      <c r="CL23" s="80">
        <v>0</v>
      </c>
      <c r="CM23" s="80">
        <v>0</v>
      </c>
      <c r="CN23" s="80">
        <v>0</v>
      </c>
      <c r="CO23" s="80">
        <v>0</v>
      </c>
      <c r="CP23" s="80">
        <v>0</v>
      </c>
      <c r="CQ23" s="80">
        <v>0</v>
      </c>
      <c r="CR23" s="80">
        <v>0</v>
      </c>
      <c r="CS23" s="80">
        <v>0</v>
      </c>
      <c r="CT23" s="80">
        <v>0</v>
      </c>
      <c r="CU23" s="80">
        <v>0</v>
      </c>
      <c r="CV23" s="80">
        <v>0</v>
      </c>
      <c r="CW23" s="80">
        <v>0</v>
      </c>
      <c r="CX23" s="80">
        <v>0</v>
      </c>
      <c r="CY23" s="80">
        <v>0</v>
      </c>
      <c r="CZ23" s="80">
        <v>0</v>
      </c>
      <c r="DA23" s="80">
        <v>0</v>
      </c>
      <c r="DB23" s="80">
        <v>0</v>
      </c>
      <c r="DC23" s="80">
        <v>0</v>
      </c>
      <c r="DD23" s="80">
        <v>0</v>
      </c>
      <c r="DE23" s="80">
        <v>0</v>
      </c>
      <c r="DF23" s="80">
        <v>0</v>
      </c>
      <c r="DG23" s="80">
        <v>0</v>
      </c>
      <c r="DH23" s="80">
        <v>0</v>
      </c>
      <c r="DI23" s="80">
        <v>0</v>
      </c>
      <c r="DJ23" s="80">
        <v>0</v>
      </c>
      <c r="DK23" s="80">
        <v>0</v>
      </c>
      <c r="DL23" s="80">
        <v>0</v>
      </c>
      <c r="DM23" s="80">
        <v>0</v>
      </c>
      <c r="DN23" s="80">
        <v>0</v>
      </c>
      <c r="DO23" s="80">
        <v>0</v>
      </c>
      <c r="DP23" s="80">
        <v>0</v>
      </c>
      <c r="DQ23" s="80">
        <v>0</v>
      </c>
      <c r="DR23" s="80">
        <v>0</v>
      </c>
      <c r="DS23" s="80">
        <v>0</v>
      </c>
      <c r="DT23" s="80">
        <v>0</v>
      </c>
      <c r="DV23" s="92">
        <f>SUM(E23:P23)</f>
        <v>2059992</v>
      </c>
      <c r="DW23" s="92">
        <f>SUM(Q23:AB23)</f>
        <v>0</v>
      </c>
      <c r="DX23" s="92">
        <f>SUM(AC23:AN23)</f>
        <v>0</v>
      </c>
      <c r="DY23" s="92">
        <f>SUM(AO23:AZ23)</f>
        <v>0</v>
      </c>
      <c r="DZ23" s="92">
        <f>SUM(BA23:BL23)</f>
        <v>0</v>
      </c>
      <c r="EA23" s="92">
        <f>SUM(BM23:BX23)</f>
        <v>0</v>
      </c>
      <c r="EB23" s="92">
        <f>SUM(BY23:CJ23)</f>
        <v>0</v>
      </c>
      <c r="EC23" s="92">
        <f>SUM(CK23:CV23)</f>
        <v>0</v>
      </c>
      <c r="ED23" s="92">
        <f>SUM(CW23:DH23)</f>
        <v>0</v>
      </c>
      <c r="EE23" s="92">
        <f>SUM(DI23:DT23)</f>
        <v>0</v>
      </c>
    </row>
    <row r="24" spans="2:135" s="225" customFormat="1" ht="20" thickBot="1">
      <c r="B24" s="226" t="s">
        <v>448</v>
      </c>
      <c r="C24" s="227"/>
      <c r="D24" s="228">
        <f>SUM(D25:D36)</f>
        <v>0</v>
      </c>
      <c r="E24" s="228">
        <f>SUM(E25:E36)</f>
        <v>600000000</v>
      </c>
      <c r="F24" s="228">
        <f t="shared" ref="F24:BQ24" si="48">SUM(F25:F36)</f>
        <v>600000000</v>
      </c>
      <c r="G24" s="228">
        <f t="shared" si="48"/>
        <v>600000000</v>
      </c>
      <c r="H24" s="228">
        <f t="shared" si="48"/>
        <v>600000000</v>
      </c>
      <c r="I24" s="228">
        <f t="shared" si="48"/>
        <v>600000000</v>
      </c>
      <c r="J24" s="228">
        <f t="shared" si="48"/>
        <v>600000000</v>
      </c>
      <c r="K24" s="228">
        <f t="shared" si="48"/>
        <v>600000000</v>
      </c>
      <c r="L24" s="228">
        <f t="shared" si="48"/>
        <v>600000000</v>
      </c>
      <c r="M24" s="228">
        <f t="shared" si="48"/>
        <v>600000000</v>
      </c>
      <c r="N24" s="228">
        <f t="shared" si="48"/>
        <v>600000000</v>
      </c>
      <c r="O24" s="228">
        <f t="shared" si="48"/>
        <v>600000000</v>
      </c>
      <c r="P24" s="228">
        <f t="shared" si="48"/>
        <v>600000000</v>
      </c>
      <c r="Q24" s="228">
        <f t="shared" si="48"/>
        <v>600000000</v>
      </c>
      <c r="R24" s="228">
        <f t="shared" si="48"/>
        <v>600000000</v>
      </c>
      <c r="S24" s="228">
        <f t="shared" si="48"/>
        <v>600000000</v>
      </c>
      <c r="T24" s="228">
        <f t="shared" si="48"/>
        <v>600000000</v>
      </c>
      <c r="U24" s="228">
        <f t="shared" si="48"/>
        <v>600000000</v>
      </c>
      <c r="V24" s="228">
        <f t="shared" si="48"/>
        <v>600000000</v>
      </c>
      <c r="W24" s="228">
        <f t="shared" si="48"/>
        <v>600000000</v>
      </c>
      <c r="X24" s="228">
        <f t="shared" si="48"/>
        <v>600000000</v>
      </c>
      <c r="Y24" s="228">
        <f t="shared" si="48"/>
        <v>600000000</v>
      </c>
      <c r="Z24" s="228">
        <f t="shared" si="48"/>
        <v>600000000</v>
      </c>
      <c r="AA24" s="228">
        <f t="shared" si="48"/>
        <v>600000000</v>
      </c>
      <c r="AB24" s="228">
        <f t="shared" si="48"/>
        <v>600000000</v>
      </c>
      <c r="AC24" s="228">
        <f t="shared" si="48"/>
        <v>600000000</v>
      </c>
      <c r="AD24" s="228">
        <f t="shared" si="48"/>
        <v>600000000</v>
      </c>
      <c r="AE24" s="228">
        <f t="shared" si="48"/>
        <v>600000000</v>
      </c>
      <c r="AF24" s="228">
        <f t="shared" si="48"/>
        <v>600000000</v>
      </c>
      <c r="AG24" s="228">
        <f t="shared" si="48"/>
        <v>600000000</v>
      </c>
      <c r="AH24" s="228">
        <f t="shared" si="48"/>
        <v>600000000</v>
      </c>
      <c r="AI24" s="228">
        <f t="shared" si="48"/>
        <v>600000000</v>
      </c>
      <c r="AJ24" s="228">
        <f t="shared" si="48"/>
        <v>600000000</v>
      </c>
      <c r="AK24" s="228">
        <f t="shared" si="48"/>
        <v>600000000</v>
      </c>
      <c r="AL24" s="228">
        <f t="shared" si="48"/>
        <v>600000000</v>
      </c>
      <c r="AM24" s="228">
        <f t="shared" si="48"/>
        <v>600000000</v>
      </c>
      <c r="AN24" s="228">
        <f t="shared" si="48"/>
        <v>600000000</v>
      </c>
      <c r="AO24" s="228">
        <f t="shared" si="48"/>
        <v>600000000</v>
      </c>
      <c r="AP24" s="228">
        <f t="shared" si="48"/>
        <v>600000000</v>
      </c>
      <c r="AQ24" s="228">
        <f t="shared" si="48"/>
        <v>600000000</v>
      </c>
      <c r="AR24" s="228">
        <f t="shared" si="48"/>
        <v>600000000</v>
      </c>
      <c r="AS24" s="228">
        <f t="shared" si="48"/>
        <v>600000000</v>
      </c>
      <c r="AT24" s="228">
        <f t="shared" si="48"/>
        <v>600000000</v>
      </c>
      <c r="AU24" s="228">
        <f t="shared" si="48"/>
        <v>600000000</v>
      </c>
      <c r="AV24" s="228">
        <f t="shared" si="48"/>
        <v>600000000</v>
      </c>
      <c r="AW24" s="228">
        <f t="shared" si="48"/>
        <v>600000000</v>
      </c>
      <c r="AX24" s="228">
        <f t="shared" si="48"/>
        <v>600000000</v>
      </c>
      <c r="AY24" s="228">
        <f t="shared" si="48"/>
        <v>600000000</v>
      </c>
      <c r="AZ24" s="228">
        <f t="shared" si="48"/>
        <v>600000000</v>
      </c>
      <c r="BA24" s="228">
        <f t="shared" si="48"/>
        <v>600000000</v>
      </c>
      <c r="BB24" s="228">
        <f t="shared" si="48"/>
        <v>600000000</v>
      </c>
      <c r="BC24" s="228">
        <f t="shared" si="48"/>
        <v>600000000</v>
      </c>
      <c r="BD24" s="228">
        <f t="shared" si="48"/>
        <v>600000000</v>
      </c>
      <c r="BE24" s="228">
        <f t="shared" si="48"/>
        <v>600000000</v>
      </c>
      <c r="BF24" s="228">
        <f t="shared" si="48"/>
        <v>600000000</v>
      </c>
      <c r="BG24" s="228">
        <f t="shared" si="48"/>
        <v>600000000</v>
      </c>
      <c r="BH24" s="228">
        <f t="shared" si="48"/>
        <v>600000000</v>
      </c>
      <c r="BI24" s="228">
        <f t="shared" si="48"/>
        <v>600000000</v>
      </c>
      <c r="BJ24" s="228">
        <f t="shared" si="48"/>
        <v>600000000</v>
      </c>
      <c r="BK24" s="228">
        <f t="shared" si="48"/>
        <v>600000000</v>
      </c>
      <c r="BL24" s="228">
        <f t="shared" si="48"/>
        <v>600000000</v>
      </c>
      <c r="BM24" s="228">
        <f t="shared" si="48"/>
        <v>600000000</v>
      </c>
      <c r="BN24" s="228">
        <f t="shared" si="48"/>
        <v>600000000</v>
      </c>
      <c r="BO24" s="228">
        <f t="shared" si="48"/>
        <v>600000000</v>
      </c>
      <c r="BP24" s="228">
        <f t="shared" si="48"/>
        <v>600000000</v>
      </c>
      <c r="BQ24" s="228">
        <f t="shared" si="48"/>
        <v>600000000</v>
      </c>
      <c r="BR24" s="228">
        <f t="shared" ref="BR24:DT24" si="49">SUM(BR25:BR36)</f>
        <v>600000000</v>
      </c>
      <c r="BS24" s="228">
        <f t="shared" si="49"/>
        <v>600000000</v>
      </c>
      <c r="BT24" s="228">
        <f t="shared" si="49"/>
        <v>600000000</v>
      </c>
      <c r="BU24" s="228">
        <f t="shared" si="49"/>
        <v>600000000</v>
      </c>
      <c r="BV24" s="228">
        <f t="shared" si="49"/>
        <v>600000000</v>
      </c>
      <c r="BW24" s="228">
        <f t="shared" si="49"/>
        <v>600000000</v>
      </c>
      <c r="BX24" s="228">
        <f t="shared" si="49"/>
        <v>600000000</v>
      </c>
      <c r="BY24" s="228">
        <f t="shared" si="49"/>
        <v>600000000</v>
      </c>
      <c r="BZ24" s="228">
        <f t="shared" si="49"/>
        <v>600000000</v>
      </c>
      <c r="CA24" s="228">
        <f t="shared" si="49"/>
        <v>600000000</v>
      </c>
      <c r="CB24" s="228">
        <f t="shared" si="49"/>
        <v>600000000</v>
      </c>
      <c r="CC24" s="228">
        <f t="shared" si="49"/>
        <v>600000000</v>
      </c>
      <c r="CD24" s="228">
        <f t="shared" si="49"/>
        <v>600000000</v>
      </c>
      <c r="CE24" s="228">
        <f t="shared" si="49"/>
        <v>600000000</v>
      </c>
      <c r="CF24" s="228">
        <f t="shared" si="49"/>
        <v>600000000</v>
      </c>
      <c r="CG24" s="228">
        <f t="shared" si="49"/>
        <v>600000000</v>
      </c>
      <c r="CH24" s="228">
        <f t="shared" si="49"/>
        <v>600000000</v>
      </c>
      <c r="CI24" s="228">
        <f t="shared" si="49"/>
        <v>600000000</v>
      </c>
      <c r="CJ24" s="228">
        <f t="shared" si="49"/>
        <v>600000000</v>
      </c>
      <c r="CK24" s="228">
        <f t="shared" si="49"/>
        <v>600000000</v>
      </c>
      <c r="CL24" s="228">
        <f t="shared" si="49"/>
        <v>600000000</v>
      </c>
      <c r="CM24" s="228">
        <f t="shared" si="49"/>
        <v>600000000</v>
      </c>
      <c r="CN24" s="228">
        <f t="shared" si="49"/>
        <v>600000000</v>
      </c>
      <c r="CO24" s="228">
        <f t="shared" si="49"/>
        <v>600000000</v>
      </c>
      <c r="CP24" s="228">
        <f t="shared" si="49"/>
        <v>600000000</v>
      </c>
      <c r="CQ24" s="228">
        <f t="shared" si="49"/>
        <v>600000000</v>
      </c>
      <c r="CR24" s="228">
        <f t="shared" si="49"/>
        <v>600000000</v>
      </c>
      <c r="CS24" s="228">
        <f t="shared" si="49"/>
        <v>600000000</v>
      </c>
      <c r="CT24" s="228">
        <f t="shared" si="49"/>
        <v>600000000</v>
      </c>
      <c r="CU24" s="228">
        <f t="shared" si="49"/>
        <v>600000000</v>
      </c>
      <c r="CV24" s="228">
        <f t="shared" si="49"/>
        <v>600000000</v>
      </c>
      <c r="CW24" s="228">
        <f t="shared" si="49"/>
        <v>600000000</v>
      </c>
      <c r="CX24" s="228">
        <f t="shared" si="49"/>
        <v>600000000</v>
      </c>
      <c r="CY24" s="228">
        <f t="shared" si="49"/>
        <v>600000000</v>
      </c>
      <c r="CZ24" s="228">
        <f t="shared" si="49"/>
        <v>600000000</v>
      </c>
      <c r="DA24" s="228">
        <f t="shared" si="49"/>
        <v>600000000</v>
      </c>
      <c r="DB24" s="228">
        <f t="shared" si="49"/>
        <v>600000000</v>
      </c>
      <c r="DC24" s="228">
        <f t="shared" si="49"/>
        <v>600000000</v>
      </c>
      <c r="DD24" s="228">
        <f t="shared" si="49"/>
        <v>600000000</v>
      </c>
      <c r="DE24" s="228">
        <f t="shared" si="49"/>
        <v>600000000</v>
      </c>
      <c r="DF24" s="228">
        <f t="shared" si="49"/>
        <v>600000000</v>
      </c>
      <c r="DG24" s="228">
        <f t="shared" si="49"/>
        <v>600000000</v>
      </c>
      <c r="DH24" s="228">
        <f t="shared" si="49"/>
        <v>600000000</v>
      </c>
      <c r="DI24" s="228">
        <f t="shared" si="49"/>
        <v>600000000</v>
      </c>
      <c r="DJ24" s="228">
        <f t="shared" si="49"/>
        <v>600000000</v>
      </c>
      <c r="DK24" s="228">
        <f t="shared" si="49"/>
        <v>600000000</v>
      </c>
      <c r="DL24" s="228">
        <f t="shared" si="49"/>
        <v>600000000</v>
      </c>
      <c r="DM24" s="228">
        <f t="shared" si="49"/>
        <v>600000000</v>
      </c>
      <c r="DN24" s="228">
        <f t="shared" si="49"/>
        <v>600000000</v>
      </c>
      <c r="DO24" s="228">
        <f t="shared" si="49"/>
        <v>600000000</v>
      </c>
      <c r="DP24" s="228">
        <f t="shared" si="49"/>
        <v>600000000</v>
      </c>
      <c r="DQ24" s="228">
        <f t="shared" si="49"/>
        <v>600000000</v>
      </c>
      <c r="DR24" s="228">
        <f t="shared" si="49"/>
        <v>600000000</v>
      </c>
      <c r="DS24" s="228">
        <f t="shared" si="49"/>
        <v>600000000</v>
      </c>
      <c r="DT24" s="228">
        <f t="shared" si="49"/>
        <v>600000000</v>
      </c>
      <c r="DV24" s="229"/>
      <c r="DW24" s="229"/>
      <c r="DX24" s="229"/>
      <c r="DY24" s="229"/>
      <c r="DZ24" s="229"/>
      <c r="EA24" s="229"/>
      <c r="EB24" s="229"/>
      <c r="EC24" s="229"/>
      <c r="ED24" s="229"/>
      <c r="EE24" s="229"/>
    </row>
    <row r="25" spans="2:135" ht="20" thickBot="1">
      <c r="B25" s="190" t="s">
        <v>454</v>
      </c>
      <c r="C25" s="5"/>
      <c r="D25" s="91"/>
      <c r="E25" s="80">
        <v>600000000</v>
      </c>
      <c r="F25" s="80">
        <v>600000000</v>
      </c>
      <c r="G25" s="80">
        <v>600000000</v>
      </c>
      <c r="H25" s="80">
        <v>600000000</v>
      </c>
      <c r="I25" s="80">
        <v>600000000</v>
      </c>
      <c r="J25" s="80">
        <v>600000000</v>
      </c>
      <c r="K25" s="80">
        <v>600000000</v>
      </c>
      <c r="L25" s="80">
        <v>600000000</v>
      </c>
      <c r="M25" s="80">
        <v>600000000</v>
      </c>
      <c r="N25" s="80">
        <v>600000000</v>
      </c>
      <c r="O25" s="80">
        <v>600000000</v>
      </c>
      <c r="P25" s="80">
        <v>600000000</v>
      </c>
      <c r="Q25" s="80">
        <v>600000000</v>
      </c>
      <c r="R25" s="80">
        <v>600000000</v>
      </c>
      <c r="S25" s="80">
        <v>600000000</v>
      </c>
      <c r="T25" s="80">
        <v>600000000</v>
      </c>
      <c r="U25" s="80">
        <v>600000000</v>
      </c>
      <c r="V25" s="80">
        <v>600000000</v>
      </c>
      <c r="W25" s="80">
        <v>600000000</v>
      </c>
      <c r="X25" s="80">
        <v>600000000</v>
      </c>
      <c r="Y25" s="80">
        <v>600000000</v>
      </c>
      <c r="Z25" s="80">
        <v>600000000</v>
      </c>
      <c r="AA25" s="80">
        <v>600000000</v>
      </c>
      <c r="AB25" s="80">
        <v>600000000</v>
      </c>
      <c r="AC25" s="80">
        <v>600000000</v>
      </c>
      <c r="AD25" s="80">
        <v>600000000</v>
      </c>
      <c r="AE25" s="80">
        <v>600000000</v>
      </c>
      <c r="AF25" s="80">
        <v>600000000</v>
      </c>
      <c r="AG25" s="80">
        <v>600000000</v>
      </c>
      <c r="AH25" s="80">
        <v>600000000</v>
      </c>
      <c r="AI25" s="80">
        <v>600000000</v>
      </c>
      <c r="AJ25" s="80">
        <v>600000000</v>
      </c>
      <c r="AK25" s="80">
        <v>600000000</v>
      </c>
      <c r="AL25" s="80">
        <v>600000000</v>
      </c>
      <c r="AM25" s="80">
        <v>600000000</v>
      </c>
      <c r="AN25" s="80">
        <v>600000000</v>
      </c>
      <c r="AO25" s="80">
        <v>600000000</v>
      </c>
      <c r="AP25" s="80">
        <v>600000000</v>
      </c>
      <c r="AQ25" s="80">
        <v>600000000</v>
      </c>
      <c r="AR25" s="80">
        <v>600000000</v>
      </c>
      <c r="AS25" s="80">
        <v>600000000</v>
      </c>
      <c r="AT25" s="80">
        <v>600000000</v>
      </c>
      <c r="AU25" s="80">
        <v>600000000</v>
      </c>
      <c r="AV25" s="80">
        <v>600000000</v>
      </c>
      <c r="AW25" s="80">
        <v>600000000</v>
      </c>
      <c r="AX25" s="80">
        <v>600000000</v>
      </c>
      <c r="AY25" s="80">
        <v>600000000</v>
      </c>
      <c r="AZ25" s="80">
        <v>600000000</v>
      </c>
      <c r="BA25" s="80">
        <v>600000000</v>
      </c>
      <c r="BB25" s="80">
        <v>600000000</v>
      </c>
      <c r="BC25" s="80">
        <v>600000000</v>
      </c>
      <c r="BD25" s="80">
        <v>600000000</v>
      </c>
      <c r="BE25" s="80">
        <v>600000000</v>
      </c>
      <c r="BF25" s="80">
        <v>600000000</v>
      </c>
      <c r="BG25" s="80">
        <v>600000000</v>
      </c>
      <c r="BH25" s="80">
        <v>600000000</v>
      </c>
      <c r="BI25" s="80">
        <v>600000000</v>
      </c>
      <c r="BJ25" s="80">
        <v>600000000</v>
      </c>
      <c r="BK25" s="80">
        <v>600000000</v>
      </c>
      <c r="BL25" s="80">
        <v>600000000</v>
      </c>
      <c r="BM25" s="80">
        <v>600000000</v>
      </c>
      <c r="BN25" s="80">
        <v>600000000</v>
      </c>
      <c r="BO25" s="80">
        <v>600000000</v>
      </c>
      <c r="BP25" s="80">
        <v>600000000</v>
      </c>
      <c r="BQ25" s="80">
        <v>600000000</v>
      </c>
      <c r="BR25" s="80">
        <v>600000000</v>
      </c>
      <c r="BS25" s="80">
        <v>600000000</v>
      </c>
      <c r="BT25" s="80">
        <v>600000000</v>
      </c>
      <c r="BU25" s="80">
        <v>600000000</v>
      </c>
      <c r="BV25" s="80">
        <v>600000000</v>
      </c>
      <c r="BW25" s="80">
        <v>600000000</v>
      </c>
      <c r="BX25" s="80">
        <v>600000000</v>
      </c>
      <c r="BY25" s="80">
        <v>600000000</v>
      </c>
      <c r="BZ25" s="80">
        <v>600000000</v>
      </c>
      <c r="CA25" s="80">
        <v>600000000</v>
      </c>
      <c r="CB25" s="80">
        <v>600000000</v>
      </c>
      <c r="CC25" s="80">
        <v>600000000</v>
      </c>
      <c r="CD25" s="80">
        <v>600000000</v>
      </c>
      <c r="CE25" s="80">
        <v>600000000</v>
      </c>
      <c r="CF25" s="80">
        <v>600000000</v>
      </c>
      <c r="CG25" s="80">
        <v>600000000</v>
      </c>
      <c r="CH25" s="80">
        <v>600000000</v>
      </c>
      <c r="CI25" s="80">
        <v>600000000</v>
      </c>
      <c r="CJ25" s="80">
        <v>600000000</v>
      </c>
      <c r="CK25" s="80">
        <v>600000000</v>
      </c>
      <c r="CL25" s="80">
        <v>600000000</v>
      </c>
      <c r="CM25" s="80">
        <v>600000000</v>
      </c>
      <c r="CN25" s="80">
        <v>600000000</v>
      </c>
      <c r="CO25" s="80">
        <v>600000000</v>
      </c>
      <c r="CP25" s="80">
        <v>600000000</v>
      </c>
      <c r="CQ25" s="80">
        <v>600000000</v>
      </c>
      <c r="CR25" s="80">
        <v>600000000</v>
      </c>
      <c r="CS25" s="80">
        <v>600000000</v>
      </c>
      <c r="CT25" s="80">
        <v>600000000</v>
      </c>
      <c r="CU25" s="80">
        <v>600000000</v>
      </c>
      <c r="CV25" s="80">
        <v>600000000</v>
      </c>
      <c r="CW25" s="80">
        <v>600000000</v>
      </c>
      <c r="CX25" s="80">
        <v>600000000</v>
      </c>
      <c r="CY25" s="80">
        <v>600000000</v>
      </c>
      <c r="CZ25" s="80">
        <v>600000000</v>
      </c>
      <c r="DA25" s="80">
        <v>600000000</v>
      </c>
      <c r="DB25" s="80">
        <v>600000000</v>
      </c>
      <c r="DC25" s="80">
        <v>600000000</v>
      </c>
      <c r="DD25" s="80">
        <v>600000000</v>
      </c>
      <c r="DE25" s="80">
        <v>600000000</v>
      </c>
      <c r="DF25" s="80">
        <v>600000000</v>
      </c>
      <c r="DG25" s="80">
        <v>600000000</v>
      </c>
      <c r="DH25" s="80">
        <v>600000000</v>
      </c>
      <c r="DI25" s="80">
        <v>600000000</v>
      </c>
      <c r="DJ25" s="80">
        <v>600000000</v>
      </c>
      <c r="DK25" s="80">
        <v>600000000</v>
      </c>
      <c r="DL25" s="80">
        <v>600000000</v>
      </c>
      <c r="DM25" s="80">
        <v>600000000</v>
      </c>
      <c r="DN25" s="80">
        <v>600000000</v>
      </c>
      <c r="DO25" s="80">
        <v>600000000</v>
      </c>
      <c r="DP25" s="80">
        <v>600000000</v>
      </c>
      <c r="DQ25" s="80">
        <v>600000000</v>
      </c>
      <c r="DR25" s="80">
        <v>600000000</v>
      </c>
      <c r="DS25" s="80">
        <v>600000000</v>
      </c>
      <c r="DT25" s="80">
        <v>600000000</v>
      </c>
      <c r="DV25" s="92"/>
      <c r="DW25" s="92"/>
      <c r="DX25" s="92"/>
      <c r="DY25" s="92"/>
      <c r="DZ25" s="92"/>
      <c r="EA25" s="92"/>
      <c r="EB25" s="92"/>
      <c r="EC25" s="92"/>
      <c r="ED25" s="92"/>
      <c r="EE25" s="92"/>
    </row>
    <row r="26" spans="2:135" ht="19" thickBot="1">
      <c r="B26" s="190"/>
      <c r="C26" s="5"/>
      <c r="D26" s="91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80"/>
      <c r="BM26" s="80"/>
      <c r="BN26" s="80"/>
      <c r="BO26" s="80"/>
      <c r="BP26" s="80"/>
      <c r="BQ26" s="80"/>
      <c r="BR26" s="80"/>
      <c r="BS26" s="80"/>
      <c r="BT26" s="80"/>
      <c r="BU26" s="80"/>
      <c r="BV26" s="80"/>
      <c r="BW26" s="80"/>
      <c r="BX26" s="80"/>
      <c r="BY26" s="80"/>
      <c r="BZ26" s="80"/>
      <c r="CA26" s="80"/>
      <c r="CB26" s="80"/>
      <c r="CC26" s="80"/>
      <c r="CD26" s="80"/>
      <c r="CE26" s="80"/>
      <c r="CF26" s="80"/>
      <c r="CG26" s="80"/>
      <c r="CH26" s="80"/>
      <c r="CI26" s="80"/>
      <c r="CJ26" s="80"/>
      <c r="CK26" s="80"/>
      <c r="CL26" s="80"/>
      <c r="CM26" s="80"/>
      <c r="CN26" s="80"/>
      <c r="CO26" s="80"/>
      <c r="CP26" s="80"/>
      <c r="CQ26" s="80"/>
      <c r="CR26" s="80"/>
      <c r="CS26" s="80"/>
      <c r="CT26" s="80"/>
      <c r="CU26" s="80"/>
      <c r="CV26" s="80"/>
      <c r="CW26" s="80"/>
      <c r="CX26" s="80"/>
      <c r="CY26" s="80"/>
      <c r="CZ26" s="80"/>
      <c r="DA26" s="80"/>
      <c r="DB26" s="80"/>
      <c r="DC26" s="80"/>
      <c r="DD26" s="80"/>
      <c r="DE26" s="80"/>
      <c r="DF26" s="80"/>
      <c r="DG26" s="80"/>
      <c r="DH26" s="80"/>
      <c r="DI26" s="80"/>
      <c r="DJ26" s="80"/>
      <c r="DK26" s="80"/>
      <c r="DL26" s="80"/>
      <c r="DM26" s="80"/>
      <c r="DN26" s="80"/>
      <c r="DO26" s="80"/>
      <c r="DP26" s="80"/>
      <c r="DQ26" s="80"/>
      <c r="DR26" s="80"/>
      <c r="DS26" s="80"/>
      <c r="DT26" s="80"/>
      <c r="DV26" s="92"/>
      <c r="DW26" s="92"/>
      <c r="DX26" s="92"/>
      <c r="DY26" s="92"/>
      <c r="DZ26" s="92"/>
      <c r="EA26" s="92"/>
      <c r="EB26" s="92"/>
      <c r="EC26" s="92"/>
      <c r="ED26" s="92"/>
      <c r="EE26" s="92"/>
    </row>
    <row r="27" spans="2:135" ht="19" thickBot="1">
      <c r="B27" s="190"/>
      <c r="C27" s="5"/>
      <c r="D27" s="91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0"/>
      <c r="BF27" s="80"/>
      <c r="BG27" s="80"/>
      <c r="BH27" s="80"/>
      <c r="BI27" s="80"/>
      <c r="BJ27" s="80"/>
      <c r="BK27" s="80"/>
      <c r="BL27" s="80"/>
      <c r="BM27" s="80"/>
      <c r="BN27" s="80"/>
      <c r="BO27" s="80"/>
      <c r="BP27" s="80"/>
      <c r="BQ27" s="80"/>
      <c r="BR27" s="80"/>
      <c r="BS27" s="80"/>
      <c r="BT27" s="80"/>
      <c r="BU27" s="80"/>
      <c r="BV27" s="80"/>
      <c r="BW27" s="80"/>
      <c r="BX27" s="80"/>
      <c r="BY27" s="80"/>
      <c r="BZ27" s="80"/>
      <c r="CA27" s="80"/>
      <c r="CB27" s="80"/>
      <c r="CC27" s="80"/>
      <c r="CD27" s="80"/>
      <c r="CE27" s="80"/>
      <c r="CF27" s="80"/>
      <c r="CG27" s="80"/>
      <c r="CH27" s="80"/>
      <c r="CI27" s="80"/>
      <c r="CJ27" s="80"/>
      <c r="CK27" s="80"/>
      <c r="CL27" s="80"/>
      <c r="CM27" s="80"/>
      <c r="CN27" s="80"/>
      <c r="CO27" s="80"/>
      <c r="CP27" s="80"/>
      <c r="CQ27" s="80"/>
      <c r="CR27" s="80"/>
      <c r="CS27" s="80"/>
      <c r="CT27" s="80"/>
      <c r="CU27" s="80"/>
      <c r="CV27" s="80"/>
      <c r="CW27" s="80"/>
      <c r="CX27" s="80"/>
      <c r="CY27" s="80"/>
      <c r="CZ27" s="80"/>
      <c r="DA27" s="80"/>
      <c r="DB27" s="80"/>
      <c r="DC27" s="80"/>
      <c r="DD27" s="80"/>
      <c r="DE27" s="80"/>
      <c r="DF27" s="80"/>
      <c r="DG27" s="80"/>
      <c r="DH27" s="80"/>
      <c r="DI27" s="80"/>
      <c r="DJ27" s="80"/>
      <c r="DK27" s="80"/>
      <c r="DL27" s="80"/>
      <c r="DM27" s="80"/>
      <c r="DN27" s="80"/>
      <c r="DO27" s="80"/>
      <c r="DP27" s="80"/>
      <c r="DQ27" s="80"/>
      <c r="DR27" s="80"/>
      <c r="DS27" s="80"/>
      <c r="DT27" s="80"/>
      <c r="DV27" s="92"/>
      <c r="DW27" s="92"/>
      <c r="DX27" s="92"/>
      <c r="DY27" s="92"/>
      <c r="DZ27" s="92"/>
      <c r="EA27" s="92"/>
      <c r="EB27" s="92"/>
      <c r="EC27" s="92"/>
      <c r="ED27" s="92"/>
      <c r="EE27" s="92"/>
    </row>
    <row r="28" spans="2:135" ht="19" thickBot="1">
      <c r="B28" s="190"/>
      <c r="C28" s="5"/>
      <c r="D28" s="91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U28" s="80"/>
      <c r="BV28" s="80"/>
      <c r="BW28" s="80"/>
      <c r="BX28" s="80"/>
      <c r="BY28" s="80"/>
      <c r="BZ28" s="80"/>
      <c r="CA28" s="80"/>
      <c r="CB28" s="80"/>
      <c r="CC28" s="80"/>
      <c r="CD28" s="80"/>
      <c r="CE28" s="80"/>
      <c r="CF28" s="80"/>
      <c r="CG28" s="80"/>
      <c r="CH28" s="80"/>
      <c r="CI28" s="80"/>
      <c r="CJ28" s="80"/>
      <c r="CK28" s="80"/>
      <c r="CL28" s="80"/>
      <c r="CM28" s="80"/>
      <c r="CN28" s="80"/>
      <c r="CO28" s="80"/>
      <c r="CP28" s="80"/>
      <c r="CQ28" s="80"/>
      <c r="CR28" s="80"/>
      <c r="CS28" s="80"/>
      <c r="CT28" s="80"/>
      <c r="CU28" s="80"/>
      <c r="CV28" s="80"/>
      <c r="CW28" s="80"/>
      <c r="CX28" s="80"/>
      <c r="CY28" s="80"/>
      <c r="CZ28" s="80"/>
      <c r="DA28" s="80"/>
      <c r="DB28" s="80"/>
      <c r="DC28" s="80"/>
      <c r="DD28" s="80"/>
      <c r="DE28" s="80"/>
      <c r="DF28" s="80"/>
      <c r="DG28" s="80"/>
      <c r="DH28" s="80"/>
      <c r="DI28" s="80"/>
      <c r="DJ28" s="80"/>
      <c r="DK28" s="80"/>
      <c r="DL28" s="80"/>
      <c r="DM28" s="80"/>
      <c r="DN28" s="80"/>
      <c r="DO28" s="80"/>
      <c r="DP28" s="80"/>
      <c r="DQ28" s="80"/>
      <c r="DR28" s="80"/>
      <c r="DS28" s="80"/>
      <c r="DT28" s="80"/>
      <c r="DV28" s="92"/>
      <c r="DW28" s="92"/>
      <c r="DX28" s="92"/>
      <c r="DY28" s="92"/>
      <c r="DZ28" s="92"/>
      <c r="EA28" s="92"/>
      <c r="EB28" s="92"/>
      <c r="EC28" s="92"/>
      <c r="ED28" s="92"/>
      <c r="EE28" s="92"/>
    </row>
    <row r="29" spans="2:135" ht="19" thickBot="1">
      <c r="B29" s="190"/>
      <c r="C29" s="5"/>
      <c r="D29" s="91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80"/>
      <c r="BM29" s="80"/>
      <c r="BN29" s="80"/>
      <c r="BO29" s="80"/>
      <c r="BP29" s="80"/>
      <c r="BQ29" s="80"/>
      <c r="BR29" s="80"/>
      <c r="BS29" s="80"/>
      <c r="BT29" s="80"/>
      <c r="BU29" s="80"/>
      <c r="BV29" s="80"/>
      <c r="BW29" s="80"/>
      <c r="BX29" s="80"/>
      <c r="BY29" s="80"/>
      <c r="BZ29" s="80"/>
      <c r="CA29" s="80"/>
      <c r="CB29" s="80"/>
      <c r="CC29" s="80"/>
      <c r="CD29" s="80"/>
      <c r="CE29" s="80"/>
      <c r="CF29" s="80"/>
      <c r="CG29" s="80"/>
      <c r="CH29" s="80"/>
      <c r="CI29" s="80"/>
      <c r="CJ29" s="80"/>
      <c r="CK29" s="80"/>
      <c r="CL29" s="80"/>
      <c r="CM29" s="80"/>
      <c r="CN29" s="80"/>
      <c r="CO29" s="80"/>
      <c r="CP29" s="80"/>
      <c r="CQ29" s="80"/>
      <c r="CR29" s="80"/>
      <c r="CS29" s="80"/>
      <c r="CT29" s="80"/>
      <c r="CU29" s="80"/>
      <c r="CV29" s="80"/>
      <c r="CW29" s="80"/>
      <c r="CX29" s="80"/>
      <c r="CY29" s="80"/>
      <c r="CZ29" s="80"/>
      <c r="DA29" s="80"/>
      <c r="DB29" s="80"/>
      <c r="DC29" s="80"/>
      <c r="DD29" s="80"/>
      <c r="DE29" s="80"/>
      <c r="DF29" s="80"/>
      <c r="DG29" s="80"/>
      <c r="DH29" s="80"/>
      <c r="DI29" s="80"/>
      <c r="DJ29" s="80"/>
      <c r="DK29" s="80"/>
      <c r="DL29" s="80"/>
      <c r="DM29" s="80"/>
      <c r="DN29" s="80"/>
      <c r="DO29" s="80"/>
      <c r="DP29" s="80"/>
      <c r="DQ29" s="80"/>
      <c r="DR29" s="80"/>
      <c r="DS29" s="80"/>
      <c r="DT29" s="80"/>
      <c r="DV29" s="92"/>
      <c r="DW29" s="92"/>
      <c r="DX29" s="92"/>
      <c r="DY29" s="92"/>
      <c r="DZ29" s="92"/>
      <c r="EA29" s="92"/>
      <c r="EB29" s="92"/>
      <c r="EC29" s="92"/>
      <c r="ED29" s="92"/>
      <c r="EE29" s="92"/>
    </row>
    <row r="30" spans="2:135" ht="19" thickBot="1">
      <c r="B30" s="190"/>
      <c r="C30" s="5"/>
      <c r="D30" s="91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0"/>
      <c r="BF30" s="80"/>
      <c r="BG30" s="80"/>
      <c r="BH30" s="80"/>
      <c r="BI30" s="80"/>
      <c r="BJ30" s="80"/>
      <c r="BK30" s="80"/>
      <c r="BL30" s="80"/>
      <c r="BM30" s="80"/>
      <c r="BN30" s="80"/>
      <c r="BO30" s="80"/>
      <c r="BP30" s="80"/>
      <c r="BQ30" s="80"/>
      <c r="BR30" s="80"/>
      <c r="BS30" s="80"/>
      <c r="BT30" s="80"/>
      <c r="BU30" s="80"/>
      <c r="BV30" s="80"/>
      <c r="BW30" s="80"/>
      <c r="BX30" s="80"/>
      <c r="BY30" s="80"/>
      <c r="BZ30" s="80"/>
      <c r="CA30" s="80"/>
      <c r="CB30" s="80"/>
      <c r="CC30" s="80"/>
      <c r="CD30" s="80"/>
      <c r="CE30" s="80"/>
      <c r="CF30" s="80"/>
      <c r="CG30" s="80"/>
      <c r="CH30" s="80"/>
      <c r="CI30" s="80"/>
      <c r="CJ30" s="80"/>
      <c r="CK30" s="80"/>
      <c r="CL30" s="80"/>
      <c r="CM30" s="80"/>
      <c r="CN30" s="80"/>
      <c r="CO30" s="80"/>
      <c r="CP30" s="80"/>
      <c r="CQ30" s="80"/>
      <c r="CR30" s="80"/>
      <c r="CS30" s="80"/>
      <c r="CT30" s="80"/>
      <c r="CU30" s="80"/>
      <c r="CV30" s="80"/>
      <c r="CW30" s="80"/>
      <c r="CX30" s="80"/>
      <c r="CY30" s="80"/>
      <c r="CZ30" s="80"/>
      <c r="DA30" s="80"/>
      <c r="DB30" s="80"/>
      <c r="DC30" s="80"/>
      <c r="DD30" s="80"/>
      <c r="DE30" s="80"/>
      <c r="DF30" s="80"/>
      <c r="DG30" s="80"/>
      <c r="DH30" s="80"/>
      <c r="DI30" s="80"/>
      <c r="DJ30" s="80"/>
      <c r="DK30" s="80"/>
      <c r="DL30" s="80"/>
      <c r="DM30" s="80"/>
      <c r="DN30" s="80"/>
      <c r="DO30" s="80"/>
      <c r="DP30" s="80"/>
      <c r="DQ30" s="80"/>
      <c r="DR30" s="80"/>
      <c r="DS30" s="80"/>
      <c r="DT30" s="80"/>
      <c r="DV30" s="92"/>
      <c r="DW30" s="92"/>
      <c r="DX30" s="92"/>
      <c r="DY30" s="92"/>
      <c r="DZ30" s="92"/>
      <c r="EA30" s="92"/>
      <c r="EB30" s="92"/>
      <c r="EC30" s="92"/>
      <c r="ED30" s="92"/>
      <c r="EE30" s="92"/>
    </row>
    <row r="31" spans="2:135" ht="19" thickBot="1">
      <c r="B31" s="190"/>
      <c r="C31" s="5"/>
      <c r="D31" s="91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0"/>
      <c r="BK31" s="80"/>
      <c r="BL31" s="80"/>
      <c r="BM31" s="80"/>
      <c r="BN31" s="80"/>
      <c r="BO31" s="80"/>
      <c r="BP31" s="80"/>
      <c r="BQ31" s="80"/>
      <c r="BR31" s="80"/>
      <c r="BS31" s="80"/>
      <c r="BT31" s="80"/>
      <c r="BU31" s="80"/>
      <c r="BV31" s="80"/>
      <c r="BW31" s="80"/>
      <c r="BX31" s="80"/>
      <c r="BY31" s="80"/>
      <c r="BZ31" s="80"/>
      <c r="CA31" s="80"/>
      <c r="CB31" s="80"/>
      <c r="CC31" s="80"/>
      <c r="CD31" s="80"/>
      <c r="CE31" s="80"/>
      <c r="CF31" s="80"/>
      <c r="CG31" s="80"/>
      <c r="CH31" s="80"/>
      <c r="CI31" s="80"/>
      <c r="CJ31" s="80"/>
      <c r="CK31" s="80"/>
      <c r="CL31" s="80"/>
      <c r="CM31" s="80"/>
      <c r="CN31" s="80"/>
      <c r="CO31" s="80"/>
      <c r="CP31" s="80"/>
      <c r="CQ31" s="80"/>
      <c r="CR31" s="80"/>
      <c r="CS31" s="80"/>
      <c r="CT31" s="80"/>
      <c r="CU31" s="80"/>
      <c r="CV31" s="80"/>
      <c r="CW31" s="80"/>
      <c r="CX31" s="80"/>
      <c r="CY31" s="80"/>
      <c r="CZ31" s="80"/>
      <c r="DA31" s="80"/>
      <c r="DB31" s="80"/>
      <c r="DC31" s="80"/>
      <c r="DD31" s="80"/>
      <c r="DE31" s="80"/>
      <c r="DF31" s="80"/>
      <c r="DG31" s="80"/>
      <c r="DH31" s="80"/>
      <c r="DI31" s="80"/>
      <c r="DJ31" s="80"/>
      <c r="DK31" s="80"/>
      <c r="DL31" s="80"/>
      <c r="DM31" s="80"/>
      <c r="DN31" s="80"/>
      <c r="DO31" s="80"/>
      <c r="DP31" s="80"/>
      <c r="DQ31" s="80"/>
      <c r="DR31" s="80"/>
      <c r="DS31" s="80"/>
      <c r="DT31" s="80"/>
      <c r="DV31" s="92"/>
      <c r="DW31" s="92"/>
      <c r="DX31" s="92"/>
      <c r="DY31" s="92"/>
      <c r="DZ31" s="92"/>
      <c r="EA31" s="92"/>
      <c r="EB31" s="92"/>
      <c r="EC31" s="92"/>
      <c r="ED31" s="92"/>
      <c r="EE31" s="92"/>
    </row>
    <row r="32" spans="2:135" ht="19" thickBot="1">
      <c r="B32" s="190"/>
      <c r="C32" s="5"/>
      <c r="D32" s="91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80"/>
      <c r="BL32" s="80"/>
      <c r="BM32" s="80"/>
      <c r="BN32" s="80"/>
      <c r="BO32" s="80"/>
      <c r="BP32" s="80"/>
      <c r="BQ32" s="80"/>
      <c r="BR32" s="80"/>
      <c r="BS32" s="80"/>
      <c r="BT32" s="80"/>
      <c r="BU32" s="80"/>
      <c r="BV32" s="80"/>
      <c r="BW32" s="80"/>
      <c r="BX32" s="80"/>
      <c r="BY32" s="80"/>
      <c r="BZ32" s="80"/>
      <c r="CA32" s="80"/>
      <c r="CB32" s="80"/>
      <c r="CC32" s="80"/>
      <c r="CD32" s="80"/>
      <c r="CE32" s="80"/>
      <c r="CF32" s="80"/>
      <c r="CG32" s="80"/>
      <c r="CH32" s="80"/>
      <c r="CI32" s="80"/>
      <c r="CJ32" s="80"/>
      <c r="CK32" s="80"/>
      <c r="CL32" s="80"/>
      <c r="CM32" s="80"/>
      <c r="CN32" s="80"/>
      <c r="CO32" s="80"/>
      <c r="CP32" s="80"/>
      <c r="CQ32" s="80"/>
      <c r="CR32" s="80"/>
      <c r="CS32" s="80"/>
      <c r="CT32" s="80"/>
      <c r="CU32" s="80"/>
      <c r="CV32" s="80"/>
      <c r="CW32" s="80"/>
      <c r="CX32" s="80"/>
      <c r="CY32" s="80"/>
      <c r="CZ32" s="80"/>
      <c r="DA32" s="80"/>
      <c r="DB32" s="80"/>
      <c r="DC32" s="80"/>
      <c r="DD32" s="80"/>
      <c r="DE32" s="80"/>
      <c r="DF32" s="80"/>
      <c r="DG32" s="80"/>
      <c r="DH32" s="80"/>
      <c r="DI32" s="80"/>
      <c r="DJ32" s="80"/>
      <c r="DK32" s="80"/>
      <c r="DL32" s="80"/>
      <c r="DM32" s="80"/>
      <c r="DN32" s="80"/>
      <c r="DO32" s="80"/>
      <c r="DP32" s="80"/>
      <c r="DQ32" s="80"/>
      <c r="DR32" s="80"/>
      <c r="DS32" s="80"/>
      <c r="DT32" s="80"/>
      <c r="DV32" s="92"/>
      <c r="DW32" s="92"/>
      <c r="DX32" s="92"/>
      <c r="DY32" s="92"/>
      <c r="DZ32" s="92"/>
      <c r="EA32" s="92"/>
      <c r="EB32" s="92"/>
      <c r="EC32" s="92"/>
      <c r="ED32" s="92"/>
      <c r="EE32" s="92"/>
    </row>
    <row r="33" spans="2:136" ht="19" thickBot="1">
      <c r="B33" s="190"/>
      <c r="C33" s="5"/>
      <c r="D33" s="91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80"/>
      <c r="BM33" s="80"/>
      <c r="BN33" s="80"/>
      <c r="BO33" s="80"/>
      <c r="BP33" s="80"/>
      <c r="BQ33" s="80"/>
      <c r="BR33" s="80"/>
      <c r="BS33" s="80"/>
      <c r="BT33" s="80"/>
      <c r="BU33" s="80"/>
      <c r="BV33" s="80"/>
      <c r="BW33" s="80"/>
      <c r="BX33" s="80"/>
      <c r="BY33" s="80"/>
      <c r="BZ33" s="80"/>
      <c r="CA33" s="80"/>
      <c r="CB33" s="80"/>
      <c r="CC33" s="80"/>
      <c r="CD33" s="80"/>
      <c r="CE33" s="80"/>
      <c r="CF33" s="80"/>
      <c r="CG33" s="80"/>
      <c r="CH33" s="80"/>
      <c r="CI33" s="80"/>
      <c r="CJ33" s="80"/>
      <c r="CK33" s="80"/>
      <c r="CL33" s="80"/>
      <c r="CM33" s="80"/>
      <c r="CN33" s="80"/>
      <c r="CO33" s="80"/>
      <c r="CP33" s="80"/>
      <c r="CQ33" s="80"/>
      <c r="CR33" s="80"/>
      <c r="CS33" s="80"/>
      <c r="CT33" s="80"/>
      <c r="CU33" s="80"/>
      <c r="CV33" s="80"/>
      <c r="CW33" s="80"/>
      <c r="CX33" s="80"/>
      <c r="CY33" s="80"/>
      <c r="CZ33" s="80"/>
      <c r="DA33" s="80"/>
      <c r="DB33" s="80"/>
      <c r="DC33" s="80"/>
      <c r="DD33" s="80"/>
      <c r="DE33" s="80"/>
      <c r="DF33" s="80"/>
      <c r="DG33" s="80"/>
      <c r="DH33" s="80"/>
      <c r="DI33" s="80"/>
      <c r="DJ33" s="80"/>
      <c r="DK33" s="80"/>
      <c r="DL33" s="80"/>
      <c r="DM33" s="80"/>
      <c r="DN33" s="80"/>
      <c r="DO33" s="80"/>
      <c r="DP33" s="80"/>
      <c r="DQ33" s="80"/>
      <c r="DR33" s="80"/>
      <c r="DS33" s="80"/>
      <c r="DT33" s="80"/>
      <c r="DV33" s="92"/>
      <c r="DW33" s="92"/>
      <c r="DX33" s="92"/>
      <c r="DY33" s="92"/>
      <c r="DZ33" s="92"/>
      <c r="EA33" s="92"/>
      <c r="EB33" s="92"/>
      <c r="EC33" s="92"/>
      <c r="ED33" s="92"/>
      <c r="EE33" s="92"/>
    </row>
    <row r="34" spans="2:136" ht="19" thickBot="1">
      <c r="B34" s="190"/>
      <c r="C34" s="5"/>
      <c r="D34" s="91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0"/>
      <c r="BF34" s="80"/>
      <c r="BG34" s="80"/>
      <c r="BH34" s="80"/>
      <c r="BI34" s="80"/>
      <c r="BJ34" s="80"/>
      <c r="BK34" s="80"/>
      <c r="BL34" s="80"/>
      <c r="BM34" s="80"/>
      <c r="BN34" s="80"/>
      <c r="BO34" s="80"/>
      <c r="BP34" s="80"/>
      <c r="BQ34" s="80"/>
      <c r="BR34" s="80"/>
      <c r="BS34" s="80"/>
      <c r="BT34" s="80"/>
      <c r="BU34" s="80"/>
      <c r="BV34" s="80"/>
      <c r="BW34" s="80"/>
      <c r="BX34" s="80"/>
      <c r="BY34" s="80"/>
      <c r="BZ34" s="80"/>
      <c r="CA34" s="80"/>
      <c r="CB34" s="80"/>
      <c r="CC34" s="80"/>
      <c r="CD34" s="80"/>
      <c r="CE34" s="80"/>
      <c r="CF34" s="80"/>
      <c r="CG34" s="80"/>
      <c r="CH34" s="80"/>
      <c r="CI34" s="80"/>
      <c r="CJ34" s="80"/>
      <c r="CK34" s="80"/>
      <c r="CL34" s="80"/>
      <c r="CM34" s="80"/>
      <c r="CN34" s="80"/>
      <c r="CO34" s="80"/>
      <c r="CP34" s="80"/>
      <c r="CQ34" s="80"/>
      <c r="CR34" s="80"/>
      <c r="CS34" s="80"/>
      <c r="CT34" s="80"/>
      <c r="CU34" s="80"/>
      <c r="CV34" s="80"/>
      <c r="CW34" s="80"/>
      <c r="CX34" s="80"/>
      <c r="CY34" s="80"/>
      <c r="CZ34" s="80"/>
      <c r="DA34" s="80"/>
      <c r="DB34" s="80"/>
      <c r="DC34" s="80"/>
      <c r="DD34" s="80"/>
      <c r="DE34" s="80"/>
      <c r="DF34" s="80"/>
      <c r="DG34" s="80"/>
      <c r="DH34" s="80"/>
      <c r="DI34" s="80"/>
      <c r="DJ34" s="80"/>
      <c r="DK34" s="80"/>
      <c r="DL34" s="80"/>
      <c r="DM34" s="80"/>
      <c r="DN34" s="80"/>
      <c r="DO34" s="80"/>
      <c r="DP34" s="80"/>
      <c r="DQ34" s="80"/>
      <c r="DR34" s="80"/>
      <c r="DS34" s="80"/>
      <c r="DT34" s="80"/>
      <c r="DV34" s="92"/>
      <c r="DW34" s="92"/>
      <c r="DX34" s="92"/>
      <c r="DY34" s="92"/>
      <c r="DZ34" s="92"/>
      <c r="EA34" s="92"/>
      <c r="EB34" s="92"/>
      <c r="EC34" s="92"/>
      <c r="ED34" s="92"/>
      <c r="EE34" s="92"/>
    </row>
    <row r="35" spans="2:136" ht="19" thickBot="1">
      <c r="B35" s="190"/>
      <c r="C35" s="5"/>
      <c r="D35" s="91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0"/>
      <c r="BF35" s="80"/>
      <c r="BG35" s="80"/>
      <c r="BH35" s="80"/>
      <c r="BI35" s="80"/>
      <c r="BJ35" s="80"/>
      <c r="BK35" s="80"/>
      <c r="BL35" s="80"/>
      <c r="BM35" s="80"/>
      <c r="BN35" s="80"/>
      <c r="BO35" s="80"/>
      <c r="BP35" s="80"/>
      <c r="BQ35" s="80"/>
      <c r="BR35" s="80"/>
      <c r="BS35" s="80"/>
      <c r="BT35" s="80"/>
      <c r="BU35" s="80"/>
      <c r="BV35" s="80"/>
      <c r="BW35" s="80"/>
      <c r="BX35" s="80"/>
      <c r="BY35" s="80"/>
      <c r="BZ35" s="80"/>
      <c r="CA35" s="80"/>
      <c r="CB35" s="80"/>
      <c r="CC35" s="80"/>
      <c r="CD35" s="80"/>
      <c r="CE35" s="80"/>
      <c r="CF35" s="80"/>
      <c r="CG35" s="80"/>
      <c r="CH35" s="80"/>
      <c r="CI35" s="80"/>
      <c r="CJ35" s="80"/>
      <c r="CK35" s="80"/>
      <c r="CL35" s="80"/>
      <c r="CM35" s="80"/>
      <c r="CN35" s="80"/>
      <c r="CO35" s="80"/>
      <c r="CP35" s="80"/>
      <c r="CQ35" s="80"/>
      <c r="CR35" s="80"/>
      <c r="CS35" s="80"/>
      <c r="CT35" s="80"/>
      <c r="CU35" s="80"/>
      <c r="CV35" s="80"/>
      <c r="CW35" s="80"/>
      <c r="CX35" s="80"/>
      <c r="CY35" s="80"/>
      <c r="CZ35" s="80"/>
      <c r="DA35" s="80"/>
      <c r="DB35" s="80"/>
      <c r="DC35" s="80"/>
      <c r="DD35" s="80"/>
      <c r="DE35" s="80"/>
      <c r="DF35" s="80"/>
      <c r="DG35" s="80"/>
      <c r="DH35" s="80"/>
      <c r="DI35" s="80"/>
      <c r="DJ35" s="80"/>
      <c r="DK35" s="80"/>
      <c r="DL35" s="80"/>
      <c r="DM35" s="80"/>
      <c r="DN35" s="80"/>
      <c r="DO35" s="80"/>
      <c r="DP35" s="80"/>
      <c r="DQ35" s="80"/>
      <c r="DR35" s="80"/>
      <c r="DS35" s="80"/>
      <c r="DT35" s="80"/>
      <c r="DV35" s="92"/>
      <c r="DW35" s="92"/>
      <c r="DX35" s="92"/>
      <c r="DY35" s="92"/>
      <c r="DZ35" s="92"/>
      <c r="EA35" s="92"/>
      <c r="EB35" s="92"/>
      <c r="EC35" s="92"/>
      <c r="ED35" s="92"/>
      <c r="EE35" s="92"/>
    </row>
    <row r="36" spans="2:136" ht="19" thickBot="1">
      <c r="B36" s="190"/>
      <c r="C36" s="5"/>
      <c r="D36" s="91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  <c r="BD36" s="80"/>
      <c r="BE36" s="80"/>
      <c r="BF36" s="80"/>
      <c r="BG36" s="80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  <c r="BS36" s="80"/>
      <c r="BT36" s="80"/>
      <c r="BU36" s="80"/>
      <c r="BV36" s="80"/>
      <c r="BW36" s="80"/>
      <c r="BX36" s="80"/>
      <c r="BY36" s="80"/>
      <c r="BZ36" s="80"/>
      <c r="CA36" s="80"/>
      <c r="CB36" s="80"/>
      <c r="CC36" s="80"/>
      <c r="CD36" s="80"/>
      <c r="CE36" s="80"/>
      <c r="CF36" s="80"/>
      <c r="CG36" s="80"/>
      <c r="CH36" s="80"/>
      <c r="CI36" s="80"/>
      <c r="CJ36" s="80"/>
      <c r="CK36" s="80"/>
      <c r="CL36" s="80"/>
      <c r="CM36" s="80"/>
      <c r="CN36" s="80"/>
      <c r="CO36" s="80"/>
      <c r="CP36" s="80"/>
      <c r="CQ36" s="80"/>
      <c r="CR36" s="80"/>
      <c r="CS36" s="80"/>
      <c r="CT36" s="80"/>
      <c r="CU36" s="80"/>
      <c r="CV36" s="80"/>
      <c r="CW36" s="80"/>
      <c r="CX36" s="80"/>
      <c r="CY36" s="80"/>
      <c r="CZ36" s="80"/>
      <c r="DA36" s="80"/>
      <c r="DB36" s="80"/>
      <c r="DC36" s="80"/>
      <c r="DD36" s="80"/>
      <c r="DE36" s="80"/>
      <c r="DF36" s="80"/>
      <c r="DG36" s="80"/>
      <c r="DH36" s="80"/>
      <c r="DI36" s="80"/>
      <c r="DJ36" s="80"/>
      <c r="DK36" s="80"/>
      <c r="DL36" s="80"/>
      <c r="DM36" s="80"/>
      <c r="DN36" s="80"/>
      <c r="DO36" s="80"/>
      <c r="DP36" s="80"/>
      <c r="DQ36" s="80"/>
      <c r="DR36" s="80"/>
      <c r="DS36" s="80"/>
      <c r="DT36" s="80"/>
      <c r="DV36" s="92"/>
      <c r="DW36" s="92"/>
      <c r="DX36" s="92"/>
      <c r="DY36" s="92"/>
      <c r="DZ36" s="92"/>
      <c r="EA36" s="92"/>
      <c r="EB36" s="92"/>
      <c r="EC36" s="92"/>
      <c r="ED36" s="92"/>
      <c r="EE36" s="92"/>
    </row>
    <row r="37" spans="2:136">
      <c r="B37" s="98"/>
      <c r="D37" s="91">
        <f t="shared" ref="D37" si="50">SUM(D23:D36)</f>
        <v>2059992</v>
      </c>
      <c r="E37" s="99">
        <f>SUM(E20,E23:E36,E21)</f>
        <v>2103504999</v>
      </c>
      <c r="F37" s="99">
        <f t="shared" ref="F37:BQ37" si="51">SUM(F20,F23:F36,F21)</f>
        <v>2103504999</v>
      </c>
      <c r="G37" s="99">
        <f t="shared" si="51"/>
        <v>2103504999</v>
      </c>
      <c r="H37" s="99">
        <f t="shared" si="51"/>
        <v>2103504999</v>
      </c>
      <c r="I37" s="99">
        <f t="shared" si="51"/>
        <v>2103504999</v>
      </c>
      <c r="J37" s="99">
        <f t="shared" si="51"/>
        <v>2103504999</v>
      </c>
      <c r="K37" s="99">
        <f t="shared" si="51"/>
        <v>2103504999</v>
      </c>
      <c r="L37" s="99">
        <f t="shared" si="51"/>
        <v>2103504999</v>
      </c>
      <c r="M37" s="99">
        <f t="shared" si="51"/>
        <v>2103504999</v>
      </c>
      <c r="N37" s="99">
        <f t="shared" si="51"/>
        <v>2103504999</v>
      </c>
      <c r="O37" s="99">
        <f t="shared" si="51"/>
        <v>2103504999</v>
      </c>
      <c r="P37" s="99">
        <f t="shared" si="51"/>
        <v>2103504999</v>
      </c>
      <c r="Q37" s="99">
        <f t="shared" si="51"/>
        <v>2153825925.5999999</v>
      </c>
      <c r="R37" s="99">
        <f t="shared" si="51"/>
        <v>2153825925.5999999</v>
      </c>
      <c r="S37" s="99">
        <f t="shared" si="51"/>
        <v>2153825925.5999999</v>
      </c>
      <c r="T37" s="99">
        <f t="shared" si="51"/>
        <v>2153825925.5999999</v>
      </c>
      <c r="U37" s="99">
        <f t="shared" si="51"/>
        <v>2153825925.5999999</v>
      </c>
      <c r="V37" s="99">
        <f t="shared" si="51"/>
        <v>2153825925.5999999</v>
      </c>
      <c r="W37" s="99">
        <f t="shared" si="51"/>
        <v>2153825925.5999999</v>
      </c>
      <c r="X37" s="99">
        <f t="shared" si="51"/>
        <v>2153825925.5999999</v>
      </c>
      <c r="Y37" s="99">
        <f t="shared" si="51"/>
        <v>2153825925.5999999</v>
      </c>
      <c r="Z37" s="99">
        <f t="shared" si="51"/>
        <v>2153825925.5999999</v>
      </c>
      <c r="AA37" s="99">
        <f t="shared" si="51"/>
        <v>2153825925.5999999</v>
      </c>
      <c r="AB37" s="99">
        <f t="shared" si="51"/>
        <v>2153825925.5999999</v>
      </c>
      <c r="AC37" s="99">
        <f t="shared" si="51"/>
        <v>2153830925.5999999</v>
      </c>
      <c r="AD37" s="99">
        <f t="shared" si="51"/>
        <v>2153830925.5999999</v>
      </c>
      <c r="AE37" s="99">
        <f t="shared" si="51"/>
        <v>2153830925.5999999</v>
      </c>
      <c r="AF37" s="99">
        <f t="shared" si="51"/>
        <v>2153830925.5999999</v>
      </c>
      <c r="AG37" s="99">
        <f t="shared" si="51"/>
        <v>2153830925.5999999</v>
      </c>
      <c r="AH37" s="99">
        <f t="shared" si="51"/>
        <v>2153830925.5999999</v>
      </c>
      <c r="AI37" s="99">
        <f t="shared" si="51"/>
        <v>2153830925.5999999</v>
      </c>
      <c r="AJ37" s="99">
        <f t="shared" si="51"/>
        <v>2153830925.5999999</v>
      </c>
      <c r="AK37" s="99">
        <f t="shared" si="51"/>
        <v>2153830925.5999999</v>
      </c>
      <c r="AL37" s="99">
        <f t="shared" si="51"/>
        <v>2153830925.5999999</v>
      </c>
      <c r="AM37" s="99">
        <f t="shared" si="51"/>
        <v>2153830925.5999999</v>
      </c>
      <c r="AN37" s="99">
        <f t="shared" si="51"/>
        <v>2153830925.5999999</v>
      </c>
      <c r="AO37" s="99">
        <f t="shared" si="51"/>
        <v>2153835925.5999999</v>
      </c>
      <c r="AP37" s="99">
        <f t="shared" si="51"/>
        <v>2153835925.5999999</v>
      </c>
      <c r="AQ37" s="99">
        <f t="shared" si="51"/>
        <v>2153835925.5999999</v>
      </c>
      <c r="AR37" s="99">
        <f t="shared" si="51"/>
        <v>2153835925.5999999</v>
      </c>
      <c r="AS37" s="99">
        <f t="shared" si="51"/>
        <v>2153835925.5999999</v>
      </c>
      <c r="AT37" s="99">
        <f t="shared" si="51"/>
        <v>2153835925.5999999</v>
      </c>
      <c r="AU37" s="99">
        <f t="shared" si="51"/>
        <v>2153835925.5999999</v>
      </c>
      <c r="AV37" s="99">
        <f t="shared" si="51"/>
        <v>2153835925.5999999</v>
      </c>
      <c r="AW37" s="99">
        <f t="shared" si="51"/>
        <v>2153835925.5999999</v>
      </c>
      <c r="AX37" s="99">
        <f t="shared" si="51"/>
        <v>2153835925.5999999</v>
      </c>
      <c r="AY37" s="99">
        <f t="shared" si="51"/>
        <v>2153835925.5999999</v>
      </c>
      <c r="AZ37" s="99">
        <f t="shared" si="51"/>
        <v>2153835925.5999999</v>
      </c>
      <c r="BA37" s="99">
        <f t="shared" si="51"/>
        <v>2153840925.5999999</v>
      </c>
      <c r="BB37" s="99">
        <f t="shared" si="51"/>
        <v>2153840925.5999999</v>
      </c>
      <c r="BC37" s="99">
        <f t="shared" si="51"/>
        <v>2153840925.5999999</v>
      </c>
      <c r="BD37" s="99">
        <f t="shared" si="51"/>
        <v>2153840925.5999999</v>
      </c>
      <c r="BE37" s="99">
        <f t="shared" si="51"/>
        <v>2153840925.5999999</v>
      </c>
      <c r="BF37" s="99">
        <f t="shared" si="51"/>
        <v>2153840925.5999999</v>
      </c>
      <c r="BG37" s="99">
        <f t="shared" si="51"/>
        <v>2153840925.5999999</v>
      </c>
      <c r="BH37" s="99">
        <f t="shared" si="51"/>
        <v>2153840925.5999999</v>
      </c>
      <c r="BI37" s="99">
        <f t="shared" si="51"/>
        <v>2153840925.5999999</v>
      </c>
      <c r="BJ37" s="99">
        <f t="shared" si="51"/>
        <v>2153840925.5999999</v>
      </c>
      <c r="BK37" s="99">
        <f t="shared" si="51"/>
        <v>2153840925.5999999</v>
      </c>
      <c r="BL37" s="99">
        <f t="shared" si="51"/>
        <v>2153840925.5999999</v>
      </c>
      <c r="BM37" s="99">
        <f t="shared" si="51"/>
        <v>2153845925.5999999</v>
      </c>
      <c r="BN37" s="99">
        <f t="shared" si="51"/>
        <v>2153845925.5999999</v>
      </c>
      <c r="BO37" s="99">
        <f t="shared" si="51"/>
        <v>2153845925.5999999</v>
      </c>
      <c r="BP37" s="99">
        <f t="shared" si="51"/>
        <v>2153845925.5999999</v>
      </c>
      <c r="BQ37" s="99">
        <f t="shared" si="51"/>
        <v>2153845925.5999999</v>
      </c>
      <c r="BR37" s="99">
        <f t="shared" ref="BR37:DT37" si="52">SUM(BR20,BR23:BR36,BR21)</f>
        <v>2153845925.5999999</v>
      </c>
      <c r="BS37" s="99">
        <f t="shared" si="52"/>
        <v>2153845925.5999999</v>
      </c>
      <c r="BT37" s="99">
        <f t="shared" si="52"/>
        <v>2153845925.5999999</v>
      </c>
      <c r="BU37" s="99">
        <f t="shared" si="52"/>
        <v>2153845925.5999999</v>
      </c>
      <c r="BV37" s="99">
        <f t="shared" si="52"/>
        <v>2153845925.5999999</v>
      </c>
      <c r="BW37" s="99">
        <f t="shared" si="52"/>
        <v>2153845925.5999999</v>
      </c>
      <c r="BX37" s="99">
        <f t="shared" si="52"/>
        <v>2153845925.5999999</v>
      </c>
      <c r="BY37" s="99">
        <f t="shared" si="52"/>
        <v>2153850925.5999999</v>
      </c>
      <c r="BZ37" s="99">
        <f t="shared" si="52"/>
        <v>2153850925.5999999</v>
      </c>
      <c r="CA37" s="99">
        <f t="shared" si="52"/>
        <v>2153850925.5999999</v>
      </c>
      <c r="CB37" s="99">
        <f t="shared" si="52"/>
        <v>2153850925.5999999</v>
      </c>
      <c r="CC37" s="99">
        <f t="shared" si="52"/>
        <v>2153850925.5999999</v>
      </c>
      <c r="CD37" s="99">
        <f t="shared" si="52"/>
        <v>2153850925.5999999</v>
      </c>
      <c r="CE37" s="99">
        <f t="shared" si="52"/>
        <v>2153850925.5999999</v>
      </c>
      <c r="CF37" s="99">
        <f t="shared" si="52"/>
        <v>2153850925.5999999</v>
      </c>
      <c r="CG37" s="99">
        <f t="shared" si="52"/>
        <v>2153850925.5999999</v>
      </c>
      <c r="CH37" s="99">
        <f t="shared" si="52"/>
        <v>2153850925.5999999</v>
      </c>
      <c r="CI37" s="99">
        <f t="shared" si="52"/>
        <v>2153850925.5999999</v>
      </c>
      <c r="CJ37" s="99">
        <f t="shared" si="52"/>
        <v>2153850925.5999999</v>
      </c>
      <c r="CK37" s="99">
        <f t="shared" si="52"/>
        <v>2153855925.5999999</v>
      </c>
      <c r="CL37" s="99">
        <f t="shared" si="52"/>
        <v>2153855925.5999999</v>
      </c>
      <c r="CM37" s="99">
        <f t="shared" si="52"/>
        <v>2153855925.5999999</v>
      </c>
      <c r="CN37" s="99">
        <f t="shared" si="52"/>
        <v>2153855925.5999999</v>
      </c>
      <c r="CO37" s="99">
        <f t="shared" si="52"/>
        <v>2153855925.5999999</v>
      </c>
      <c r="CP37" s="99">
        <f t="shared" si="52"/>
        <v>2153855925.5999999</v>
      </c>
      <c r="CQ37" s="99">
        <f t="shared" si="52"/>
        <v>2153855925.5999999</v>
      </c>
      <c r="CR37" s="99">
        <f t="shared" si="52"/>
        <v>2153855925.5999999</v>
      </c>
      <c r="CS37" s="99">
        <f t="shared" si="52"/>
        <v>2153855925.5999999</v>
      </c>
      <c r="CT37" s="99">
        <f t="shared" si="52"/>
        <v>2153855925.5999999</v>
      </c>
      <c r="CU37" s="99">
        <f t="shared" si="52"/>
        <v>2153855925.5999999</v>
      </c>
      <c r="CV37" s="99">
        <f t="shared" si="52"/>
        <v>2153855925.5999999</v>
      </c>
      <c r="CW37" s="99">
        <f t="shared" si="52"/>
        <v>2153860925.5999999</v>
      </c>
      <c r="CX37" s="99">
        <f t="shared" si="52"/>
        <v>2153860925.5999999</v>
      </c>
      <c r="CY37" s="99">
        <f t="shared" si="52"/>
        <v>2153860925.5999999</v>
      </c>
      <c r="CZ37" s="99">
        <f t="shared" si="52"/>
        <v>2153860925.5999999</v>
      </c>
      <c r="DA37" s="99">
        <f t="shared" si="52"/>
        <v>2153860925.5999999</v>
      </c>
      <c r="DB37" s="99">
        <f t="shared" si="52"/>
        <v>2153860925.5999999</v>
      </c>
      <c r="DC37" s="99">
        <f t="shared" si="52"/>
        <v>2153860925.5999999</v>
      </c>
      <c r="DD37" s="99">
        <f t="shared" si="52"/>
        <v>2153860925.5999999</v>
      </c>
      <c r="DE37" s="99">
        <f t="shared" si="52"/>
        <v>2153860925.5999999</v>
      </c>
      <c r="DF37" s="99">
        <f t="shared" si="52"/>
        <v>2153860925.5999999</v>
      </c>
      <c r="DG37" s="99">
        <f t="shared" si="52"/>
        <v>2153860925.5999999</v>
      </c>
      <c r="DH37" s="99">
        <f t="shared" si="52"/>
        <v>2153860925.5999999</v>
      </c>
      <c r="DI37" s="99">
        <f t="shared" si="52"/>
        <v>2153865925.5999999</v>
      </c>
      <c r="DJ37" s="99">
        <f t="shared" si="52"/>
        <v>2153865925.5999999</v>
      </c>
      <c r="DK37" s="99">
        <f t="shared" si="52"/>
        <v>2153865925.5999999</v>
      </c>
      <c r="DL37" s="99">
        <f t="shared" si="52"/>
        <v>2153865925.5999999</v>
      </c>
      <c r="DM37" s="99">
        <f t="shared" si="52"/>
        <v>2153865925.5999999</v>
      </c>
      <c r="DN37" s="99">
        <f t="shared" si="52"/>
        <v>2153865925.5999999</v>
      </c>
      <c r="DO37" s="99">
        <f t="shared" si="52"/>
        <v>2153865925.5999999</v>
      </c>
      <c r="DP37" s="99">
        <f t="shared" si="52"/>
        <v>2153865925.5999999</v>
      </c>
      <c r="DQ37" s="99">
        <f t="shared" si="52"/>
        <v>2153865925.5999999</v>
      </c>
      <c r="DR37" s="99">
        <f t="shared" si="52"/>
        <v>2153865925.5999999</v>
      </c>
      <c r="DS37" s="99">
        <f t="shared" si="52"/>
        <v>2153865925.5999999</v>
      </c>
      <c r="DT37" s="99">
        <f t="shared" si="52"/>
        <v>2153865925.5999999</v>
      </c>
      <c r="DV37" s="92">
        <f t="shared" ref="DV37" si="53">SUM(E37:P37)</f>
        <v>25242059988</v>
      </c>
      <c r="DW37" s="92">
        <f t="shared" ref="DW37" si="54">SUM(Q37:AB37)</f>
        <v>25845911107.199993</v>
      </c>
      <c r="DX37" s="92">
        <f t="shared" ref="DX37" si="55">SUM(AC37:AN37)</f>
        <v>25845971107.199993</v>
      </c>
      <c r="DY37" s="92">
        <f t="shared" ref="DY37" si="56">SUM(AO37:AZ37)</f>
        <v>25846031107.199993</v>
      </c>
      <c r="DZ37" s="92">
        <f t="shared" ref="DZ37" si="57">SUM(BA37:BL37)</f>
        <v>25846091107.199993</v>
      </c>
      <c r="EA37" s="92">
        <f t="shared" ref="EA37" si="58">SUM(BM37:BX37)</f>
        <v>25846151107.199993</v>
      </c>
      <c r="EB37" s="92">
        <f t="shared" ref="EB37" si="59">SUM(BY37:CJ37)</f>
        <v>25846211107.199993</v>
      </c>
      <c r="EC37" s="92">
        <f t="shared" ref="EC37" si="60">SUM(CK37:CV37)</f>
        <v>25846271107.199993</v>
      </c>
      <c r="ED37" s="92">
        <f t="shared" ref="ED37" si="61">SUM(CW37:DH37)</f>
        <v>25846331107.199993</v>
      </c>
      <c r="EE37" s="92">
        <f t="shared" ref="EE37" si="62">SUM(DI37:DT37)</f>
        <v>25846391107.199993</v>
      </c>
      <c r="EF37" s="56"/>
    </row>
    <row r="38" spans="2:136">
      <c r="B38" s="88" t="s">
        <v>61</v>
      </c>
    </row>
  </sheetData>
  <mergeCells count="25">
    <mergeCell ref="B6:B7"/>
    <mergeCell ref="C6:C7"/>
    <mergeCell ref="D6:D7"/>
    <mergeCell ref="B2:E2"/>
    <mergeCell ref="B4:D4"/>
    <mergeCell ref="E5:P5"/>
    <mergeCell ref="Q5:AB5"/>
    <mergeCell ref="AC5:AN5"/>
    <mergeCell ref="AO5:AZ5"/>
    <mergeCell ref="BA5:BL5"/>
    <mergeCell ref="BM5:BX5"/>
    <mergeCell ref="BY5:CJ5"/>
    <mergeCell ref="CK5:CV5"/>
    <mergeCell ref="DV6:DV7"/>
    <mergeCell ref="DW6:DW7"/>
    <mergeCell ref="DX6:DX7"/>
    <mergeCell ref="CW5:DH5"/>
    <mergeCell ref="DI5:DT5"/>
    <mergeCell ref="ED6:ED7"/>
    <mergeCell ref="EE6:EE7"/>
    <mergeCell ref="DY6:DY7"/>
    <mergeCell ref="DZ6:DZ7"/>
    <mergeCell ref="EA6:EA7"/>
    <mergeCell ref="EB6:EB7"/>
    <mergeCell ref="EC6:EC7"/>
  </mergeCells>
  <hyperlinks>
    <hyperlink ref="B38" location="'Приложение (затраты)'!A1" display="Приложение (затраты)'!A1" xr:uid="{00000000-0004-0000-0500-000000000000}"/>
  </hyperlinks>
  <pageMargins left="0.7" right="0.7" top="0.75" bottom="0.75" header="0.3" footer="0.3"/>
  <pageSetup paperSize="9" firstPageNumber="4294967295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DT11"/>
  <sheetViews>
    <sheetView zoomScale="40" workbookViewId="0">
      <pane xSplit="4" ySplit="13" topLeftCell="E14" activePane="bottomRight" state="frozen"/>
      <selection activeCell="S31" sqref="S31"/>
      <selection pane="topRight"/>
      <selection pane="bottomLeft"/>
      <selection pane="bottomRight" activeCell="E10" sqref="E10"/>
    </sheetView>
  </sheetViews>
  <sheetFormatPr baseColWidth="10" defaultColWidth="8.83203125" defaultRowHeight="15"/>
  <cols>
    <col min="2" max="2" width="25" customWidth="1"/>
    <col min="3" max="3" width="9.6640625" customWidth="1"/>
    <col min="4" max="4" width="26" customWidth="1"/>
    <col min="5" max="124" width="15.5" customWidth="1"/>
  </cols>
  <sheetData>
    <row r="1" spans="2:124">
      <c r="B1" s="358" t="s">
        <v>444</v>
      </c>
      <c r="C1" s="358"/>
      <c r="D1" s="358"/>
    </row>
    <row r="2" spans="2:124" ht="16">
      <c r="B2" s="101"/>
      <c r="C2" s="101"/>
      <c r="D2" s="101"/>
      <c r="E2" s="368" t="s">
        <v>23</v>
      </c>
      <c r="F2" s="368"/>
      <c r="G2" s="368"/>
      <c r="H2" s="368"/>
      <c r="I2" s="368"/>
      <c r="J2" s="368"/>
      <c r="K2" s="368"/>
      <c r="L2" s="368"/>
      <c r="M2" s="368"/>
      <c r="N2" s="368"/>
      <c r="O2" s="368"/>
      <c r="P2" s="368"/>
      <c r="Q2" s="368" t="s">
        <v>24</v>
      </c>
      <c r="R2" s="368"/>
      <c r="S2" s="368"/>
      <c r="T2" s="368"/>
      <c r="U2" s="368"/>
      <c r="V2" s="368"/>
      <c r="W2" s="368"/>
      <c r="X2" s="368"/>
      <c r="Y2" s="368"/>
      <c r="Z2" s="368"/>
      <c r="AA2" s="368"/>
      <c r="AB2" s="368"/>
      <c r="AC2" s="368" t="s">
        <v>25</v>
      </c>
      <c r="AD2" s="368"/>
      <c r="AE2" s="368"/>
      <c r="AF2" s="368"/>
      <c r="AG2" s="368"/>
      <c r="AH2" s="368"/>
      <c r="AI2" s="368"/>
      <c r="AJ2" s="368"/>
      <c r="AK2" s="368"/>
      <c r="AL2" s="368"/>
      <c r="AM2" s="368"/>
      <c r="AN2" s="368"/>
      <c r="AO2" s="368" t="s">
        <v>346</v>
      </c>
      <c r="AP2" s="368"/>
      <c r="AQ2" s="368"/>
      <c r="AR2" s="368"/>
      <c r="AS2" s="368"/>
      <c r="AT2" s="368"/>
      <c r="AU2" s="368"/>
      <c r="AV2" s="368"/>
      <c r="AW2" s="368"/>
      <c r="AX2" s="368"/>
      <c r="AY2" s="368"/>
      <c r="AZ2" s="368"/>
      <c r="BA2" s="368" t="s">
        <v>347</v>
      </c>
      <c r="BB2" s="368"/>
      <c r="BC2" s="368"/>
      <c r="BD2" s="368"/>
      <c r="BE2" s="368"/>
      <c r="BF2" s="368"/>
      <c r="BG2" s="368"/>
      <c r="BH2" s="368"/>
      <c r="BI2" s="368"/>
      <c r="BJ2" s="368"/>
      <c r="BK2" s="368"/>
      <c r="BL2" s="368"/>
      <c r="BM2" s="368" t="s">
        <v>348</v>
      </c>
      <c r="BN2" s="368"/>
      <c r="BO2" s="368"/>
      <c r="BP2" s="368"/>
      <c r="BQ2" s="368"/>
      <c r="BR2" s="368"/>
      <c r="BS2" s="368"/>
      <c r="BT2" s="368"/>
      <c r="BU2" s="368"/>
      <c r="BV2" s="368"/>
      <c r="BW2" s="368"/>
      <c r="BX2" s="368"/>
      <c r="BY2" s="368" t="s">
        <v>349</v>
      </c>
      <c r="BZ2" s="368"/>
      <c r="CA2" s="368"/>
      <c r="CB2" s="368"/>
      <c r="CC2" s="368"/>
      <c r="CD2" s="368"/>
      <c r="CE2" s="368"/>
      <c r="CF2" s="368"/>
      <c r="CG2" s="368"/>
      <c r="CH2" s="368"/>
      <c r="CI2" s="368"/>
      <c r="CJ2" s="368"/>
      <c r="CK2" s="368" t="s">
        <v>350</v>
      </c>
      <c r="CL2" s="368"/>
      <c r="CM2" s="368"/>
      <c r="CN2" s="368"/>
      <c r="CO2" s="368"/>
      <c r="CP2" s="368"/>
      <c r="CQ2" s="368"/>
      <c r="CR2" s="368"/>
      <c r="CS2" s="368"/>
      <c r="CT2" s="368"/>
      <c r="CU2" s="368"/>
      <c r="CV2" s="368"/>
      <c r="CW2" s="368" t="s">
        <v>351</v>
      </c>
      <c r="CX2" s="368"/>
      <c r="CY2" s="368"/>
      <c r="CZ2" s="368"/>
      <c r="DA2" s="368"/>
      <c r="DB2" s="368"/>
      <c r="DC2" s="368"/>
      <c r="DD2" s="368"/>
      <c r="DE2" s="368"/>
      <c r="DF2" s="368"/>
      <c r="DG2" s="368"/>
      <c r="DH2" s="368"/>
      <c r="DI2" s="368" t="s">
        <v>352</v>
      </c>
      <c r="DJ2" s="368"/>
      <c r="DK2" s="368"/>
      <c r="DL2" s="368"/>
      <c r="DM2" s="368"/>
      <c r="DN2" s="368"/>
      <c r="DO2" s="368"/>
      <c r="DP2" s="368"/>
      <c r="DQ2" s="368"/>
      <c r="DR2" s="368"/>
      <c r="DS2" s="368"/>
      <c r="DT2" s="368"/>
    </row>
    <row r="3" spans="2:124" ht="16">
      <c r="B3" s="369" t="s">
        <v>4</v>
      </c>
      <c r="C3" s="371" t="s">
        <v>70</v>
      </c>
      <c r="D3" s="366" t="s">
        <v>27</v>
      </c>
      <c r="E3" s="184">
        <v>1</v>
      </c>
      <c r="F3" s="184">
        <v>2</v>
      </c>
      <c r="G3" s="184">
        <v>3</v>
      </c>
      <c r="H3" s="184">
        <v>4</v>
      </c>
      <c r="I3" s="184">
        <v>5</v>
      </c>
      <c r="J3" s="184">
        <v>6</v>
      </c>
      <c r="K3" s="184">
        <v>7</v>
      </c>
      <c r="L3" s="184">
        <v>8</v>
      </c>
      <c r="M3" s="184">
        <v>9</v>
      </c>
      <c r="N3" s="184">
        <v>10</v>
      </c>
      <c r="O3" s="184">
        <v>11</v>
      </c>
      <c r="P3" s="184">
        <v>12</v>
      </c>
      <c r="Q3" s="184">
        <v>1</v>
      </c>
      <c r="R3" s="184">
        <v>2</v>
      </c>
      <c r="S3" s="184">
        <v>3</v>
      </c>
      <c r="T3" s="184">
        <v>4</v>
      </c>
      <c r="U3" s="184">
        <v>5</v>
      </c>
      <c r="V3" s="184">
        <v>6</v>
      </c>
      <c r="W3" s="184">
        <v>7</v>
      </c>
      <c r="X3" s="184">
        <v>8</v>
      </c>
      <c r="Y3" s="184">
        <v>9</v>
      </c>
      <c r="Z3" s="184">
        <v>10</v>
      </c>
      <c r="AA3" s="184">
        <v>11</v>
      </c>
      <c r="AB3" s="184">
        <v>12</v>
      </c>
      <c r="AC3" s="184">
        <v>1</v>
      </c>
      <c r="AD3" s="184">
        <v>2</v>
      </c>
      <c r="AE3" s="184">
        <v>3</v>
      </c>
      <c r="AF3" s="184">
        <v>4</v>
      </c>
      <c r="AG3" s="184">
        <v>5</v>
      </c>
      <c r="AH3" s="184">
        <v>6</v>
      </c>
      <c r="AI3" s="184">
        <v>7</v>
      </c>
      <c r="AJ3" s="184">
        <v>8</v>
      </c>
      <c r="AK3" s="184">
        <v>9</v>
      </c>
      <c r="AL3" s="184">
        <v>10</v>
      </c>
      <c r="AM3" s="184">
        <v>11</v>
      </c>
      <c r="AN3" s="184">
        <v>12</v>
      </c>
      <c r="AO3" s="184">
        <v>1</v>
      </c>
      <c r="AP3" s="184">
        <v>2</v>
      </c>
      <c r="AQ3" s="184">
        <v>3</v>
      </c>
      <c r="AR3" s="184">
        <v>4</v>
      </c>
      <c r="AS3" s="184">
        <v>5</v>
      </c>
      <c r="AT3" s="184">
        <v>6</v>
      </c>
      <c r="AU3" s="184">
        <v>7</v>
      </c>
      <c r="AV3" s="184">
        <v>8</v>
      </c>
      <c r="AW3" s="184">
        <v>9</v>
      </c>
      <c r="AX3" s="184">
        <v>10</v>
      </c>
      <c r="AY3" s="184">
        <v>11</v>
      </c>
      <c r="AZ3" s="184">
        <v>12</v>
      </c>
      <c r="BA3" s="184">
        <v>1</v>
      </c>
      <c r="BB3" s="184">
        <v>2</v>
      </c>
      <c r="BC3" s="184">
        <v>3</v>
      </c>
      <c r="BD3" s="184">
        <v>4</v>
      </c>
      <c r="BE3" s="184">
        <v>5</v>
      </c>
      <c r="BF3" s="184">
        <v>6</v>
      </c>
      <c r="BG3" s="184">
        <v>7</v>
      </c>
      <c r="BH3" s="184">
        <v>8</v>
      </c>
      <c r="BI3" s="184">
        <v>9</v>
      </c>
      <c r="BJ3" s="184">
        <v>10</v>
      </c>
      <c r="BK3" s="184">
        <v>11</v>
      </c>
      <c r="BL3" s="184">
        <v>12</v>
      </c>
      <c r="BM3" s="184">
        <v>1</v>
      </c>
      <c r="BN3" s="184">
        <v>2</v>
      </c>
      <c r="BO3" s="184">
        <v>3</v>
      </c>
      <c r="BP3" s="184">
        <v>4</v>
      </c>
      <c r="BQ3" s="184">
        <v>5</v>
      </c>
      <c r="BR3" s="184">
        <v>6</v>
      </c>
      <c r="BS3" s="184">
        <v>7</v>
      </c>
      <c r="BT3" s="184">
        <v>8</v>
      </c>
      <c r="BU3" s="184">
        <v>9</v>
      </c>
      <c r="BV3" s="184">
        <v>10</v>
      </c>
      <c r="BW3" s="184">
        <v>11</v>
      </c>
      <c r="BX3" s="184">
        <v>12</v>
      </c>
      <c r="BY3" s="184">
        <v>1</v>
      </c>
      <c r="BZ3" s="184">
        <v>2</v>
      </c>
      <c r="CA3" s="184">
        <v>3</v>
      </c>
      <c r="CB3" s="184">
        <v>4</v>
      </c>
      <c r="CC3" s="184">
        <v>5</v>
      </c>
      <c r="CD3" s="184">
        <v>6</v>
      </c>
      <c r="CE3" s="184">
        <v>7</v>
      </c>
      <c r="CF3" s="184">
        <v>8</v>
      </c>
      <c r="CG3" s="184">
        <v>9</v>
      </c>
      <c r="CH3" s="184">
        <v>10</v>
      </c>
      <c r="CI3" s="184">
        <v>11</v>
      </c>
      <c r="CJ3" s="184">
        <v>12</v>
      </c>
      <c r="CK3" s="184">
        <v>1</v>
      </c>
      <c r="CL3" s="184">
        <v>2</v>
      </c>
      <c r="CM3" s="184">
        <v>3</v>
      </c>
      <c r="CN3" s="184">
        <v>4</v>
      </c>
      <c r="CO3" s="184">
        <v>5</v>
      </c>
      <c r="CP3" s="184">
        <v>6</v>
      </c>
      <c r="CQ3" s="184">
        <v>7</v>
      </c>
      <c r="CR3" s="184">
        <v>8</v>
      </c>
      <c r="CS3" s="184">
        <v>9</v>
      </c>
      <c r="CT3" s="184">
        <v>10</v>
      </c>
      <c r="CU3" s="184">
        <v>11</v>
      </c>
      <c r="CV3" s="184">
        <v>12</v>
      </c>
      <c r="CW3" s="184">
        <v>1</v>
      </c>
      <c r="CX3" s="184">
        <v>2</v>
      </c>
      <c r="CY3" s="184">
        <v>3</v>
      </c>
      <c r="CZ3" s="184">
        <v>4</v>
      </c>
      <c r="DA3" s="184">
        <v>5</v>
      </c>
      <c r="DB3" s="184">
        <v>6</v>
      </c>
      <c r="DC3" s="184">
        <v>7</v>
      </c>
      <c r="DD3" s="184">
        <v>8</v>
      </c>
      <c r="DE3" s="184">
        <v>9</v>
      </c>
      <c r="DF3" s="184">
        <v>10</v>
      </c>
      <c r="DG3" s="184">
        <v>11</v>
      </c>
      <c r="DH3" s="184">
        <v>12</v>
      </c>
      <c r="DI3" s="184">
        <v>1</v>
      </c>
      <c r="DJ3" s="184">
        <v>2</v>
      </c>
      <c r="DK3" s="184">
        <v>3</v>
      </c>
      <c r="DL3" s="184">
        <v>4</v>
      </c>
      <c r="DM3" s="184">
        <v>5</v>
      </c>
      <c r="DN3" s="184">
        <v>6</v>
      </c>
      <c r="DO3" s="184">
        <v>7</v>
      </c>
      <c r="DP3" s="184">
        <v>8</v>
      </c>
      <c r="DQ3" s="184">
        <v>9</v>
      </c>
      <c r="DR3" s="184">
        <v>10</v>
      </c>
      <c r="DS3" s="184">
        <v>11</v>
      </c>
      <c r="DT3" s="184">
        <v>12</v>
      </c>
    </row>
    <row r="4" spans="2:124">
      <c r="B4" s="370"/>
      <c r="C4" s="371"/>
      <c r="D4" s="366"/>
      <c r="E4" s="86">
        <v>1</v>
      </c>
      <c r="F4" s="86">
        <v>2</v>
      </c>
      <c r="G4" s="86">
        <v>3</v>
      </c>
      <c r="H4" s="86">
        <v>4</v>
      </c>
      <c r="I4" s="86">
        <v>5</v>
      </c>
      <c r="J4" s="86">
        <v>6</v>
      </c>
      <c r="K4" s="86">
        <v>7</v>
      </c>
      <c r="L4" s="86">
        <v>8</v>
      </c>
      <c r="M4" s="86">
        <v>9</v>
      </c>
      <c r="N4" s="86">
        <v>10</v>
      </c>
      <c r="O4" s="86">
        <v>11</v>
      </c>
      <c r="P4" s="86">
        <v>12</v>
      </c>
      <c r="Q4" s="86">
        <v>13</v>
      </c>
      <c r="R4" s="86">
        <v>14</v>
      </c>
      <c r="S4" s="86">
        <v>15</v>
      </c>
      <c r="T4" s="86">
        <v>16</v>
      </c>
      <c r="U4" s="86">
        <v>17</v>
      </c>
      <c r="V4" s="86">
        <v>18</v>
      </c>
      <c r="W4" s="86">
        <v>19</v>
      </c>
      <c r="X4" s="86">
        <v>20</v>
      </c>
      <c r="Y4" s="86">
        <v>21</v>
      </c>
      <c r="Z4" s="86">
        <v>22</v>
      </c>
      <c r="AA4" s="86">
        <v>23</v>
      </c>
      <c r="AB4" s="86">
        <v>24</v>
      </c>
      <c r="AC4" s="86">
        <v>25</v>
      </c>
      <c r="AD4" s="86">
        <v>26</v>
      </c>
      <c r="AE4" s="86">
        <v>27</v>
      </c>
      <c r="AF4" s="86">
        <v>28</v>
      </c>
      <c r="AG4" s="86">
        <v>29</v>
      </c>
      <c r="AH4" s="86">
        <v>30</v>
      </c>
      <c r="AI4" s="86">
        <v>31</v>
      </c>
      <c r="AJ4" s="86">
        <v>32</v>
      </c>
      <c r="AK4" s="86">
        <v>33</v>
      </c>
      <c r="AL4" s="86">
        <v>34</v>
      </c>
      <c r="AM4" s="86">
        <v>35</v>
      </c>
      <c r="AN4" s="86">
        <v>36</v>
      </c>
      <c r="AO4" s="86">
        <v>1</v>
      </c>
      <c r="AP4" s="86">
        <v>2</v>
      </c>
      <c r="AQ4" s="86">
        <v>3</v>
      </c>
      <c r="AR4" s="86">
        <v>4</v>
      </c>
      <c r="AS4" s="86">
        <v>5</v>
      </c>
      <c r="AT4" s="86">
        <v>6</v>
      </c>
      <c r="AU4" s="86">
        <v>7</v>
      </c>
      <c r="AV4" s="86">
        <v>8</v>
      </c>
      <c r="AW4" s="86">
        <v>9</v>
      </c>
      <c r="AX4" s="86">
        <v>10</v>
      </c>
      <c r="AY4" s="86">
        <v>11</v>
      </c>
      <c r="AZ4" s="86">
        <v>12</v>
      </c>
      <c r="BA4" s="86">
        <v>13</v>
      </c>
      <c r="BB4" s="86">
        <v>14</v>
      </c>
      <c r="BC4" s="86">
        <v>15</v>
      </c>
      <c r="BD4" s="86">
        <v>16</v>
      </c>
      <c r="BE4" s="86">
        <v>17</v>
      </c>
      <c r="BF4" s="86">
        <v>18</v>
      </c>
      <c r="BG4" s="86">
        <v>19</v>
      </c>
      <c r="BH4" s="86">
        <v>20</v>
      </c>
      <c r="BI4" s="86">
        <v>21</v>
      </c>
      <c r="BJ4" s="86">
        <v>22</v>
      </c>
      <c r="BK4" s="86">
        <v>23</v>
      </c>
      <c r="BL4" s="86">
        <v>24</v>
      </c>
      <c r="BM4" s="86">
        <v>25</v>
      </c>
      <c r="BN4" s="86">
        <v>26</v>
      </c>
      <c r="BO4" s="86">
        <v>27</v>
      </c>
      <c r="BP4" s="86">
        <v>28</v>
      </c>
      <c r="BQ4" s="86">
        <v>29</v>
      </c>
      <c r="BR4" s="86">
        <v>30</v>
      </c>
      <c r="BS4" s="86">
        <v>31</v>
      </c>
      <c r="BT4" s="86">
        <v>32</v>
      </c>
      <c r="BU4" s="86">
        <v>33</v>
      </c>
      <c r="BV4" s="86">
        <v>34</v>
      </c>
      <c r="BW4" s="86">
        <v>35</v>
      </c>
      <c r="BX4" s="86">
        <v>36</v>
      </c>
      <c r="BY4" s="86">
        <v>1</v>
      </c>
      <c r="BZ4" s="86">
        <v>2</v>
      </c>
      <c r="CA4" s="86">
        <v>3</v>
      </c>
      <c r="CB4" s="86">
        <v>4</v>
      </c>
      <c r="CC4" s="86">
        <v>5</v>
      </c>
      <c r="CD4" s="86">
        <v>6</v>
      </c>
      <c r="CE4" s="86">
        <v>7</v>
      </c>
      <c r="CF4" s="86">
        <v>8</v>
      </c>
      <c r="CG4" s="86">
        <v>9</v>
      </c>
      <c r="CH4" s="86">
        <v>10</v>
      </c>
      <c r="CI4" s="86">
        <v>11</v>
      </c>
      <c r="CJ4" s="86">
        <v>12</v>
      </c>
      <c r="CK4" s="86">
        <v>13</v>
      </c>
      <c r="CL4" s="86">
        <v>14</v>
      </c>
      <c r="CM4" s="86">
        <v>15</v>
      </c>
      <c r="CN4" s="86">
        <v>16</v>
      </c>
      <c r="CO4" s="86">
        <v>17</v>
      </c>
      <c r="CP4" s="86">
        <v>18</v>
      </c>
      <c r="CQ4" s="86">
        <v>19</v>
      </c>
      <c r="CR4" s="86">
        <v>20</v>
      </c>
      <c r="CS4" s="86">
        <v>21</v>
      </c>
      <c r="CT4" s="86">
        <v>22</v>
      </c>
      <c r="CU4" s="86">
        <v>23</v>
      </c>
      <c r="CV4" s="86">
        <v>24</v>
      </c>
      <c r="CW4" s="86">
        <v>25</v>
      </c>
      <c r="CX4" s="86">
        <v>26</v>
      </c>
      <c r="CY4" s="86">
        <v>27</v>
      </c>
      <c r="CZ4" s="86">
        <v>28</v>
      </c>
      <c r="DA4" s="86">
        <v>29</v>
      </c>
      <c r="DB4" s="86">
        <v>30</v>
      </c>
      <c r="DC4" s="86">
        <v>31</v>
      </c>
      <c r="DD4" s="86">
        <v>32</v>
      </c>
      <c r="DE4" s="86">
        <v>33</v>
      </c>
      <c r="DF4" s="86">
        <v>34</v>
      </c>
      <c r="DG4" s="86">
        <v>35</v>
      </c>
      <c r="DH4" s="86">
        <v>36</v>
      </c>
      <c r="DI4" s="86">
        <v>1</v>
      </c>
      <c r="DJ4" s="86">
        <v>2</v>
      </c>
      <c r="DK4" s="86">
        <v>3</v>
      </c>
      <c r="DL4" s="86">
        <v>4</v>
      </c>
      <c r="DM4" s="86">
        <v>5</v>
      </c>
      <c r="DN4" s="86">
        <v>6</v>
      </c>
      <c r="DO4" s="86">
        <v>7</v>
      </c>
      <c r="DP4" s="86">
        <v>8</v>
      </c>
      <c r="DQ4" s="86">
        <v>9</v>
      </c>
      <c r="DR4" s="86">
        <v>10</v>
      </c>
      <c r="DS4" s="86">
        <v>11</v>
      </c>
      <c r="DT4" s="86">
        <v>12</v>
      </c>
    </row>
    <row r="5" spans="2:124">
      <c r="B5" s="25" t="s">
        <v>354</v>
      </c>
      <c r="C5" s="85" t="s">
        <v>35</v>
      </c>
      <c r="D5" s="87">
        <f>SUM(E5:DT5)</f>
        <v>4100722770031.1704</v>
      </c>
      <c r="E5" s="80">
        <f>'Выручка, до'!D9*'Исходные данные'!F14</f>
        <v>4563926762.0737734</v>
      </c>
      <c r="F5" s="80">
        <f>'Выручка, до'!E9*'Исходные данные'!G14</f>
        <v>4682226062.3397293</v>
      </c>
      <c r="G5" s="80">
        <f>'Выручка, до'!F9*'Исходные данные'!H14</f>
        <v>4803744623.8486099</v>
      </c>
      <c r="H5" s="80">
        <f>'Выручка, до'!G9*'Исходные данные'!I14</f>
        <v>4928573807.1274424</v>
      </c>
      <c r="I5" s="80">
        <f>'Выручка, до'!H9*'Исходные данные'!J14</f>
        <v>5056807653.314414</v>
      </c>
      <c r="J5" s="80">
        <f>'Выручка, до'!I9*'Исходные данные'!K14</f>
        <v>5188542964.781827</v>
      </c>
      <c r="K5" s="80">
        <f>'Выручка, до'!J9*'Исходные данные'!L14</f>
        <v>5323879388.2266836</v>
      </c>
      <c r="L5" s="80">
        <f>'Выручка, до'!K9*'Исходные данные'!M14</f>
        <v>5462919500.3052959</v>
      </c>
      <c r="M5" s="80">
        <f>'Выручка, до'!L9*'Исходные данные'!N14</f>
        <v>5605768895.89079</v>
      </c>
      <c r="N5" s="80">
        <f>'Выручка, до'!M9*'Исходные данные'!O14</f>
        <v>5752536279.0347242</v>
      </c>
      <c r="O5" s="80">
        <f>'Выручка, до'!N9*'Исходные данные'!P14</f>
        <v>5903333556.7166739</v>
      </c>
      <c r="P5" s="80">
        <f>'Выручка, до'!O9*'Исходные данные'!Q14</f>
        <v>6058275935.4682274</v>
      </c>
      <c r="Q5" s="80">
        <f>'Выручка, до'!P9*'Исходные данные'!R14</f>
        <v>6217482020.9604845</v>
      </c>
      <c r="R5" s="80">
        <f>'Выручка, до'!Q9*'Исходные данные'!S14</f>
        <v>6381073920.6470261</v>
      </c>
      <c r="S5" s="80">
        <f>'Выручка, до'!R9*'Исходные данные'!T14</f>
        <v>6549177349.5571165</v>
      </c>
      <c r="T5" s="80">
        <f>'Выручка, до'!S9*'Исходные данные'!U14</f>
        <v>6721921739.3368979</v>
      </c>
      <c r="U5" s="80">
        <f>'Выручка, до'!T9*'Исходные данные'!V14</f>
        <v>6899440350.6394081</v>
      </c>
      <c r="V5" s="80">
        <f>'Выручка, до'!U9*'Исходные данные'!W14</f>
        <v>7081870388.967351</v>
      </c>
      <c r="W5" s="80">
        <f>'Выручка, до'!V9*'Исходные данные'!X14</f>
        <v>7269353124.0758629</v>
      </c>
      <c r="X5" s="80">
        <f>'Выручка, до'!W9*'Исходные данные'!Y14</f>
        <v>7462034013.0458183</v>
      </c>
      <c r="Y5" s="80">
        <f>'Выручка, до'!X9*'Исходные данные'!Z14</f>
        <v>7660062827.1417227</v>
      </c>
      <c r="Z5" s="80">
        <f>'Выручка, до'!Y9*'Исходные данные'!AA14</f>
        <v>7863593782.571744</v>
      </c>
      <c r="AA5" s="80">
        <f>'Выручка, до'!Z9*'Исходные данные'!AB14</f>
        <v>8072785675.2712021</v>
      </c>
      <c r="AB5" s="80">
        <f>'Выручка, до'!AA9*'Исходные данные'!AC14</f>
        <v>8287802019.8345404</v>
      </c>
      <c r="AC5" s="80">
        <f>'Выручка, до'!AB9*'Исходные данные'!AD14</f>
        <v>8508811192.7247658</v>
      </c>
      <c r="AD5" s="80">
        <f>'Выручка, до'!AC9*'Исходные данные'!AE14</f>
        <v>8735986579.8933868</v>
      </c>
      <c r="AE5" s="80">
        <f>'Выручка, до'!AD9*'Исходные данные'!AF14</f>
        <v>8969506728.9480114</v>
      </c>
      <c r="AF5" s="80">
        <f>'Выручка, до'!AE9*'Исходные данные'!AG14</f>
        <v>9209555506.0090771</v>
      </c>
      <c r="AG5" s="80">
        <f>'Выручка, до'!AF9*'Исходные данные'!AH14</f>
        <v>9456322257.4016075</v>
      </c>
      <c r="AH5" s="80">
        <f>'Выручка, до'!AG9*'Исходные данные'!AI14</f>
        <v>9710001976.3325062</v>
      </c>
      <c r="AI5" s="80">
        <f>'Выручка, до'!AH9*'Исходные данные'!AJ14</f>
        <v>9970795474.7085075</v>
      </c>
      <c r="AJ5" s="80">
        <f>'Выручка, до'!AI9*'Исходные данные'!AK14</f>
        <v>10238909560.25486</v>
      </c>
      <c r="AK5" s="80">
        <f>'Выручка, до'!AJ9*'Исходные данные'!AL14</f>
        <v>10514557219.099821</v>
      </c>
      <c r="AL5" s="80">
        <f>'Выручка, до'!AK9*'Исходные данные'!AM14</f>
        <v>10797957803.995129</v>
      </c>
      <c r="AM5" s="80">
        <f>'Выручка, до'!AL9*'Исходные данные'!AN14</f>
        <v>11089337228.348078</v>
      </c>
      <c r="AN5" s="80">
        <f>'Выручка, до'!AM9*'Исходные данные'!AO14</f>
        <v>11388928166.246208</v>
      </c>
      <c r="AO5" s="80">
        <f>'Выручка, до'!AN9*'Исходные данные'!AP14</f>
        <v>11696970258.661375</v>
      </c>
      <c r="AP5" s="80">
        <f>'Выручка, до'!AO9*'Исходные данные'!AQ14</f>
        <v>12013710326.025782</v>
      </c>
      <c r="AQ5" s="80">
        <f>'Выручка, до'!AP9*'Исходные данные'!AR14</f>
        <v>12339402587.37859</v>
      </c>
      <c r="AR5" s="80">
        <f>'Выручка, до'!AQ9*'Исходные данные'!AS14</f>
        <v>12674308886.287964</v>
      </c>
      <c r="AS5" s="80">
        <f>'Выручка, до'!AR9*'Исходные данные'!AT14</f>
        <v>13018698923.759867</v>
      </c>
      <c r="AT5" s="80">
        <f>'Выручка, до'!AS9*'Исходные данные'!AU14</f>
        <v>13372850498.351414</v>
      </c>
      <c r="AU5" s="80">
        <f>'Выручка, до'!AT9*'Исходные данные'!AV14</f>
        <v>13737049753.713646</v>
      </c>
      <c r="AV5" s="80">
        <f>'Выручка, до'!AU9*'Исходные данные'!AW14</f>
        <v>14111591433.795393</v>
      </c>
      <c r="AW5" s="80">
        <f>'Выручка, до'!AV9*'Исходные данные'!AX14</f>
        <v>14496779145.947351</v>
      </c>
      <c r="AX5" s="80">
        <f>'Выручка, до'!AW9*'Исходные данные'!AY14</f>
        <v>14892925632.172907</v>
      </c>
      <c r="AY5" s="80">
        <f>'Выручка, до'!AX9*'Исходные данные'!AZ14</f>
        <v>15300353048.779991</v>
      </c>
      <c r="AZ5" s="80">
        <f>'Выручка, до'!AY9*'Исходные данные'!BA14</f>
        <v>15719393254.696232</v>
      </c>
      <c r="BA5" s="80">
        <f>'Выручка, до'!AZ9*'Исходные данные'!BB14</f>
        <v>16150388108.717949</v>
      </c>
      <c r="BB5" s="80">
        <f>'Выручка, до'!BA9*'Исходные данные'!BC14</f>
        <v>16593689775.971886</v>
      </c>
      <c r="BC5" s="80">
        <f>'Выручка, до'!BB9*'Исходные данные'!BD14</f>
        <v>17049661043.877558</v>
      </c>
      <c r="BD5" s="80">
        <f>'Выручка, до'!BC9*'Исходные данные'!BE14</f>
        <v>17518675647.90683</v>
      </c>
      <c r="BE5" s="80">
        <f>'Выручка, до'!BD9*'Исходные данные'!BF14</f>
        <v>18001118607.44701</v>
      </c>
      <c r="BF5" s="80">
        <f>'Выручка, до'!BE9*'Исходные данные'!BG14</f>
        <v>18497386572.082958</v>
      </c>
      <c r="BG5" s="80">
        <f>'Выручка, до'!BF9*'Исходные данные'!BH14</f>
        <v>19007888178.624043</v>
      </c>
      <c r="BH5" s="80">
        <f>'Выручка, до'!BG9*'Исходные данные'!BI14</f>
        <v>19533044419.211586</v>
      </c>
      <c r="BI5" s="80">
        <f>'Выручка, до'!BH9*'Исходные данные'!BJ14</f>
        <v>20073289020.853374</v>
      </c>
      <c r="BJ5" s="80">
        <f>'Выручка, до'!BI9*'Исходные данные'!BK14</f>
        <v>20629068836.742359</v>
      </c>
      <c r="BK5" s="80">
        <f>'Выручка, до'!BJ9*'Исходные данные'!BL14</f>
        <v>21200844249.728107</v>
      </c>
      <c r="BL5" s="80">
        <f>'Выручка, до'!BK9*'Исходные данные'!BM14</f>
        <v>21789089588.321144</v>
      </c>
      <c r="BM5" s="80">
        <f>'Выручка, до'!BL9*'Исходные данные'!BN14</f>
        <v>22394293555.622017</v>
      </c>
      <c r="BN5" s="80">
        <f>'Выручка, до'!BM9*'Исходные данные'!BO14</f>
        <v>23016959671.579617</v>
      </c>
      <c r="BO5" s="80">
        <f>'Выручка, до'!BN9*'Исходные данные'!BP14</f>
        <v>23657606728.995625</v>
      </c>
      <c r="BP5" s="80">
        <f>'Выручка, до'!BO9*'Исходные данные'!BQ14</f>
        <v>24316769263.705341</v>
      </c>
      <c r="BQ5" s="80">
        <f>'Выручка, до'!BP9*'Исходные данные'!BR14</f>
        <v>24994998039.378517</v>
      </c>
      <c r="BR5" s="80">
        <f>'Выручка, до'!BQ9*'Исходные данные'!BS14</f>
        <v>25692860547.397728</v>
      </c>
      <c r="BS5" s="80">
        <f>'Выручка, до'!BR9*'Исходные данные'!BT14</f>
        <v>26410941522.286427</v>
      </c>
      <c r="BT5" s="80">
        <f>'Выручка, до'!BS9*'Исходные данные'!BU14</f>
        <v>27149843473.17337</v>
      </c>
      <c r="BU5" s="80">
        <f>'Выручка, до'!BT9*'Исходные данные'!BV14</f>
        <v>27910187231.795563</v>
      </c>
      <c r="BV5" s="80">
        <f>'Выручка, до'!BU9*'Исходные данные'!BW14</f>
        <v>28692612517.557785</v>
      </c>
      <c r="BW5" s="80">
        <f>'Выручка, до'!BV9*'Исходные данные'!BX14</f>
        <v>29497778520.182693</v>
      </c>
      <c r="BX5" s="80">
        <f>'Выручка, до'!BW9*'Исходные данные'!BY14</f>
        <v>30326364500.502655</v>
      </c>
      <c r="BY5" s="80">
        <f>'Выручка, до'!BX9*'Исходные данные'!BZ14</f>
        <v>31179070409.96167</v>
      </c>
      <c r="BZ5" s="80">
        <f>'Выручка, до'!BY9*'Исходные данные'!CA14</f>
        <v>32056617529.413391</v>
      </c>
      <c r="CA5" s="80">
        <f>'Выручка, до'!BZ9*'Исходные данные'!CB14</f>
        <v>32959749127.820175</v>
      </c>
      <c r="CB5" s="80">
        <f>'Выручка, до'!CA9*'Исходные данные'!CC14</f>
        <v>33889231141.476601</v>
      </c>
      <c r="CC5" s="80">
        <f>'Выручка, до'!CB9*'Исходные данные'!CD14</f>
        <v>34845852874.400925</v>
      </c>
      <c r="CD5" s="80">
        <f>'Выручка, до'!CC9*'Исходные данные'!CE14</f>
        <v>35830427720.557823</v>
      </c>
      <c r="CE5" s="80">
        <f>'Выручка, до'!CD9*'Исходные данные'!CF14</f>
        <v>36843793908.597015</v>
      </c>
      <c r="CF5" s="80">
        <f>'Выручка, до'!CE9*'Исходные данные'!CG14</f>
        <v>37886815269.813553</v>
      </c>
      <c r="CG5" s="80">
        <f>'Выручка, до'!CF9*'Исходные данные'!CH14</f>
        <v>38960382030.058083</v>
      </c>
      <c r="CH5" s="80">
        <f>'Выручка, до'!CG9*'Исходные данные'!CI14</f>
        <v>40065411626.348007</v>
      </c>
      <c r="CI5" s="80">
        <f>'Выручка, до'!CH9*'Исходные данные'!CJ14</f>
        <v>41202849548.954422</v>
      </c>
      <c r="CJ5" s="80">
        <f>'Выручка, до'!CI9*'Исходные данные'!CK14</f>
        <v>42373670209.763733</v>
      </c>
      <c r="CK5" s="80">
        <f>'Выручка, до'!CJ9*'Исходные данные'!CL14</f>
        <v>43578877837.738495</v>
      </c>
      <c r="CL5" s="80">
        <f>'Выручка, до'!CK9*'Исходные данные'!CM14</f>
        <v>44819507402.327263</v>
      </c>
      <c r="CM5" s="80">
        <f>'Выручка, до'!CL9*'Исходные данные'!CN14</f>
        <v>46096625565.70089</v>
      </c>
      <c r="CN5" s="80">
        <f>'Выручка, до'!CM9*'Исходные данные'!CO14</f>
        <v>47411331664.719452</v>
      </c>
      <c r="CO5" s="80">
        <f>'Выручка, до'!CN9*'Исходные данные'!CP14</f>
        <v>48764758723.563217</v>
      </c>
      <c r="CP5" s="80">
        <f>'Выручка, до'!CO9*'Исходные данные'!CQ14</f>
        <v>50158074497.989624</v>
      </c>
      <c r="CQ5" s="80">
        <f>'Выручка, до'!CP9*'Исходные данные'!CR14</f>
        <v>51592482552.209686</v>
      </c>
      <c r="CR5" s="80">
        <f>'Выручка, до'!CQ9*'Исходные данные'!CS14</f>
        <v>53069223369.407082</v>
      </c>
      <c r="CS5" s="80">
        <f>'Выручка, до'!CR9*'Исходные данные'!CT14</f>
        <v>54589575496.956963</v>
      </c>
      <c r="CT5" s="80">
        <f>'Выручка, до'!CS9*'Исходные данные'!CU14</f>
        <v>56154856727.433228</v>
      </c>
      <c r="CU5" s="80">
        <f>'Выручка, до'!CT9*'Исходные данные'!CV14</f>
        <v>57766425316.528923</v>
      </c>
      <c r="CV5" s="80">
        <f>'Выручка, до'!CU9*'Исходные данные'!CW14</f>
        <v>59425681239.048256</v>
      </c>
      <c r="CW5" s="80">
        <f>'Выручка, до'!CV9*'Исходные данные'!CX14</f>
        <v>61134067484.166656</v>
      </c>
      <c r="CX5" s="80">
        <f>'Выручка, до'!CW9*'Исходные данные'!CY14</f>
        <v>62893071391.191849</v>
      </c>
      <c r="CY5" s="80">
        <f>'Выручка, до'!CX9*'Исходные данные'!CZ14</f>
        <v>64704226027.098549</v>
      </c>
      <c r="CZ5" s="80">
        <f>'Выручка, до'!CY9*'Исходные данные'!DA14</f>
        <v>66569111607.149025</v>
      </c>
      <c r="DA5" s="80">
        <f>'Выручка, до'!CZ9*'Исходные данные'!DB14</f>
        <v>68489356959.953285</v>
      </c>
      <c r="DB5" s="80">
        <f>'Выручка, до'!DA9*'Исходные данные'!DC14</f>
        <v>70466641038.365524</v>
      </c>
      <c r="DC5" s="80">
        <f>'Выручка, до'!DB9*'Исходные данные'!DD14</f>
        <v>72502694477.656754</v>
      </c>
      <c r="DD5" s="80">
        <f>'Выручка, до'!DC9*'Исходные данные'!DE14</f>
        <v>74599301202.450104</v>
      </c>
      <c r="DE5" s="80">
        <f>'Выручка, до'!DD9*'Исходные данные'!DF14</f>
        <v>76758300083.95079</v>
      </c>
      <c r="DF5" s="80">
        <f>'Выручка, до'!DE9*'Исходные данные'!DG14</f>
        <v>78981586649.052048</v>
      </c>
      <c r="DG5" s="80">
        <f>'Выручка, до'!DF9*'Исходные данные'!DH14</f>
        <v>81271114842.947983</v>
      </c>
      <c r="DH5" s="80">
        <f>'Выручка, до'!DG9*'Исходные данные'!DI14</f>
        <v>83628898846.934937</v>
      </c>
      <c r="DI5" s="80">
        <f>'Выручка, до'!DH9*'Исходные данные'!DJ14</f>
        <v>86057014953.137161</v>
      </c>
      <c r="DJ5" s="80">
        <f>'Выручка, до'!DI9*'Исходные данные'!DK14</f>
        <v>88557603497.946594</v>
      </c>
      <c r="DK5" s="80">
        <f>'Выручка, до'!DJ9*'Исходные данные'!DL14</f>
        <v>91132870856.022705</v>
      </c>
      <c r="DL5" s="80">
        <f>'Выручка, до'!DK9*'Исходные данные'!DM14</f>
        <v>93785091496.75769</v>
      </c>
      <c r="DM5" s="80">
        <f>'Выручка, до'!DL9*'Исходные данные'!DN14</f>
        <v>96516610105.170853</v>
      </c>
      <c r="DN5" s="80">
        <f>'Выручка, до'!DM9*'Исходные данные'!DO14</f>
        <v>99329843769.25943</v>
      </c>
      <c r="DO5" s="80">
        <f>'Выручка, до'!DN9*'Исходные данные'!DP14</f>
        <v>102227284235.89592</v>
      </c>
      <c r="DP5" s="80">
        <f>'Выручка, до'!DO9*'Исходные данные'!DQ14</f>
        <v>105211500237.42834</v>
      </c>
      <c r="DQ5" s="80">
        <f>'Выручка, до'!DP9*'Исходные данные'!DR14</f>
        <v>108285139891.20813</v>
      </c>
      <c r="DR5" s="80">
        <f>'Выручка, до'!DQ9*'Исходные данные'!DS14</f>
        <v>111450933174.33992</v>
      </c>
      <c r="DS5" s="80">
        <f>'Выручка, до'!DR9*'Исходные данные'!DT14</f>
        <v>114711694476.02026</v>
      </c>
      <c r="DT5" s="80">
        <f>'Выручка, до'!DS9*'Исходные данные'!DU14</f>
        <v>118070325229.90692</v>
      </c>
    </row>
    <row r="6" spans="2:124" ht="31">
      <c r="B6" s="29" t="s">
        <v>355</v>
      </c>
      <c r="C6" s="85" t="s">
        <v>35</v>
      </c>
      <c r="D6" s="87">
        <f t="shared" ref="D6:D10" si="0">SUM(E6:DT6)</f>
        <v>10661879202081.047</v>
      </c>
      <c r="E6" s="80">
        <f>'Выручка, до'!D9*'Исходные данные'!F16</f>
        <v>11866209581.391811</v>
      </c>
      <c r="F6" s="80">
        <f>'Выручка, до'!E9*'Исходные данные'!G16</f>
        <v>12173787762.083296</v>
      </c>
      <c r="G6" s="80">
        <f>'Выручка, до'!F9*'Исходные данные'!H16</f>
        <v>12489736022.006386</v>
      </c>
      <c r="H6" s="80">
        <f>'Выручка, до'!G9*'Исходные данные'!I16</f>
        <v>12814291898.531349</v>
      </c>
      <c r="I6" s="80">
        <f>'Выручка, до'!H9*'Исходные данные'!J16</f>
        <v>13147699898.617476</v>
      </c>
      <c r="J6" s="80">
        <f>'Выручка, до'!I9*'Исходные данные'!K16</f>
        <v>13490211708.432751</v>
      </c>
      <c r="K6" s="80">
        <f>'Выручка, до'!J9*'Исходные данные'!L16</f>
        <v>13842086409.389376</v>
      </c>
      <c r="L6" s="80">
        <f>'Выручка, до'!K9*'Исходные данные'!M16</f>
        <v>14203590700.79377</v>
      </c>
      <c r="M6" s="80">
        <f>'Выручка, до'!L9*'Исходные данные'!N16</f>
        <v>14574999129.316053</v>
      </c>
      <c r="N6" s="80">
        <f>'Выручка, до'!M9*'Исходные данные'!O16</f>
        <v>14956594325.490282</v>
      </c>
      <c r="O6" s="80">
        <f>'Выручка, до'!N9*'Исходные данные'!P16</f>
        <v>15348667247.46335</v>
      </c>
      <c r="P6" s="80">
        <f>'Выручка, до'!O9*'Исходные данные'!Q16</f>
        <v>15751517432.21739</v>
      </c>
      <c r="Q6" s="80">
        <f>'Выручка, до'!P9*'Исходные данные'!R16</f>
        <v>16165453254.497259</v>
      </c>
      <c r="R6" s="80">
        <f>'Выручка, до'!Q9*'Исходные данные'!S16</f>
        <v>16590792193.682268</v>
      </c>
      <c r="S6" s="80">
        <f>'Выручка, до'!R9*'Исходные данные'!T16</f>
        <v>17027861108.848501</v>
      </c>
      <c r="T6" s="80">
        <f>'Выручка, до'!S9*'Исходные данные'!U16</f>
        <v>17476996522.275932</v>
      </c>
      <c r="U6" s="80">
        <f>'Выручка, до'!T9*'Исходные данные'!V16</f>
        <v>17938544911.66246</v>
      </c>
      <c r="V6" s="80">
        <f>'Выручка, до'!U9*'Исходные данные'!W16</f>
        <v>18412863011.315113</v>
      </c>
      <c r="W6" s="80">
        <f>'Выручка, до'!V9*'Исходные данные'!X16</f>
        <v>18900318122.59724</v>
      </c>
      <c r="X6" s="80">
        <f>'Выручка, до'!W9*'Исходные данные'!Y16</f>
        <v>19401288433.919125</v>
      </c>
      <c r="Y6" s="80">
        <f>'Выручка, до'!X9*'Исходные данные'!Z16</f>
        <v>19916163350.568478</v>
      </c>
      <c r="Z6" s="80">
        <f>'Выручка, до'!Y9*'Исходные данные'!AA16</f>
        <v>20445343834.686535</v>
      </c>
      <c r="AA6" s="80">
        <f>'Выручка, до'!Z9*'Исходные данные'!AB16</f>
        <v>20989242755.705128</v>
      </c>
      <c r="AB6" s="80">
        <f>'Выручка, до'!AA9*'Исходные данные'!AC16</f>
        <v>21548285251.569805</v>
      </c>
      <c r="AC6" s="80">
        <f>'Выручка, до'!AB9*'Исходные данные'!AD16</f>
        <v>22122909101.084389</v>
      </c>
      <c r="AD6" s="80">
        <f>'Выручка, до'!AC9*'Исходные данные'!AE16</f>
        <v>22713565107.722805</v>
      </c>
      <c r="AE6" s="80">
        <f>'Выручка, до'!AD9*'Исходные данные'!AF16</f>
        <v>23320717495.264832</v>
      </c>
      <c r="AF6" s="80">
        <f>'Выручка, до'!AE9*'Исходные данные'!AG16</f>
        <v>23944844315.6236</v>
      </c>
      <c r="AG6" s="80">
        <f>'Выручка, до'!AF9*'Исходные данные'!AH16</f>
        <v>24586437869.244179</v>
      </c>
      <c r="AH6" s="80">
        <f>'Выручка, до'!AG9*'Исходные данные'!AI16</f>
        <v>25246005138.464516</v>
      </c>
      <c r="AI6" s="80">
        <f>'Выручка, до'!AH9*'Исходные данные'!AJ16</f>
        <v>25924068234.242119</v>
      </c>
      <c r="AJ6" s="80">
        <f>'Выручка, до'!AI9*'Исходные данные'!AK16</f>
        <v>26621164856.662636</v>
      </c>
      <c r="AK6" s="80">
        <f>'Выручка, до'!AJ9*'Исходные данные'!AL16</f>
        <v>27337848769.659534</v>
      </c>
      <c r="AL6" s="80">
        <f>'Выручка, до'!AK9*'Исходные данные'!AM16</f>
        <v>28074690290.387333</v>
      </c>
      <c r="AM6" s="80">
        <f>'Выручка, до'!AL9*'Исходные данные'!AN16</f>
        <v>28832276793.705002</v>
      </c>
      <c r="AN6" s="80">
        <f>'Выручка, до'!AM9*'Исходные данные'!AO16</f>
        <v>29611213232.240139</v>
      </c>
      <c r="AO6" s="80">
        <f>'Выручка, до'!AN9*'Исходные данные'!AP16</f>
        <v>30412122672.519573</v>
      </c>
      <c r="AP6" s="80">
        <f>'Выручка, до'!AO9*'Исходные данные'!AQ16</f>
        <v>31235646847.667034</v>
      </c>
      <c r="AQ6" s="80">
        <f>'Выручка, до'!AP9*'Исходные данные'!AR16</f>
        <v>32082446727.184334</v>
      </c>
      <c r="AR6" s="80">
        <f>'Выручка, до'!AQ9*'Исходные данные'!AS16</f>
        <v>32953203104.348705</v>
      </c>
      <c r="AS6" s="80">
        <f>'Выручка, до'!AR9*'Исходные данные'!AT16</f>
        <v>33848617201.775654</v>
      </c>
      <c r="AT6" s="80">
        <f>'Выручка, до'!AS9*'Исходные данные'!AU16</f>
        <v>34769411295.713676</v>
      </c>
      <c r="AU6" s="80">
        <f>'Выручка, до'!AT9*'Исходные данные'!AV16</f>
        <v>35716329359.655479</v>
      </c>
      <c r="AV6" s="80">
        <f>'Выручка, до'!AU9*'Исходные данные'!AW16</f>
        <v>36690137727.868019</v>
      </c>
      <c r="AW6" s="80">
        <f>'Выручка, до'!AV9*'Исходные данные'!AX16</f>
        <v>37691625779.463112</v>
      </c>
      <c r="AX6" s="80">
        <f>'Выручка, до'!AW9*'Исходные данные'!AY16</f>
        <v>38721606643.649559</v>
      </c>
      <c r="AY6" s="80">
        <f>'Выручка, до'!AX9*'Исходные данные'!AZ16</f>
        <v>39780917926.827972</v>
      </c>
      <c r="AZ6" s="80">
        <f>'Выручка, до'!AY9*'Исходные данные'!BA16</f>
        <v>40870422462.210205</v>
      </c>
      <c r="BA6" s="80">
        <f>'Выручка, до'!AZ9*'Исходные данные'!BB16</f>
        <v>41991009082.666664</v>
      </c>
      <c r="BB6" s="80">
        <f>'Выручка, до'!BA9*'Исходные данные'!BC16</f>
        <v>43143593417.526901</v>
      </c>
      <c r="BC6" s="80">
        <f>'Выручка, до'!BB9*'Исходные данные'!BD16</f>
        <v>44329118714.08165</v>
      </c>
      <c r="BD6" s="80">
        <f>'Выручка, до'!BC9*'Исходные данные'!BE16</f>
        <v>45548556684.557762</v>
      </c>
      <c r="BE6" s="80">
        <f>'Выручка, до'!BD9*'Исходные данные'!BF16</f>
        <v>46802908379.362228</v>
      </c>
      <c r="BF6" s="80">
        <f>'Выручка, до'!BE9*'Исходные данные'!BG16</f>
        <v>48093205087.415695</v>
      </c>
      <c r="BG6" s="80">
        <f>'Выручка, до'!BF9*'Исходные данные'!BH16</f>
        <v>49420509264.422508</v>
      </c>
      <c r="BH6" s="80">
        <f>'Выручка, до'!BG9*'Исходные данные'!BI16</f>
        <v>50785915489.950119</v>
      </c>
      <c r="BI6" s="80">
        <f>'Выручка, до'!BH9*'Исходные данные'!BJ16</f>
        <v>52190551454.218781</v>
      </c>
      <c r="BJ6" s="80">
        <f>'Выручка, до'!BI9*'Исходные данные'!BK16</f>
        <v>53635578975.530136</v>
      </c>
      <c r="BK6" s="80">
        <f>'Выручка, до'!BJ9*'Исходные данные'!BL16</f>
        <v>55122195049.293076</v>
      </c>
      <c r="BL6" s="80">
        <f>'Выручка, до'!BK9*'Исходные данные'!BM16</f>
        <v>56651632929.634972</v>
      </c>
      <c r="BM6" s="80">
        <f>'Выручка, до'!BL9*'Исходные данные'!BN16</f>
        <v>58225163244.617241</v>
      </c>
      <c r="BN6" s="80">
        <f>'Выручка, до'!BM9*'Исходные данные'!BO16</f>
        <v>59844095146.107002</v>
      </c>
      <c r="BO6" s="80">
        <f>'Выручка, до'!BN9*'Исходные данные'!BP16</f>
        <v>61509777495.388626</v>
      </c>
      <c r="BP6" s="80">
        <f>'Выручка, до'!BO9*'Исходные данные'!BQ16</f>
        <v>63223600085.633888</v>
      </c>
      <c r="BQ6" s="80">
        <f>'Выручка, до'!BP9*'Исходные данные'!BR16</f>
        <v>64986994902.38414</v>
      </c>
      <c r="BR6" s="80">
        <f>'Выручка, до'!BQ9*'Исходные данные'!BS16</f>
        <v>66801437423.234093</v>
      </c>
      <c r="BS6" s="80">
        <f>'Выручка, до'!BR9*'Исходные данные'!BT16</f>
        <v>68668447957.94471</v>
      </c>
      <c r="BT6" s="80">
        <f>'Выручка, до'!BS9*'Исходные данные'!BU16</f>
        <v>70589593030.250763</v>
      </c>
      <c r="BU6" s="80">
        <f>'Выручка, до'!BT9*'Исходные данные'!BV16</f>
        <v>72566486802.668472</v>
      </c>
      <c r="BV6" s="80">
        <f>'Выручка, до'!BU9*'Исходные данные'!BW16</f>
        <v>74600792545.650238</v>
      </c>
      <c r="BW6" s="80">
        <f>'Выручка, до'!BV9*'Исходные данные'!BX16</f>
        <v>76694224152.474991</v>
      </c>
      <c r="BX6" s="80">
        <f>'Выручка, до'!BW9*'Исходные данные'!BY16</f>
        <v>78848547701.3069</v>
      </c>
      <c r="BY6" s="80">
        <f>'Выручка, до'!BX9*'Исходные данные'!BZ16</f>
        <v>81065583065.900345</v>
      </c>
      <c r="BZ6" s="80">
        <f>'Выручка, до'!BY9*'Исходные данные'!CA16</f>
        <v>83347205576.474823</v>
      </c>
      <c r="CA6" s="80">
        <f>'Выручка, до'!BZ9*'Исходные данные'!CB16</f>
        <v>85695347732.332443</v>
      </c>
      <c r="CB6" s="80">
        <f>'Выручка, до'!CA9*'Исходные данные'!CC16</f>
        <v>88112000967.839157</v>
      </c>
      <c r="CC6" s="80">
        <f>'Выручка, до'!CB9*'Исходные данные'!CD16</f>
        <v>90599217473.442398</v>
      </c>
      <c r="CD6" s="80">
        <f>'Выручка, до'!CC9*'Исходные данные'!CE16</f>
        <v>93159112073.450333</v>
      </c>
      <c r="CE6" s="80">
        <f>'Выручка, до'!CD9*'Исходные данные'!CF16</f>
        <v>95793864162.352249</v>
      </c>
      <c r="CF6" s="80">
        <f>'Выручка, до'!CE9*'Исходные данные'!CG16</f>
        <v>98505719701.515228</v>
      </c>
      <c r="CG6" s="80">
        <f>'Выручка, до'!CF9*'Исходные данные'!CH16</f>
        <v>101296993278.15102</v>
      </c>
      <c r="CH6" s="80">
        <f>'Выручка, до'!CG9*'Исходные данные'!CI16</f>
        <v>104170070228.50482</v>
      </c>
      <c r="CI6" s="80">
        <f>'Выручка, до'!CH9*'Исходные данные'!CJ16</f>
        <v>107127408827.28149</v>
      </c>
      <c r="CJ6" s="80">
        <f>'Выручка, до'!CI9*'Исходные данные'!CK16</f>
        <v>110171542545.38571</v>
      </c>
      <c r="CK6" s="80">
        <f>'Выручка, до'!CJ9*'Исходные данные'!CL16</f>
        <v>113305082378.12007</v>
      </c>
      <c r="CL6" s="80">
        <f>'Выручка, до'!CK9*'Исходные данные'!CM16</f>
        <v>116530719246.05087</v>
      </c>
      <c r="CM6" s="80">
        <f>'Выручка, до'!CL9*'Исходные данные'!CN16</f>
        <v>119851226470.82231</v>
      </c>
      <c r="CN6" s="80">
        <f>'Выручка, до'!CM9*'Исходные данные'!CO16</f>
        <v>123269462328.27058</v>
      </c>
      <c r="CO6" s="80">
        <f>'Выручка, до'!CN9*'Исходные данные'!CP16</f>
        <v>126788372681.26436</v>
      </c>
      <c r="CP6" s="80">
        <f>'Выручка, до'!CO9*'Исходные данные'!CQ16</f>
        <v>130410993694.77303</v>
      </c>
      <c r="CQ6" s="80">
        <f>'Выручка, до'!CP9*'Исходные данные'!CR16</f>
        <v>134140454635.74518</v>
      </c>
      <c r="CR6" s="80">
        <f>'Выручка, до'!CQ9*'Исходные данные'!CS16</f>
        <v>137979980760.4584</v>
      </c>
      <c r="CS6" s="80">
        <f>'Выручка, до'!CR9*'Исходные данные'!CT16</f>
        <v>141932896292.0881</v>
      </c>
      <c r="CT6" s="80">
        <f>'Выручка, до'!CS9*'Исходные данные'!CU16</f>
        <v>146002627491.32639</v>
      </c>
      <c r="CU6" s="80">
        <f>'Выручка, до'!CT9*'Исходные данные'!CV16</f>
        <v>150192705822.97519</v>
      </c>
      <c r="CV6" s="80">
        <f>'Выручка, до'!CU9*'Исходные данные'!CW16</f>
        <v>154506771221.52545</v>
      </c>
      <c r="CW6" s="80">
        <f>'Выручка, до'!CV9*'Исходные данные'!CX16</f>
        <v>158948575458.83328</v>
      </c>
      <c r="CX6" s="80">
        <f>'Выручка, до'!CW9*'Исходные данные'!CY16</f>
        <v>163521985617.09882</v>
      </c>
      <c r="CY6" s="80">
        <f>'Выручка, до'!CX9*'Исходные данные'!CZ16</f>
        <v>168230987670.45624</v>
      </c>
      <c r="CZ6" s="80">
        <f>'Выручка, до'!CY9*'Исходные данные'!DA16</f>
        <v>173079690178.58746</v>
      </c>
      <c r="DA6" s="80">
        <f>'Выручка, до'!CZ9*'Исходные данные'!DB16</f>
        <v>178072328095.87854</v>
      </c>
      <c r="DB6" s="80">
        <f>'Выручка, до'!DA9*'Исходные данные'!DC16</f>
        <v>183213266699.75034</v>
      </c>
      <c r="DC6" s="80">
        <f>'Выручка, до'!DB9*'Исходные данные'!DD16</f>
        <v>188507005641.90756</v>
      </c>
      <c r="DD6" s="80">
        <f>'Выручка, до'!DC9*'Исходные данные'!DE16</f>
        <v>193958183126.37027</v>
      </c>
      <c r="DE6" s="80">
        <f>'Выручка, до'!DD9*'Исходные данные'!DF16</f>
        <v>199571580218.27203</v>
      </c>
      <c r="DF6" s="80">
        <f>'Выручка, до'!DE9*'Исходные данные'!DG16</f>
        <v>205352125287.53531</v>
      </c>
      <c r="DG6" s="80">
        <f>'Выручка, до'!DF9*'Исходные данные'!DH16</f>
        <v>211304898591.66476</v>
      </c>
      <c r="DH6" s="80">
        <f>'Выручка, до'!DG9*'Исходные данные'!DI16</f>
        <v>217435137002.03085</v>
      </c>
      <c r="DI6" s="80">
        <f>'Выручка, до'!DH9*'Исходные данные'!DJ16</f>
        <v>223748238878.15662</v>
      </c>
      <c r="DJ6" s="80">
        <f>'Выручка, до'!DI9*'Исходные данные'!DK16</f>
        <v>230249769094.66113</v>
      </c>
      <c r="DK6" s="80">
        <f>'Выручка, до'!DJ9*'Исходные данные'!DL16</f>
        <v>236945464225.65903</v>
      </c>
      <c r="DL6" s="80">
        <f>'Выручка, до'!DK9*'Исходные данные'!DM16</f>
        <v>243841237891.56998</v>
      </c>
      <c r="DM6" s="80">
        <f>'Выручка, до'!DL9*'Исходные данные'!DN16</f>
        <v>250943186273.44421</v>
      </c>
      <c r="DN6" s="80">
        <f>'Выручка, до'!DM9*'Исходные данные'!DO16</f>
        <v>258257593800.07452</v>
      </c>
      <c r="DO6" s="80">
        <f>'Выручка, до'!DN9*'Исходные данные'!DP16</f>
        <v>265790939013.32938</v>
      </c>
      <c r="DP6" s="80">
        <f>'Выручка, до'!DO9*'Исходные данные'!DQ16</f>
        <v>273549900617.31366</v>
      </c>
      <c r="DQ6" s="80">
        <f>'Выручка, до'!DP9*'Исходные данные'!DR16</f>
        <v>281541363717.14117</v>
      </c>
      <c r="DR6" s="80">
        <f>'Выручка, до'!DQ9*'Исходные данные'!DS16</f>
        <v>289772426253.28381</v>
      </c>
      <c r="DS6" s="80">
        <f>'Выручка, до'!DR9*'Исходные данные'!DT16</f>
        <v>298250405637.65271</v>
      </c>
      <c r="DT6" s="80">
        <f>'Выручка, до'!DS9*'Исходные данные'!DU16</f>
        <v>306982845597.758</v>
      </c>
    </row>
    <row r="7" spans="2:124" ht="16">
      <c r="B7" s="29" t="s">
        <v>353</v>
      </c>
      <c r="C7" s="85" t="s">
        <v>35</v>
      </c>
      <c r="D7" s="87">
        <f t="shared" si="0"/>
        <v>14762601972112.217</v>
      </c>
      <c r="E7" s="80">
        <f>'Выручка, до'!D9*'Исходные данные'!F17</f>
        <v>16430136343.465584</v>
      </c>
      <c r="F7" s="80">
        <f>'Выручка, до'!E9*'Исходные данные'!G17</f>
        <v>16856013824.423025</v>
      </c>
      <c r="G7" s="80">
        <f>'Выручка, до'!F9*'Исходные данные'!H17</f>
        <v>17293480645.854996</v>
      </c>
      <c r="H7" s="80">
        <f>'Выручка, до'!G9*'Исходные данные'!I17</f>
        <v>17742865705.658791</v>
      </c>
      <c r="I7" s="80">
        <f>'Выручка, до'!H9*'Исходные данные'!J17</f>
        <v>18204507551.931889</v>
      </c>
      <c r="J7" s="80">
        <f>'Выручка, до'!I9*'Исходные данные'!K17</f>
        <v>18678754673.214577</v>
      </c>
      <c r="K7" s="80">
        <f>'Выручка, до'!J9*'Исходные данные'!L17</f>
        <v>19165965797.616058</v>
      </c>
      <c r="L7" s="80">
        <f>'Выручка, до'!K9*'Исходные данные'!M17</f>
        <v>19666510201.099064</v>
      </c>
      <c r="M7" s="80">
        <f>'Выручка, до'!L9*'Исходные данные'!N17</f>
        <v>20180768025.206844</v>
      </c>
      <c r="N7" s="80">
        <f>'Выручка, до'!M9*'Исходные данные'!O17</f>
        <v>20709130604.525005</v>
      </c>
      <c r="O7" s="80">
        <f>'Выручка, до'!N9*'Исходные данные'!P17</f>
        <v>21252000804.180023</v>
      </c>
      <c r="P7" s="80">
        <f>'Выручка, до'!O9*'Исходные данные'!Q17</f>
        <v>21809793367.685616</v>
      </c>
      <c r="Q7" s="80">
        <f>'Выручка, до'!P9*'Исходные данные'!R17</f>
        <v>22382935275.457745</v>
      </c>
      <c r="R7" s="80">
        <f>'Выручка, до'!Q9*'Исходные данные'!S17</f>
        <v>22971866114.329292</v>
      </c>
      <c r="S7" s="80">
        <f>'Выручка, до'!R9*'Исходные данные'!T17</f>
        <v>23577038458.405617</v>
      </c>
      <c r="T7" s="80">
        <f>'Выручка, до'!S9*'Исходные данные'!U17</f>
        <v>24198918261.612831</v>
      </c>
      <c r="U7" s="80">
        <f>'Выручка, до'!T9*'Исходные данные'!V17</f>
        <v>24837985262.301865</v>
      </c>
      <c r="V7" s="80">
        <f>'Выручка, до'!U9*'Исходные данные'!W17</f>
        <v>25494733400.282463</v>
      </c>
      <c r="W7" s="80">
        <f>'Выручка, до'!V9*'Исходные данные'!X17</f>
        <v>26169671246.673103</v>
      </c>
      <c r="X7" s="80">
        <f>'Выручка, до'!W9*'Исходные данные'!Y17</f>
        <v>26863322446.964943</v>
      </c>
      <c r="Y7" s="80">
        <f>'Выручка, до'!X9*'Исходные данные'!Z17</f>
        <v>27576226177.710197</v>
      </c>
      <c r="Z7" s="80">
        <f>'Выручка, до'!Y9*'Исходные данные'!AA17</f>
        <v>28308937617.258278</v>
      </c>
      <c r="AA7" s="80">
        <f>'Выручка, до'!Z9*'Исходные данные'!AB17</f>
        <v>29062028430.976326</v>
      </c>
      <c r="AB7" s="80">
        <f>'Выручка, до'!AA9*'Исходные данные'!AC17</f>
        <v>29836087271.404343</v>
      </c>
      <c r="AC7" s="80">
        <f>'Выручка, до'!AB9*'Исходные данные'!AD17</f>
        <v>30631720293.809155</v>
      </c>
      <c r="AD7" s="80">
        <f>'Выручка, до'!AC9*'Исходные данные'!AE17</f>
        <v>31449551687.616192</v>
      </c>
      <c r="AE7" s="80">
        <f>'Выручка, до'!AD9*'Исходные данные'!AF17</f>
        <v>32290224224.212841</v>
      </c>
      <c r="AF7" s="80">
        <f>'Выручка, до'!AE9*'Исходные данные'!AG17</f>
        <v>33154399821.632671</v>
      </c>
      <c r="AG7" s="80">
        <f>'Выручка, до'!AF9*'Исходные данные'!AH17</f>
        <v>34042760126.645782</v>
      </c>
      <c r="AH7" s="80">
        <f>'Выручка, до'!AG9*'Исходные данные'!AI17</f>
        <v>34956007114.79702</v>
      </c>
      <c r="AI7" s="80">
        <f>'Выручка, до'!AH9*'Исходные данные'!AJ17</f>
        <v>35894863708.950623</v>
      </c>
      <c r="AJ7" s="80">
        <f>'Выручка, до'!AI9*'Исходные данные'!AK17</f>
        <v>36860074416.917496</v>
      </c>
      <c r="AK7" s="80">
        <f>'Выручка, до'!AJ9*'Исходные данные'!AL17</f>
        <v>37852405988.759354</v>
      </c>
      <c r="AL7" s="80">
        <f>'Выручка, до'!AK9*'Исходные данные'!AM17</f>
        <v>38872648094.382462</v>
      </c>
      <c r="AM7" s="80">
        <f>'Выручка, до'!AL9*'Исходные данные'!AN17</f>
        <v>39921614022.053078</v>
      </c>
      <c r="AN7" s="80">
        <f>'Выручка, до'!AM9*'Исходные данные'!AO17</f>
        <v>41000141398.486343</v>
      </c>
      <c r="AO7" s="80">
        <f>'Выручка, до'!AN9*'Исходные данные'!AP17</f>
        <v>42109092931.180946</v>
      </c>
      <c r="AP7" s="80">
        <f>'Выручка, до'!AO9*'Исходные данные'!AQ17</f>
        <v>43249357173.69281</v>
      </c>
      <c r="AQ7" s="80">
        <f>'Выручка, до'!AP9*'Исходные данные'!AR17</f>
        <v>44421849314.56292</v>
      </c>
      <c r="AR7" s="80">
        <f>'Выручка, до'!AQ9*'Исходные данные'!AS17</f>
        <v>45627511990.636665</v>
      </c>
      <c r="AS7" s="80">
        <f>'Выручка, до'!AR9*'Исходные данные'!AT17</f>
        <v>46867316125.535515</v>
      </c>
      <c r="AT7" s="80">
        <f>'Выручка, до'!AS9*'Исходные данные'!AU17</f>
        <v>48142261794.065086</v>
      </c>
      <c r="AU7" s="80">
        <f>'Выручка, до'!AT9*'Исходные данные'!AV17</f>
        <v>49453379113.369118</v>
      </c>
      <c r="AV7" s="80">
        <f>'Выручка, до'!AU9*'Исходные данные'!AW17</f>
        <v>50801729161.663406</v>
      </c>
      <c r="AW7" s="80">
        <f>'Выручка, до'!AV9*'Исходные данные'!AX17</f>
        <v>52188404925.410461</v>
      </c>
      <c r="AX7" s="80">
        <f>'Выручка, до'!AW9*'Исходные данные'!AY17</f>
        <v>53614532275.822464</v>
      </c>
      <c r="AY7" s="80">
        <f>'Выручка, до'!AX9*'Исходные данные'!AZ17</f>
        <v>55081270975.607964</v>
      </c>
      <c r="AZ7" s="80">
        <f>'Выручка, до'!AY9*'Исходные данные'!BA17</f>
        <v>56589815716.906433</v>
      </c>
      <c r="BA7" s="80">
        <f>'Выручка, до'!AZ9*'Исходные данные'!BB17</f>
        <v>58141397191.384605</v>
      </c>
      <c r="BB7" s="80">
        <f>'Выручка, до'!BA9*'Исходные данные'!BC17</f>
        <v>59737283193.498779</v>
      </c>
      <c r="BC7" s="80">
        <f>'Выручка, до'!BB9*'Исходные данные'!BD17</f>
        <v>61378779757.959206</v>
      </c>
      <c r="BD7" s="80">
        <f>'Выручка, до'!BC9*'Исходные данные'!BE17</f>
        <v>63067232332.464584</v>
      </c>
      <c r="BE7" s="80">
        <f>'Выручка, до'!BD9*'Исходные данные'!BF17</f>
        <v>64804026986.809235</v>
      </c>
      <c r="BF7" s="80">
        <f>'Выручка, до'!BE9*'Исходные данные'!BG17</f>
        <v>66590591659.49865</v>
      </c>
      <c r="BG7" s="80">
        <f>'Выручка, до'!BF9*'Исходные данные'!BH17</f>
        <v>68428397443.046547</v>
      </c>
      <c r="BH7" s="80">
        <f>'Выручка, до'!BG9*'Исходные данные'!BI17</f>
        <v>70318959909.161697</v>
      </c>
      <c r="BI7" s="80">
        <f>'Выручка, до'!BH9*'Исходные данные'!BJ17</f>
        <v>72263840475.072144</v>
      </c>
      <c r="BJ7" s="80">
        <f>'Выручка, до'!BI9*'Исходные данные'!BK17</f>
        <v>74264647812.272491</v>
      </c>
      <c r="BK7" s="80">
        <f>'Выручка, до'!BJ9*'Исходные данные'!BL17</f>
        <v>76323039299.021179</v>
      </c>
      <c r="BL7" s="80">
        <f>'Выручка, до'!BK9*'Исходные данные'!BM17</f>
        <v>78440722517.956116</v>
      </c>
      <c r="BM7" s="80">
        <f>'Выручка, до'!BL9*'Исходные данные'!BN17</f>
        <v>80619456800.239258</v>
      </c>
      <c r="BN7" s="80">
        <f>'Выручка, до'!BM9*'Исходные данные'!BO17</f>
        <v>82861054817.686615</v>
      </c>
      <c r="BO7" s="80">
        <f>'Выручка, до'!BN9*'Исходные данные'!BP17</f>
        <v>85167384224.384247</v>
      </c>
      <c r="BP7" s="80">
        <f>'Выручка, до'!BO9*'Исходные данные'!BQ17</f>
        <v>87540369349.339218</v>
      </c>
      <c r="BQ7" s="80">
        <f>'Выручка, до'!BP9*'Исходные данные'!BR17</f>
        <v>89981992941.76265</v>
      </c>
      <c r="BR7" s="80">
        <f>'Выручка, до'!BQ9*'Исходные данные'!BS17</f>
        <v>92494297970.631805</v>
      </c>
      <c r="BS7" s="80">
        <f>'Выручка, до'!BR9*'Исходные данные'!BT17</f>
        <v>95079389480.231125</v>
      </c>
      <c r="BT7" s="80">
        <f>'Выручка, до'!BS9*'Исходные данные'!BU17</f>
        <v>97739436503.424118</v>
      </c>
      <c r="BU7" s="80">
        <f>'Выручка, до'!BT9*'Исходные данные'!BV17</f>
        <v>100476674034.46402</v>
      </c>
      <c r="BV7" s="80">
        <f>'Выручка, до'!BU9*'Исходные данные'!BW17</f>
        <v>103293405063.20801</v>
      </c>
      <c r="BW7" s="80">
        <f>'Выручка, до'!BV9*'Исходные данные'!BX17</f>
        <v>106192002672.65768</v>
      </c>
      <c r="BX7" s="80">
        <f>'Выручка, до'!BW9*'Исходные данные'!BY17</f>
        <v>109174912201.80956</v>
      </c>
      <c r="BY7" s="80">
        <f>'Выручка, до'!BX9*'Исходные данные'!BZ17</f>
        <v>112244653475.86201</v>
      </c>
      <c r="BZ7" s="80">
        <f>'Выручка, до'!BY9*'Исходные данные'!CA17</f>
        <v>115403823105.8882</v>
      </c>
      <c r="CA7" s="80">
        <f>'Выручка, до'!BZ9*'Исходные данные'!CB17</f>
        <v>118655096860.15262</v>
      </c>
      <c r="CB7" s="80">
        <f>'Выручка, до'!CA9*'Исходные данные'!CC17</f>
        <v>122001232109.31575</v>
      </c>
      <c r="CC7" s="80">
        <f>'Выручка, до'!CB9*'Исходные данные'!CD17</f>
        <v>125445070347.84331</v>
      </c>
      <c r="CD7" s="80">
        <f>'Выручка, до'!CC9*'Исходные данные'!CE17</f>
        <v>128989539794.00815</v>
      </c>
      <c r="CE7" s="80">
        <f>'Выручка, до'!CD9*'Исходные данные'!CF17</f>
        <v>132637658070.94925</v>
      </c>
      <c r="CF7" s="80">
        <f>'Выручка, до'!CE9*'Исходные данные'!CG17</f>
        <v>136392534971.32878</v>
      </c>
      <c r="CG7" s="80">
        <f>'Выручка, до'!CF9*'Исходные данные'!CH17</f>
        <v>140257375308.20908</v>
      </c>
      <c r="CH7" s="80">
        <f>'Выручка, до'!CG9*'Исходные данные'!CI17</f>
        <v>144235481854.85281</v>
      </c>
      <c r="CI7" s="80">
        <f>'Выручка, до'!CH9*'Исходные данные'!CJ17</f>
        <v>148330258376.2359</v>
      </c>
      <c r="CJ7" s="80">
        <f>'Выручка, до'!CI9*'Исходные данные'!CK17</f>
        <v>152545212755.14944</v>
      </c>
      <c r="CK7" s="80">
        <f>'Выручка, до'!CJ9*'Исходные данные'!CL17</f>
        <v>156883960215.85855</v>
      </c>
      <c r="CL7" s="80">
        <f>'Выручка, до'!CK9*'Исходные данные'!CM17</f>
        <v>161350226648.37811</v>
      </c>
      <c r="CM7" s="80">
        <f>'Выручка, до'!CL9*'Исходные данные'!CN17</f>
        <v>165947852036.52319</v>
      </c>
      <c r="CN7" s="80">
        <f>'Выручка, до'!CM9*'Исходные данные'!CO17</f>
        <v>170680793992.99002</v>
      </c>
      <c r="CO7" s="80">
        <f>'Выручка, до'!CN9*'Исходные данные'!CP17</f>
        <v>175553131404.82758</v>
      </c>
      <c r="CP7" s="80">
        <f>'Выручка, до'!CO9*'Исходные данные'!CQ17</f>
        <v>180569068192.76263</v>
      </c>
      <c r="CQ7" s="80">
        <f>'Выручка, до'!CP9*'Исходные данные'!CR17</f>
        <v>185732937187.95483</v>
      </c>
      <c r="CR7" s="80">
        <f>'Выручка, до'!CQ9*'Исходные данные'!CS17</f>
        <v>191049204129.86548</v>
      </c>
      <c r="CS7" s="80">
        <f>'Выручка, до'!CR9*'Исходные данные'!CT17</f>
        <v>196522471789.04504</v>
      </c>
      <c r="CT7" s="80">
        <f>'Выручка, до'!CS9*'Исходные данные'!CU17</f>
        <v>202157484218.75961</v>
      </c>
      <c r="CU7" s="80">
        <f>'Выручка, до'!CT9*'Исходные данные'!CV17</f>
        <v>207959131139.50409</v>
      </c>
      <c r="CV7" s="80">
        <f>'Выручка, до'!CU9*'Исходные данные'!CW17</f>
        <v>213932452460.5737</v>
      </c>
      <c r="CW7" s="80">
        <f>'Выручка, до'!CV9*'Исходные данные'!CX17</f>
        <v>220082642942.99994</v>
      </c>
      <c r="CX7" s="80">
        <f>'Выручка, до'!CW9*'Исходные данные'!CY17</f>
        <v>226415057008.29065</v>
      </c>
      <c r="CY7" s="80">
        <f>'Выручка, до'!CX9*'Исходные данные'!CZ17</f>
        <v>232935213697.55475</v>
      </c>
      <c r="CZ7" s="80">
        <f>'Выручка, до'!CY9*'Исходные данные'!DA17</f>
        <v>239648801785.73648</v>
      </c>
      <c r="DA7" s="80">
        <f>'Выручка, до'!CZ9*'Исходные данные'!DB17</f>
        <v>246561685055.83182</v>
      </c>
      <c r="DB7" s="80">
        <f>'Выручка, до'!DA9*'Исходные данные'!DC17</f>
        <v>253679907738.11584</v>
      </c>
      <c r="DC7" s="80">
        <f>'Выручка, до'!DB9*'Исходные данные'!DD17</f>
        <v>261009700119.5643</v>
      </c>
      <c r="DD7" s="80">
        <f>'Выручка, до'!DC9*'Исходные данные'!DE17</f>
        <v>268557484328.82034</v>
      </c>
      <c r="DE7" s="80">
        <f>'Выручка, до'!DD9*'Исходные данные'!DF17</f>
        <v>276329880302.22278</v>
      </c>
      <c r="DF7" s="80">
        <f>'Выручка, до'!DE9*'Исходные данные'!DG17</f>
        <v>284333711936.58734</v>
      </c>
      <c r="DG7" s="80">
        <f>'Выручка, до'!DF9*'Исходные данные'!DH17</f>
        <v>292576013434.61273</v>
      </c>
      <c r="DH7" s="80">
        <f>'Выручка, до'!DG9*'Исходные данные'!DI17</f>
        <v>301064035848.96576</v>
      </c>
      <c r="DI7" s="80">
        <f>'Выручка, до'!DH9*'Исходные данные'!DJ17</f>
        <v>309805253831.29376</v>
      </c>
      <c r="DJ7" s="80">
        <f>'Выручка, до'!DI9*'Исходные данные'!DK17</f>
        <v>318807372592.60767</v>
      </c>
      <c r="DK7" s="80">
        <f>'Выручка, до'!DJ9*'Исходные данные'!DL17</f>
        <v>328078335081.6817</v>
      </c>
      <c r="DL7" s="80">
        <f>'Выручка, до'!DK9*'Исходные данные'!DM17</f>
        <v>337626329388.32764</v>
      </c>
      <c r="DM7" s="80">
        <f>'Выручка, до'!DL9*'Исходные данные'!DN17</f>
        <v>347459796378.61505</v>
      </c>
      <c r="DN7" s="80">
        <f>'Выручка, до'!DM9*'Исходные данные'!DO17</f>
        <v>357587437569.33392</v>
      </c>
      <c r="DO7" s="80">
        <f>'Выручка, до'!DN9*'Исходные данные'!DP17</f>
        <v>368018223249.22528</v>
      </c>
      <c r="DP7" s="80">
        <f>'Выручка, до'!DO9*'Исходные данные'!DQ17</f>
        <v>378761400854.742</v>
      </c>
      <c r="DQ7" s="80">
        <f>'Выручка, до'!DP9*'Исходные данные'!DR17</f>
        <v>389826503608.34924</v>
      </c>
      <c r="DR7" s="80">
        <f>'Выручка, до'!DQ9*'Исходные данные'!DS17</f>
        <v>401223359427.62366</v>
      </c>
      <c r="DS7" s="80">
        <f>'Выручка, до'!DR9*'Исходные данные'!DT17</f>
        <v>412962100113.67291</v>
      </c>
      <c r="DT7" s="80">
        <f>'Выручка, до'!DS9*'Исходные данные'!DU17</f>
        <v>425053170827.66486</v>
      </c>
    </row>
    <row r="8" spans="2:124" s="305" customFormat="1" ht="16">
      <c r="B8" s="301" t="s">
        <v>449</v>
      </c>
      <c r="C8" s="302" t="s">
        <v>35</v>
      </c>
      <c r="D8" s="303">
        <f t="shared" si="0"/>
        <v>627281955181.12195</v>
      </c>
      <c r="E8" s="304">
        <f>'Исходные данные'!F15*'Амортизация, до'!I22</f>
        <v>6139697640.9599991</v>
      </c>
      <c r="F8" s="304">
        <f>'Исходные данные'!G15*'Амортизация, до'!J22</f>
        <v>6122642788.8529406</v>
      </c>
      <c r="G8" s="304">
        <f>'Исходные данные'!H15*'Амортизация, до'!K22</f>
        <v>6105635311.7140656</v>
      </c>
      <c r="H8" s="304">
        <f>'Исходные данные'!I15*'Амортизация, до'!L22</f>
        <v>6088675077.9451866</v>
      </c>
      <c r="I8" s="304">
        <f>'Исходные данные'!J15*'Амортизация, до'!M22</f>
        <v>6071761956.3136702</v>
      </c>
      <c r="J8" s="304">
        <f>'Исходные данные'!K15*'Амортизация, до'!N22</f>
        <v>6054895815.9514217</v>
      </c>
      <c r="K8" s="304">
        <f>'Исходные данные'!L15*'Амортизация, до'!O22</f>
        <v>6038076526.3538723</v>
      </c>
      <c r="L8" s="304">
        <f>'Исходные данные'!M15*'Амортизация, до'!P22</f>
        <v>6021303957.3789663</v>
      </c>
      <c r="M8" s="304">
        <f>'Исходные данные'!N15*'Амортизация, до'!Q22</f>
        <v>6004577979.2461586</v>
      </c>
      <c r="N8" s="304">
        <f>'Исходные данные'!O15*'Амортизация, до'!R22</f>
        <v>5987898462.535409</v>
      </c>
      <c r="O8" s="304">
        <f>'Исходные данные'!P15*'Амортизация, до'!S22</f>
        <v>5971265278.1861773</v>
      </c>
      <c r="P8" s="304">
        <f>'Исходные данные'!Q15*'Амортизация, до'!T22</f>
        <v>5954678297.4964314</v>
      </c>
      <c r="Q8" s="304">
        <f>'Исходные данные'!R15*'Амортизация, до'!U22</f>
        <v>5938137392.1216459</v>
      </c>
      <c r="R8" s="304">
        <f>'Исходные данные'!S15*'Амортизация, до'!V22</f>
        <v>5921642434.0738106</v>
      </c>
      <c r="S8" s="304">
        <f>'Исходные данные'!T15*'Амортизация, до'!W22</f>
        <v>5905193295.7204409</v>
      </c>
      <c r="T8" s="304">
        <f>'Исходные данные'!U15*'Амортизация, до'!X22</f>
        <v>5888789849.7835894</v>
      </c>
      <c r="U8" s="304">
        <f>'Исходные данные'!V15*'Амортизация, до'!Y22</f>
        <v>5872431969.3388605</v>
      </c>
      <c r="V8" s="304">
        <f>'Исходные данные'!W15*'Амортизация, до'!Z22</f>
        <v>5856119527.8144312</v>
      </c>
      <c r="W8" s="304">
        <f>'Исходные данные'!X15*'Амортизация, до'!AA22</f>
        <v>5839852398.9900684</v>
      </c>
      <c r="X8" s="304">
        <f>'Исходные данные'!Y15*'Амортизация, до'!AB22</f>
        <v>5823630456.9961529</v>
      </c>
      <c r="Y8" s="304">
        <f>'Исходные данные'!Z15*'Амортизация, до'!AC22</f>
        <v>5807453576.3127098</v>
      </c>
      <c r="Z8" s="304">
        <f>'Исходные данные'!AA15*'Амортизация, до'!AD22</f>
        <v>5791321631.7684278</v>
      </c>
      <c r="AA8" s="304">
        <f>'Исходные данные'!AB15*'Амортизация, до'!AE22</f>
        <v>5775234498.5397015</v>
      </c>
      <c r="AB8" s="304">
        <f>'Исходные данные'!AC15*'Амортизация, до'!AF22</f>
        <v>5759192052.1496592</v>
      </c>
      <c r="AC8" s="304">
        <f>'Исходные данные'!AD15*'Амортизация, до'!AG22</f>
        <v>5743194168.4671974</v>
      </c>
      <c r="AD8" s="304">
        <f>'Исходные данные'!AE15*'Амортизация, до'!AH22</f>
        <v>5727240723.7060289</v>
      </c>
      <c r="AE8" s="304">
        <f>'Исходные данные'!AF15*'Амортизация, до'!AI22</f>
        <v>5711331594.4237185</v>
      </c>
      <c r="AF8" s="304">
        <f>'Исходные данные'!AG15*'Амортизация, до'!AJ22</f>
        <v>5695466657.5207281</v>
      </c>
      <c r="AG8" s="304">
        <f>'Исходные данные'!AH15*'Амортизация, до'!AK22</f>
        <v>5679645790.2394667</v>
      </c>
      <c r="AH8" s="304">
        <f>'Исходные данные'!AI15*'Амортизация, до'!AL22</f>
        <v>5663868870.1633396</v>
      </c>
      <c r="AI8" s="304">
        <f>'Исходные данные'!AJ15*'Амортизация, до'!AM22</f>
        <v>5648135775.2158003</v>
      </c>
      <c r="AJ8" s="304">
        <f>'Исходные данные'!AK15*'Амортизация, до'!AN22</f>
        <v>5632446383.6594057</v>
      </c>
      <c r="AK8" s="304">
        <f>'Исходные данные'!AL15*'Амортизация, до'!AO22</f>
        <v>5616800574.0948763</v>
      </c>
      <c r="AL8" s="304">
        <f>'Исходные данные'!AM15*'Амортизация, до'!AP22</f>
        <v>5601198225.4601555</v>
      </c>
      <c r="AM8" s="304">
        <f>'Исходные данные'!AN15*'Амортизация, до'!AQ22</f>
        <v>5585639217.0294724</v>
      </c>
      <c r="AN8" s="304">
        <f>'Исходные данные'!AO15*'Амортизация, до'!AR22</f>
        <v>5570123428.4124079</v>
      </c>
      <c r="AO8" s="304">
        <f>'Исходные данные'!AP15*'Амортизация, до'!AS22</f>
        <v>5554650739.5529633</v>
      </c>
      <c r="AP8" s="304">
        <f>'Исходные данные'!AQ15*'Амортизация, до'!AT22</f>
        <v>5539221030.7286329</v>
      </c>
      <c r="AQ8" s="304">
        <f>'Исходные данные'!AR15*'Амортизация, до'!AU22</f>
        <v>5523834182.5494757</v>
      </c>
      <c r="AR8" s="304">
        <f>'Исходные данные'!AS15*'Амортизация, до'!AV22</f>
        <v>5508490075.9571896</v>
      </c>
      <c r="AS8" s="304">
        <f>'Исходные данные'!AT15*'Амортизация, до'!AW22</f>
        <v>5493188592.2241955</v>
      </c>
      <c r="AT8" s="304">
        <f>'Исходные данные'!AU15*'Амортизация, до'!AX22</f>
        <v>5477929612.9527149</v>
      </c>
      <c r="AU8" s="304">
        <f>'Исходные данные'!AV15*'Амортизация, до'!AY22</f>
        <v>5462713020.0738544</v>
      </c>
      <c r="AV8" s="304">
        <f>'Исходные данные'!AW15*'Амортизация, до'!AZ22</f>
        <v>5447538695.846693</v>
      </c>
      <c r="AW8" s="304">
        <f>'Исходные данные'!AX15*'Амортизация, до'!BA22</f>
        <v>5432406522.8573704</v>
      </c>
      <c r="AX8" s="304">
        <f>'Исходные данные'!AY15*'Амортизация, до'!BB22</f>
        <v>5417316384.018177</v>
      </c>
      <c r="AY8" s="304">
        <f>'Исходные данные'!AZ15*'Амортизация, до'!BC22</f>
        <v>5402268162.5666513</v>
      </c>
      <c r="AZ8" s="304">
        <f>'Исходные данные'!BA15*'Амортизация, до'!BD22</f>
        <v>5387261742.0646734</v>
      </c>
      <c r="BA8" s="304">
        <f>'Исходные данные'!BB15*'Амортизация, до'!BE22</f>
        <v>5372297006.3975668</v>
      </c>
      <c r="BB8" s="304">
        <f>'Исходные данные'!BC15*'Амортизация, до'!BF22</f>
        <v>5357373839.7731953</v>
      </c>
      <c r="BC8" s="304">
        <f>'Исходные данные'!BD15*'Амортизация, до'!BG22</f>
        <v>5342492126.7210732</v>
      </c>
      <c r="BD8" s="304">
        <f>'Исходные данные'!BE15*'Амортизация, до'!BH22</f>
        <v>5327651752.0914669</v>
      </c>
      <c r="BE8" s="304">
        <f>'Исходные данные'!BF15*'Амортизация, до'!BI22</f>
        <v>5312852601.0545073</v>
      </c>
      <c r="BF8" s="304">
        <f>'Исходные данные'!BG15*'Амортизация, до'!BJ22</f>
        <v>5298094559.0992985</v>
      </c>
      <c r="BG8" s="304">
        <f>'Исходные данные'!BH15*'Амортизация, до'!BK22</f>
        <v>5283377512.0330334</v>
      </c>
      <c r="BH8" s="304">
        <f>'Исходные данные'!BI15*'Амортизация, до'!BL22</f>
        <v>5268701345.9801083</v>
      </c>
      <c r="BI8" s="304">
        <f>'Исходные данные'!BJ15*'Амортизация, до'!BM22</f>
        <v>5254065947.3812447</v>
      </c>
      <c r="BJ8" s="304">
        <f>'Исходные данные'!BK15*'Амортизация, до'!BN22</f>
        <v>5239471202.992609</v>
      </c>
      <c r="BK8" s="304">
        <f>'Исходные данные'!BL15*'Амортизация, до'!BO22</f>
        <v>5224916999.8849354</v>
      </c>
      <c r="BL8" s="304">
        <f>'Исходные данные'!BM15*'Амортизация, до'!BP22</f>
        <v>5210403225.4426556</v>
      </c>
      <c r="BM8" s="304">
        <f>'Исходные данные'!BN15*'Амортизация, до'!BQ22</f>
        <v>5195929767.3630209</v>
      </c>
      <c r="BN8" s="304">
        <f>'Исходные данные'!BO15*'Амортизация, до'!BR22</f>
        <v>5181496513.6552401</v>
      </c>
      <c r="BO8" s="304">
        <f>'Исходные данные'!BP15*'Амортизация, до'!BS22</f>
        <v>5167103352.6396084</v>
      </c>
      <c r="BP8" s="304">
        <f>'Исходные данные'!BQ15*'Амортизация, до'!BT22</f>
        <v>5152750172.9466457</v>
      </c>
      <c r="BQ8" s="304">
        <f>'Исходные данные'!BR15*'Амортизация, до'!BU22</f>
        <v>5138436863.5162354</v>
      </c>
      <c r="BR8" s="304">
        <f>'Исходные данные'!BS15*'Амортизация, до'!BV22</f>
        <v>5124163313.5967598</v>
      </c>
      <c r="BS8" s="304">
        <f>'Исходные данные'!BT15*'Амортизация, до'!BW22</f>
        <v>5109929412.7442513</v>
      </c>
      <c r="BT8" s="304">
        <f>'Исходные данные'!BU15*'Амортизация, до'!BX22</f>
        <v>5095735050.8215303</v>
      </c>
      <c r="BU8" s="304">
        <f>'Исходные данные'!BV15*'Амортизация, до'!BY22</f>
        <v>5081580117.9973583</v>
      </c>
      <c r="BV8" s="304">
        <f>'Исходные данные'!BW15*'Амортизация, до'!BZ22</f>
        <v>5067464504.7455845</v>
      </c>
      <c r="BW8" s="304">
        <f>'Исходные данные'!BX15*'Амортизация, до'!CA22</f>
        <v>5053388101.8443031</v>
      </c>
      <c r="BX8" s="304">
        <f>'Исходные данные'!BY15*'Амортизация, до'!CB22</f>
        <v>5039350800.375</v>
      </c>
      <c r="BY8" s="304">
        <f>'Исходные данные'!BZ15*'Амортизация, до'!CC22</f>
        <v>5025352491.7217178</v>
      </c>
      <c r="BZ8" s="304">
        <f>'Исходные данные'!CA15*'Амортизация, до'!CD22</f>
        <v>5011393067.5702133</v>
      </c>
      <c r="CA8" s="304">
        <f>'Исходные данные'!CB15*'Амортизация, до'!CE22</f>
        <v>4997472419.9071169</v>
      </c>
      <c r="CB8" s="304">
        <f>'Исходные данные'!CC15*'Амортизация, до'!CF22</f>
        <v>4983590441.0190992</v>
      </c>
      <c r="CC8" s="304">
        <f>'Исходные данные'!CD15*'Амортизация, до'!CG22</f>
        <v>4969747023.4920368</v>
      </c>
      <c r="CD8" s="304">
        <f>'Исходные данные'!CE15*'Амортизация, до'!CH22</f>
        <v>4955942060.2101803</v>
      </c>
      <c r="CE8" s="304">
        <f>'Исходные данные'!CF15*'Амортизация, до'!CI22</f>
        <v>4942175444.3553286</v>
      </c>
      <c r="CF8" s="304">
        <f>'Исходные данные'!CG15*'Амортизация, до'!CJ22</f>
        <v>4928447069.4059992</v>
      </c>
      <c r="CG8" s="304">
        <f>'Исходные данные'!CH15*'Амортизация, до'!CK22</f>
        <v>4914756829.1366034</v>
      </c>
      <c r="CH8" s="304">
        <f>'Исходные данные'!CI15*'Амортизация, до'!CL22</f>
        <v>4901104617.6166277</v>
      </c>
      <c r="CI8" s="304">
        <f>'Исходные данные'!CJ15*'Амортизация, до'!CM22</f>
        <v>4887490329.2098131</v>
      </c>
      <c r="CJ8" s="304">
        <f>'Исходные данные'!CK15*'Амортизация, до'!CN22</f>
        <v>4873913858.5733337</v>
      </c>
      <c r="CK8" s="304">
        <f>'Исходные данные'!CL15*'Амортизация, до'!CO22</f>
        <v>4860375100.6569891</v>
      </c>
      <c r="CL8" s="304">
        <f>'Исходные данные'!CM15*'Амортизация, до'!CP22</f>
        <v>4846873950.702384</v>
      </c>
      <c r="CM8" s="304">
        <f>'Исходные данные'!CN15*'Амортизация, до'!CQ22</f>
        <v>4833410304.2421227</v>
      </c>
      <c r="CN8" s="304">
        <f>'Исходные данные'!CO15*'Амортизация, до'!CR22</f>
        <v>4819984057.098999</v>
      </c>
      <c r="CO8" s="304">
        <f>'Исходные данные'!CP15*'Амортизация, до'!CS22</f>
        <v>4806595105.38519</v>
      </c>
      <c r="CP8" s="304">
        <f>'Исходные данные'!CQ15*'Амортизация, до'!CT22</f>
        <v>4793243345.5014505</v>
      </c>
      <c r="CQ8" s="304">
        <f>'Исходные данные'!CR15*'Амортизация, до'!CU22</f>
        <v>4779928674.1363163</v>
      </c>
      <c r="CR8" s="304">
        <f>'Исходные данные'!CS15*'Амортизация, до'!CV22</f>
        <v>4766650988.2652998</v>
      </c>
      <c r="CS8" s="304">
        <f>'Исходные данные'!CT15*'Амортизация, до'!CW22</f>
        <v>4753410185.1500959</v>
      </c>
      <c r="CT8" s="304">
        <f>'Исходные данные'!CU15*'Амортизация, до'!CX22</f>
        <v>4740206162.3377857</v>
      </c>
      <c r="CU8" s="304">
        <f>'Исходные данные'!CV15*'Амортизация, до'!CY22</f>
        <v>4727038817.6600447</v>
      </c>
      <c r="CV8" s="304">
        <f>'Исходные данные'!CW15*'Амортизация, до'!CZ22</f>
        <v>4713908049.2323475</v>
      </c>
      <c r="CW8" s="304">
        <f>'Исходные данные'!CX15*'Амортизация, до'!DA22</f>
        <v>4700813755.4531908</v>
      </c>
      <c r="CX8" s="304">
        <f>'Исходные данные'!CY15*'Амортизация, до'!DB22</f>
        <v>4687755835.003293</v>
      </c>
      <c r="CY8" s="304">
        <f>'Исходные данные'!CZ15*'Амортизация, до'!DC22</f>
        <v>4674734186.844821</v>
      </c>
      <c r="CZ8" s="304">
        <f>'Исходные данные'!DA15*'Амортизация, до'!DD22</f>
        <v>4661748710.220603</v>
      </c>
      <c r="DA8" s="304">
        <f>'Исходные данные'!DB15*'Амортизация, до'!DE22</f>
        <v>4648799304.6533527</v>
      </c>
      <c r="DB8" s="304">
        <f>'Исходные данные'!DC15*'Амортизация, до'!DF22</f>
        <v>4635885869.9448872</v>
      </c>
      <c r="DC8" s="304">
        <f>'Исходные данные'!DD15*'Амортизация, до'!DG22</f>
        <v>4623008306.175354</v>
      </c>
      <c r="DD8" s="304">
        <f>'Исходные данные'!DE15*'Амортизация, до'!DH22</f>
        <v>4610166513.7024603</v>
      </c>
      <c r="DE8" s="304">
        <f>'Исходные данные'!DF15*'Амортизация, до'!DI22</f>
        <v>4597360393.160697</v>
      </c>
      <c r="DF8" s="304">
        <f>'Исходные данные'!DG15*'Амортизация, до'!DJ22</f>
        <v>4584589845.4605751</v>
      </c>
      <c r="DG8" s="304">
        <f>'Исходные данные'!DH15*'Амортизация, до'!DK22</f>
        <v>4571854771.7878542</v>
      </c>
      <c r="DH8" s="304">
        <f>'Исходные данные'!DI15*'Амортизация, до'!DL22</f>
        <v>4559155073.6027813</v>
      </c>
      <c r="DI8" s="304">
        <f>'Исходные данные'!DJ15*'Амортизация, до'!DM22</f>
        <v>4546490652.639328</v>
      </c>
      <c r="DJ8" s="304">
        <f>'Исходные данные'!DK15*'Амортизация, до'!DN22</f>
        <v>4533861410.9044266</v>
      </c>
      <c r="DK8" s="304">
        <f>'Исходные данные'!DL15*'Амортизация, до'!DO22</f>
        <v>4521267250.6772165</v>
      </c>
      <c r="DL8" s="304">
        <f>'Исходные данные'!DM15*'Амортизация, до'!DP22</f>
        <v>4508708074.5082855</v>
      </c>
      <c r="DM8" s="304">
        <f>'Исходные данные'!DN15*'Амортизация, до'!DQ22</f>
        <v>4496183785.2189159</v>
      </c>
      <c r="DN8" s="304">
        <f>'Исходные данные'!DO15*'Амортизация, до'!DR22</f>
        <v>4483694285.9003353</v>
      </c>
      <c r="DO8" s="304">
        <f>'Исходные данные'!DP15*'Амортизация, до'!DS22</f>
        <v>4471239479.912961</v>
      </c>
      <c r="DP8" s="304">
        <f>'Исходные данные'!DQ15*'Амортизация, до'!DT22</f>
        <v>4458819270.8856592</v>
      </c>
      <c r="DQ8" s="304">
        <f>'Исходные данные'!DR15*'Амортизация, до'!DU22</f>
        <v>4446433562.7149925</v>
      </c>
      <c r="DR8" s="304">
        <f>'Исходные данные'!DS15*'Амортизация, до'!DV22</f>
        <v>4434082259.5644827</v>
      </c>
      <c r="DS8" s="304">
        <f>'Исходные данные'!DT15*'Амортизация, до'!DW22</f>
        <v>4421765265.8638649</v>
      </c>
      <c r="DT8" s="304">
        <f>'Исходные данные'!DU15*'Амортизация, до'!DX22</f>
        <v>4409482486.3083477</v>
      </c>
    </row>
    <row r="9" spans="2:124" ht="16">
      <c r="B9" s="29" t="s">
        <v>422</v>
      </c>
      <c r="C9" s="85" t="s">
        <v>35</v>
      </c>
      <c r="D9" s="87">
        <f t="shared" si="0"/>
        <v>5472156559.3920002</v>
      </c>
      <c r="E9" s="80">
        <f>'Исходные данные'!F22</f>
        <v>45613046.616000004</v>
      </c>
      <c r="F9" s="80">
        <f>'Исходные данные'!G22</f>
        <v>45613046.616000004</v>
      </c>
      <c r="G9" s="80">
        <f>'Исходные данные'!H22</f>
        <v>45613046.616000004</v>
      </c>
      <c r="H9" s="80">
        <f>'Исходные данные'!I22</f>
        <v>45613046.616000004</v>
      </c>
      <c r="I9" s="80">
        <f>'Исходные данные'!J22</f>
        <v>45613046.616000004</v>
      </c>
      <c r="J9" s="80">
        <f>'Исходные данные'!K22</f>
        <v>45613046.616000004</v>
      </c>
      <c r="K9" s="80">
        <f>'Исходные данные'!L22</f>
        <v>45613046.616000004</v>
      </c>
      <c r="L9" s="80">
        <f>'Исходные данные'!M22</f>
        <v>45613046.616000004</v>
      </c>
      <c r="M9" s="80">
        <f>'Исходные данные'!N22</f>
        <v>45613046.616000004</v>
      </c>
      <c r="N9" s="80">
        <f>'Исходные данные'!O22</f>
        <v>45613046.616000004</v>
      </c>
      <c r="O9" s="80">
        <f>'Исходные данные'!P22</f>
        <v>45613046.616000004</v>
      </c>
      <c r="P9" s="80">
        <f>'Исходные данные'!Q22</f>
        <v>45613046.616000004</v>
      </c>
      <c r="Q9" s="80">
        <f>'Исходные данные'!R22</f>
        <v>45600000</v>
      </c>
      <c r="R9" s="80">
        <f>'Исходные данные'!S22</f>
        <v>45600000</v>
      </c>
      <c r="S9" s="80">
        <f>'Исходные данные'!T22</f>
        <v>45600000</v>
      </c>
      <c r="T9" s="80">
        <f>'Исходные данные'!U22</f>
        <v>45600000</v>
      </c>
      <c r="U9" s="80">
        <f>'Исходные данные'!V22</f>
        <v>45600000</v>
      </c>
      <c r="V9" s="80">
        <f>'Исходные данные'!W22</f>
        <v>45600000</v>
      </c>
      <c r="W9" s="80">
        <f>'Исходные данные'!X22</f>
        <v>45600000</v>
      </c>
      <c r="X9" s="80">
        <f>'Исходные данные'!Y22</f>
        <v>45600000</v>
      </c>
      <c r="Y9" s="80">
        <f>'Исходные данные'!Z22</f>
        <v>45600000</v>
      </c>
      <c r="Z9" s="80">
        <f>'Исходные данные'!AA22</f>
        <v>45600000</v>
      </c>
      <c r="AA9" s="80">
        <f>'Исходные данные'!AB22</f>
        <v>45600000</v>
      </c>
      <c r="AB9" s="80">
        <f>'Исходные данные'!AC22</f>
        <v>45600000</v>
      </c>
      <c r="AC9" s="80">
        <f>'Исходные данные'!AD22</f>
        <v>45600000</v>
      </c>
      <c r="AD9" s="80">
        <f>'Исходные данные'!AE22</f>
        <v>45600000</v>
      </c>
      <c r="AE9" s="80">
        <f>'Исходные данные'!AF22</f>
        <v>45600000</v>
      </c>
      <c r="AF9" s="80">
        <f>'Исходные данные'!AG22</f>
        <v>45600000</v>
      </c>
      <c r="AG9" s="80">
        <f>'Исходные данные'!AH22</f>
        <v>45600000</v>
      </c>
      <c r="AH9" s="80">
        <f>'Исходные данные'!AI22</f>
        <v>45600000</v>
      </c>
      <c r="AI9" s="80">
        <f>'Исходные данные'!AJ22</f>
        <v>45600000</v>
      </c>
      <c r="AJ9" s="80">
        <f>'Исходные данные'!AK22</f>
        <v>45600000</v>
      </c>
      <c r="AK9" s="80">
        <f>'Исходные данные'!AL22</f>
        <v>45600000</v>
      </c>
      <c r="AL9" s="80">
        <f>'Исходные данные'!AM22</f>
        <v>45600000</v>
      </c>
      <c r="AM9" s="80">
        <f>'Исходные данные'!AN22</f>
        <v>45600000</v>
      </c>
      <c r="AN9" s="80">
        <f>'Исходные данные'!AO22</f>
        <v>45600000</v>
      </c>
      <c r="AO9" s="80">
        <f>'Исходные данные'!AP22</f>
        <v>45600000</v>
      </c>
      <c r="AP9" s="80">
        <f>'Исходные данные'!AQ22</f>
        <v>45600000</v>
      </c>
      <c r="AQ9" s="80">
        <f>'Исходные данные'!AR22</f>
        <v>45600000</v>
      </c>
      <c r="AR9" s="80">
        <f>'Исходные данные'!AS22</f>
        <v>45600000</v>
      </c>
      <c r="AS9" s="80">
        <f>'Исходные данные'!AT22</f>
        <v>45600000</v>
      </c>
      <c r="AT9" s="80">
        <f>'Исходные данные'!AU22</f>
        <v>45600000</v>
      </c>
      <c r="AU9" s="80">
        <f>'Исходные данные'!AV22</f>
        <v>45600000</v>
      </c>
      <c r="AV9" s="80">
        <f>'Исходные данные'!AW22</f>
        <v>45600000</v>
      </c>
      <c r="AW9" s="80">
        <f>'Исходные данные'!AX22</f>
        <v>45600000</v>
      </c>
      <c r="AX9" s="80">
        <f>'Исходные данные'!AY22</f>
        <v>45600000</v>
      </c>
      <c r="AY9" s="80">
        <f>'Исходные данные'!AZ22</f>
        <v>45600000</v>
      </c>
      <c r="AZ9" s="80">
        <f>'Исходные данные'!BA22</f>
        <v>45600000</v>
      </c>
      <c r="BA9" s="80">
        <f>'Исходные данные'!BB22</f>
        <v>45600000</v>
      </c>
      <c r="BB9" s="80">
        <f>'Исходные данные'!BC22</f>
        <v>45600000</v>
      </c>
      <c r="BC9" s="80">
        <f>'Исходные данные'!BD22</f>
        <v>45600000</v>
      </c>
      <c r="BD9" s="80">
        <f>'Исходные данные'!BE22</f>
        <v>45600000</v>
      </c>
      <c r="BE9" s="80">
        <f>'Исходные данные'!BF22</f>
        <v>45600000</v>
      </c>
      <c r="BF9" s="80">
        <f>'Исходные данные'!BG22</f>
        <v>45600000</v>
      </c>
      <c r="BG9" s="80">
        <f>'Исходные данные'!BH22</f>
        <v>45600000</v>
      </c>
      <c r="BH9" s="80">
        <f>'Исходные данные'!BI22</f>
        <v>45600000</v>
      </c>
      <c r="BI9" s="80">
        <f>'Исходные данные'!BJ22</f>
        <v>45600000</v>
      </c>
      <c r="BJ9" s="80">
        <f>'Исходные данные'!BK22</f>
        <v>45600000</v>
      </c>
      <c r="BK9" s="80">
        <f>'Исходные данные'!BL22</f>
        <v>45600000</v>
      </c>
      <c r="BL9" s="80">
        <f>'Исходные данные'!BM22</f>
        <v>45600000</v>
      </c>
      <c r="BM9" s="80">
        <f>'Исходные данные'!BN22</f>
        <v>45600000</v>
      </c>
      <c r="BN9" s="80">
        <f>'Исходные данные'!BO22</f>
        <v>45600000</v>
      </c>
      <c r="BO9" s="80">
        <f>'Исходные данные'!BP22</f>
        <v>45600000</v>
      </c>
      <c r="BP9" s="80">
        <f>'Исходные данные'!BQ22</f>
        <v>45600000</v>
      </c>
      <c r="BQ9" s="80">
        <f>'Исходные данные'!BR22</f>
        <v>45600000</v>
      </c>
      <c r="BR9" s="80">
        <f>'Исходные данные'!BS22</f>
        <v>45600000</v>
      </c>
      <c r="BS9" s="80">
        <f>'Исходные данные'!BT22</f>
        <v>45600000</v>
      </c>
      <c r="BT9" s="80">
        <f>'Исходные данные'!BU22</f>
        <v>45600000</v>
      </c>
      <c r="BU9" s="80">
        <f>'Исходные данные'!BV22</f>
        <v>45600000</v>
      </c>
      <c r="BV9" s="80">
        <f>'Исходные данные'!BW22</f>
        <v>45600000</v>
      </c>
      <c r="BW9" s="80">
        <f>'Исходные данные'!BX22</f>
        <v>45600000</v>
      </c>
      <c r="BX9" s="80">
        <f>'Исходные данные'!BY22</f>
        <v>45600000</v>
      </c>
      <c r="BY9" s="80">
        <f>'Исходные данные'!BZ22</f>
        <v>45600000</v>
      </c>
      <c r="BZ9" s="80">
        <f>'Исходные данные'!CA22</f>
        <v>45600000</v>
      </c>
      <c r="CA9" s="80">
        <f>'Исходные данные'!CB22</f>
        <v>45600000</v>
      </c>
      <c r="CB9" s="80">
        <f>'Исходные данные'!CC22</f>
        <v>45600000</v>
      </c>
      <c r="CC9" s="80">
        <f>'Исходные данные'!CD22</f>
        <v>45600000</v>
      </c>
      <c r="CD9" s="80">
        <f>'Исходные данные'!CE22</f>
        <v>45600000</v>
      </c>
      <c r="CE9" s="80">
        <f>'Исходные данные'!CF22</f>
        <v>45600000</v>
      </c>
      <c r="CF9" s="80">
        <f>'Исходные данные'!CG22</f>
        <v>45600000</v>
      </c>
      <c r="CG9" s="80">
        <f>'Исходные данные'!CH22</f>
        <v>45600000</v>
      </c>
      <c r="CH9" s="80">
        <f>'Исходные данные'!CI22</f>
        <v>45600000</v>
      </c>
      <c r="CI9" s="80">
        <f>'Исходные данные'!CJ22</f>
        <v>45600000</v>
      </c>
      <c r="CJ9" s="80">
        <f>'Исходные данные'!CK22</f>
        <v>45600000</v>
      </c>
      <c r="CK9" s="80">
        <f>'Исходные данные'!CL22</f>
        <v>45600000</v>
      </c>
      <c r="CL9" s="80">
        <f>'Исходные данные'!CM22</f>
        <v>45600000</v>
      </c>
      <c r="CM9" s="80">
        <f>'Исходные данные'!CN22</f>
        <v>45600000</v>
      </c>
      <c r="CN9" s="80">
        <f>'Исходные данные'!CO22</f>
        <v>45600000</v>
      </c>
      <c r="CO9" s="80">
        <f>'Исходные данные'!CP22</f>
        <v>45600000</v>
      </c>
      <c r="CP9" s="80">
        <f>'Исходные данные'!CQ22</f>
        <v>45600000</v>
      </c>
      <c r="CQ9" s="80">
        <f>'Исходные данные'!CR22</f>
        <v>45600000</v>
      </c>
      <c r="CR9" s="80">
        <f>'Исходные данные'!CS22</f>
        <v>45600000</v>
      </c>
      <c r="CS9" s="80">
        <f>'Исходные данные'!CT22</f>
        <v>45600000</v>
      </c>
      <c r="CT9" s="80">
        <f>'Исходные данные'!CU22</f>
        <v>45600000</v>
      </c>
      <c r="CU9" s="80">
        <f>'Исходные данные'!CV22</f>
        <v>45600000</v>
      </c>
      <c r="CV9" s="80">
        <f>'Исходные данные'!CW22</f>
        <v>45600000</v>
      </c>
      <c r="CW9" s="80">
        <f>'Исходные данные'!CX22</f>
        <v>45600000</v>
      </c>
      <c r="CX9" s="80">
        <f>'Исходные данные'!CY22</f>
        <v>45600000</v>
      </c>
      <c r="CY9" s="80">
        <f>'Исходные данные'!CZ22</f>
        <v>45600000</v>
      </c>
      <c r="CZ9" s="80">
        <f>'Исходные данные'!DA22</f>
        <v>45600000</v>
      </c>
      <c r="DA9" s="80">
        <f>'Исходные данные'!DB22</f>
        <v>45600000</v>
      </c>
      <c r="DB9" s="80">
        <f>'Исходные данные'!DC22</f>
        <v>45600000</v>
      </c>
      <c r="DC9" s="80">
        <f>'Исходные данные'!DD22</f>
        <v>45600000</v>
      </c>
      <c r="DD9" s="80">
        <f>'Исходные данные'!DE22</f>
        <v>45600000</v>
      </c>
      <c r="DE9" s="80">
        <f>'Исходные данные'!DF22</f>
        <v>45600000</v>
      </c>
      <c r="DF9" s="80">
        <f>'Исходные данные'!DG22</f>
        <v>45600000</v>
      </c>
      <c r="DG9" s="80">
        <f>'Исходные данные'!DH22</f>
        <v>45600000</v>
      </c>
      <c r="DH9" s="80">
        <f>'Исходные данные'!DI22</f>
        <v>45600000</v>
      </c>
      <c r="DI9" s="80">
        <f>'Исходные данные'!DJ22</f>
        <v>45600000</v>
      </c>
      <c r="DJ9" s="80">
        <f>'Исходные данные'!DK22</f>
        <v>45600000</v>
      </c>
      <c r="DK9" s="80">
        <f>'Исходные данные'!DL22</f>
        <v>45600000</v>
      </c>
      <c r="DL9" s="80">
        <f>'Исходные данные'!DM22</f>
        <v>45600000</v>
      </c>
      <c r="DM9" s="80">
        <f>'Исходные данные'!DN22</f>
        <v>45600000</v>
      </c>
      <c r="DN9" s="80">
        <f>'Исходные данные'!DO22</f>
        <v>45600000</v>
      </c>
      <c r="DO9" s="80">
        <f>'Исходные данные'!DP22</f>
        <v>45600000</v>
      </c>
      <c r="DP9" s="80">
        <f>'Исходные данные'!DQ22</f>
        <v>45600000</v>
      </c>
      <c r="DQ9" s="80">
        <f>'Исходные данные'!DR22</f>
        <v>45600000</v>
      </c>
      <c r="DR9" s="80">
        <f>'Исходные данные'!DS22</f>
        <v>45600000</v>
      </c>
      <c r="DS9" s="80">
        <f>'Исходные данные'!DT22</f>
        <v>45600000</v>
      </c>
      <c r="DT9" s="80">
        <f>'Исходные данные'!DU22</f>
        <v>45600000</v>
      </c>
    </row>
    <row r="10" spans="2:124" ht="16">
      <c r="B10" s="100" t="s">
        <v>59</v>
      </c>
      <c r="C10" s="85" t="s">
        <v>35</v>
      </c>
      <c r="D10" s="87">
        <f t="shared" si="0"/>
        <v>30157958055964.957</v>
      </c>
      <c r="E10" s="80">
        <f t="shared" ref="E10:AJ10" si="1">SUM(E5:E9)</f>
        <v>39045583374.507164</v>
      </c>
      <c r="F10" s="80">
        <f t="shared" si="1"/>
        <v>39880283484.314987</v>
      </c>
      <c r="G10" s="80">
        <f t="shared" si="1"/>
        <v>40738209650.040054</v>
      </c>
      <c r="H10" s="80">
        <f t="shared" si="1"/>
        <v>41620019535.878769</v>
      </c>
      <c r="I10" s="80">
        <f t="shared" si="1"/>
        <v>42526390106.793442</v>
      </c>
      <c r="J10" s="80">
        <f t="shared" si="1"/>
        <v>43458018208.996574</v>
      </c>
      <c r="K10" s="80">
        <f t="shared" si="1"/>
        <v>44415621168.201988</v>
      </c>
      <c r="L10" s="80">
        <f t="shared" si="1"/>
        <v>45399937406.1931</v>
      </c>
      <c r="M10" s="80">
        <f t="shared" si="1"/>
        <v>46411727076.275848</v>
      </c>
      <c r="N10" s="80">
        <f t="shared" si="1"/>
        <v>47451772718.201416</v>
      </c>
      <c r="O10" s="80">
        <f t="shared" si="1"/>
        <v>48520879933.162224</v>
      </c>
      <c r="P10" s="80">
        <f t="shared" si="1"/>
        <v>49619878079.483658</v>
      </c>
      <c r="Q10" s="80">
        <f t="shared" si="1"/>
        <v>50749607943.037132</v>
      </c>
      <c r="R10" s="80">
        <f t="shared" si="1"/>
        <v>51910974662.732391</v>
      </c>
      <c r="S10" s="80">
        <f t="shared" si="1"/>
        <v>53104870212.531677</v>
      </c>
      <c r="T10" s="80">
        <f t="shared" si="1"/>
        <v>54332226373.009254</v>
      </c>
      <c r="U10" s="80">
        <f t="shared" si="1"/>
        <v>55594002493.942589</v>
      </c>
      <c r="V10" s="80">
        <f t="shared" si="1"/>
        <v>56891186328.379356</v>
      </c>
      <c r="W10" s="80">
        <f t="shared" si="1"/>
        <v>58224794892.336273</v>
      </c>
      <c r="X10" s="80">
        <f t="shared" si="1"/>
        <v>59595875350.926041</v>
      </c>
      <c r="Y10" s="80">
        <f t="shared" si="1"/>
        <v>61005505931.733109</v>
      </c>
      <c r="Z10" s="80">
        <f t="shared" si="1"/>
        <v>62454796866.284981</v>
      </c>
      <c r="AA10" s="80">
        <f t="shared" si="1"/>
        <v>63944891360.492355</v>
      </c>
      <c r="AB10" s="80">
        <f t="shared" si="1"/>
        <v>65476966594.958344</v>
      </c>
      <c r="AC10" s="80">
        <f t="shared" si="1"/>
        <v>67052234756.08551</v>
      </c>
      <c r="AD10" s="80">
        <f t="shared" si="1"/>
        <v>68671944098.938416</v>
      </c>
      <c r="AE10" s="80">
        <f t="shared" si="1"/>
        <v>70337380042.849411</v>
      </c>
      <c r="AF10" s="80">
        <f t="shared" si="1"/>
        <v>72049866300.786072</v>
      </c>
      <c r="AG10" s="80">
        <f t="shared" si="1"/>
        <v>73810766043.531036</v>
      </c>
      <c r="AH10" s="80">
        <f t="shared" si="1"/>
        <v>75621483099.757385</v>
      </c>
      <c r="AI10" s="80">
        <f t="shared" si="1"/>
        <v>77483463193.11705</v>
      </c>
      <c r="AJ10" s="80">
        <f t="shared" si="1"/>
        <v>79398195217.4944</v>
      </c>
      <c r="AK10" s="80">
        <f t="shared" ref="AK10:CV10" si="2">SUM(AK5:AK9)</f>
        <v>81367212551.613586</v>
      </c>
      <c r="AL10" s="80">
        <f t="shared" si="2"/>
        <v>83392094414.225082</v>
      </c>
      <c r="AM10" s="80">
        <f t="shared" si="2"/>
        <v>85474467261.13562</v>
      </c>
      <c r="AN10" s="80">
        <f t="shared" si="2"/>
        <v>87616006225.385101</v>
      </c>
      <c r="AO10" s="80">
        <f t="shared" si="2"/>
        <v>89818436601.914856</v>
      </c>
      <c r="AP10" s="80">
        <f t="shared" si="2"/>
        <v>92083535378.114258</v>
      </c>
      <c r="AQ10" s="80">
        <f t="shared" si="2"/>
        <v>94413132811.675323</v>
      </c>
      <c r="AR10" s="80">
        <f t="shared" si="2"/>
        <v>96809114057.23053</v>
      </c>
      <c r="AS10" s="80">
        <f t="shared" si="2"/>
        <v>99273420843.295242</v>
      </c>
      <c r="AT10" s="80">
        <f t="shared" si="2"/>
        <v>101808053201.0829</v>
      </c>
      <c r="AU10" s="80">
        <f t="shared" si="2"/>
        <v>104415071246.8121</v>
      </c>
      <c r="AV10" s="80">
        <f t="shared" si="2"/>
        <v>107096597019.17351</v>
      </c>
      <c r="AW10" s="80">
        <f t="shared" si="2"/>
        <v>109854816373.6783</v>
      </c>
      <c r="AX10" s="80">
        <f t="shared" si="2"/>
        <v>112691980935.6631</v>
      </c>
      <c r="AY10" s="80">
        <f t="shared" si="2"/>
        <v>115610410113.78258</v>
      </c>
      <c r="AZ10" s="80">
        <f t="shared" si="2"/>
        <v>118612493175.87753</v>
      </c>
      <c r="BA10" s="80">
        <f t="shared" si="2"/>
        <v>121700691389.16679</v>
      </c>
      <c r="BB10" s="80">
        <f t="shared" si="2"/>
        <v>124877540226.77075</v>
      </c>
      <c r="BC10" s="80">
        <f t="shared" si="2"/>
        <v>128145651642.63948</v>
      </c>
      <c r="BD10" s="80">
        <f t="shared" si="2"/>
        <v>131507716417.02063</v>
      </c>
      <c r="BE10" s="80">
        <f t="shared" si="2"/>
        <v>134966506574.67297</v>
      </c>
      <c r="BF10" s="80">
        <f t="shared" si="2"/>
        <v>138524877878.09662</v>
      </c>
      <c r="BG10" s="80">
        <f t="shared" si="2"/>
        <v>142185772398.12613</v>
      </c>
      <c r="BH10" s="80">
        <f t="shared" si="2"/>
        <v>145952221164.30353</v>
      </c>
      <c r="BI10" s="80">
        <f t="shared" si="2"/>
        <v>149827346897.52554</v>
      </c>
      <c r="BJ10" s="80">
        <f t="shared" si="2"/>
        <v>153814366827.5376</v>
      </c>
      <c r="BK10" s="80">
        <f t="shared" si="2"/>
        <v>157916595597.92731</v>
      </c>
      <c r="BL10" s="80">
        <f t="shared" si="2"/>
        <v>162137448261.35489</v>
      </c>
      <c r="BM10" s="80">
        <f t="shared" si="2"/>
        <v>166480443367.84152</v>
      </c>
      <c r="BN10" s="80">
        <f t="shared" si="2"/>
        <v>170949206149.02847</v>
      </c>
      <c r="BO10" s="80">
        <f t="shared" si="2"/>
        <v>175547471801.40811</v>
      </c>
      <c r="BP10" s="80">
        <f t="shared" si="2"/>
        <v>180279088871.62512</v>
      </c>
      <c r="BQ10" s="80">
        <f t="shared" si="2"/>
        <v>185148022747.04156</v>
      </c>
      <c r="BR10" s="80">
        <f t="shared" si="2"/>
        <v>190158359254.86038</v>
      </c>
      <c r="BS10" s="80">
        <f t="shared" si="2"/>
        <v>195314308373.20654</v>
      </c>
      <c r="BT10" s="80">
        <f t="shared" si="2"/>
        <v>200620208057.6698</v>
      </c>
      <c r="BU10" s="80">
        <f t="shared" si="2"/>
        <v>206080528186.92538</v>
      </c>
      <c r="BV10" s="80">
        <f t="shared" si="2"/>
        <v>211699874631.16159</v>
      </c>
      <c r="BW10" s="80">
        <f t="shared" si="2"/>
        <v>217482993447.15967</v>
      </c>
      <c r="BX10" s="80">
        <f t="shared" si="2"/>
        <v>223434775203.99411</v>
      </c>
      <c r="BY10" s="80">
        <f t="shared" si="2"/>
        <v>229560259443.44574</v>
      </c>
      <c r="BZ10" s="80">
        <f t="shared" si="2"/>
        <v>235864639279.34665</v>
      </c>
      <c r="CA10" s="80">
        <f t="shared" si="2"/>
        <v>242353266140.21234</v>
      </c>
      <c r="CB10" s="80">
        <f t="shared" si="2"/>
        <v>249031654659.65063</v>
      </c>
      <c r="CC10" s="80">
        <f t="shared" si="2"/>
        <v>255905487719.17868</v>
      </c>
      <c r="CD10" s="80">
        <f t="shared" si="2"/>
        <v>262980621648.22647</v>
      </c>
      <c r="CE10" s="80">
        <f t="shared" si="2"/>
        <v>270263091586.25381</v>
      </c>
      <c r="CF10" s="80">
        <f t="shared" si="2"/>
        <v>277759117012.06354</v>
      </c>
      <c r="CG10" s="80">
        <f t="shared" si="2"/>
        <v>285475107445.55481</v>
      </c>
      <c r="CH10" s="80">
        <f t="shared" si="2"/>
        <v>293417668327.32233</v>
      </c>
      <c r="CI10" s="80">
        <f t="shared" si="2"/>
        <v>301593607081.68164</v>
      </c>
      <c r="CJ10" s="80">
        <f t="shared" si="2"/>
        <v>310009939368.87219</v>
      </c>
      <c r="CK10" s="80">
        <f t="shared" si="2"/>
        <v>318673895532.37415</v>
      </c>
      <c r="CL10" s="80">
        <f t="shared" si="2"/>
        <v>327592927247.45862</v>
      </c>
      <c r="CM10" s="80">
        <f t="shared" si="2"/>
        <v>336774714377.28851</v>
      </c>
      <c r="CN10" s="80">
        <f t="shared" si="2"/>
        <v>346227172043.0791</v>
      </c>
      <c r="CO10" s="80">
        <f t="shared" si="2"/>
        <v>355958457915.04034</v>
      </c>
      <c r="CP10" s="80">
        <f t="shared" si="2"/>
        <v>365976979731.02673</v>
      </c>
      <c r="CQ10" s="80">
        <f t="shared" si="2"/>
        <v>376291403050.04596</v>
      </c>
      <c r="CR10" s="80">
        <f t="shared" si="2"/>
        <v>386910659247.99628</v>
      </c>
      <c r="CS10" s="80">
        <f t="shared" si="2"/>
        <v>397843953763.24017</v>
      </c>
      <c r="CT10" s="80">
        <f t="shared" si="2"/>
        <v>409100774599.85699</v>
      </c>
      <c r="CU10" s="80">
        <f t="shared" si="2"/>
        <v>420690901096.66821</v>
      </c>
      <c r="CV10" s="80">
        <f t="shared" si="2"/>
        <v>432624412970.37976</v>
      </c>
      <c r="CW10" s="80">
        <f t="shared" ref="CW10:DT10" si="3">SUM(CW5:CW9)</f>
        <v>444911699641.45306</v>
      </c>
      <c r="CX10" s="80">
        <f t="shared" si="3"/>
        <v>457563469851.58459</v>
      </c>
      <c r="CY10" s="80">
        <f t="shared" si="3"/>
        <v>470590761581.95435</v>
      </c>
      <c r="CZ10" s="80">
        <f t="shared" si="3"/>
        <v>484004952281.69354</v>
      </c>
      <c r="DA10" s="80">
        <f t="shared" si="3"/>
        <v>497817769416.31702</v>
      </c>
      <c r="DB10" s="80">
        <f t="shared" si="3"/>
        <v>512041301346.17657</v>
      </c>
      <c r="DC10" s="80">
        <f t="shared" si="3"/>
        <v>526688008545.30402</v>
      </c>
      <c r="DD10" s="80">
        <f t="shared" si="3"/>
        <v>541770735171.3432</v>
      </c>
      <c r="DE10" s="80">
        <f t="shared" si="3"/>
        <v>557302720997.6062</v>
      </c>
      <c r="DF10" s="80">
        <f t="shared" si="3"/>
        <v>573297613718.63525</v>
      </c>
      <c r="DG10" s="80">
        <f t="shared" si="3"/>
        <v>589769481641.01331</v>
      </c>
      <c r="DH10" s="80">
        <f t="shared" si="3"/>
        <v>606732826771.53442</v>
      </c>
      <c r="DI10" s="80">
        <f t="shared" si="3"/>
        <v>624202598315.22681</v>
      </c>
      <c r="DJ10" s="80">
        <f t="shared" si="3"/>
        <v>642194206596.11975</v>
      </c>
      <c r="DK10" s="80">
        <f t="shared" si="3"/>
        <v>660723537414.04077</v>
      </c>
      <c r="DL10" s="80">
        <f t="shared" si="3"/>
        <v>679806966851.16357</v>
      </c>
      <c r="DM10" s="80">
        <f t="shared" si="3"/>
        <v>699461376542.44897</v>
      </c>
      <c r="DN10" s="80">
        <f t="shared" si="3"/>
        <v>719704169424.56836</v>
      </c>
      <c r="DO10" s="80">
        <f t="shared" si="3"/>
        <v>740553285978.36353</v>
      </c>
      <c r="DP10" s="80">
        <f t="shared" si="3"/>
        <v>762027220980.36963</v>
      </c>
      <c r="DQ10" s="80">
        <f t="shared" si="3"/>
        <v>784145040779.41345</v>
      </c>
      <c r="DR10" s="80">
        <f t="shared" si="3"/>
        <v>806926401114.81177</v>
      </c>
      <c r="DS10" s="80">
        <f t="shared" si="3"/>
        <v>830391565493.20984</v>
      </c>
      <c r="DT10" s="80">
        <f t="shared" si="3"/>
        <v>854561424141.63818</v>
      </c>
    </row>
    <row r="11" spans="2:124">
      <c r="B11" s="88" t="s">
        <v>71</v>
      </c>
    </row>
  </sheetData>
  <mergeCells count="14">
    <mergeCell ref="B1:D1"/>
    <mergeCell ref="E2:P2"/>
    <mergeCell ref="Q2:AB2"/>
    <mergeCell ref="AC2:AN2"/>
    <mergeCell ref="AO2:AZ2"/>
    <mergeCell ref="DI2:DT2"/>
    <mergeCell ref="B3:B4"/>
    <mergeCell ref="C3:C4"/>
    <mergeCell ref="D3:D4"/>
    <mergeCell ref="BA2:BL2"/>
    <mergeCell ref="BM2:BX2"/>
    <mergeCell ref="BY2:CJ2"/>
    <mergeCell ref="CK2:CV2"/>
    <mergeCell ref="CW2:DH2"/>
  </mergeCells>
  <hyperlinks>
    <hyperlink ref="B11" location="'Приложение (налоги и взносы)'!A1" display="Приложение (налоги и взносы)'!A1" xr:uid="{225CF899-425A-4D4A-8FDE-FBE6A2FC9204}"/>
  </hyperlinks>
  <pageMargins left="0.7" right="0.7" top="0.75" bottom="0.75" header="0.3" footer="0.3"/>
  <pageSetup paperSize="9" firstPageNumber="4294967295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0AA28-38BA-4EDC-9F20-645269EC1382}">
  <dimension ref="A1:DV49"/>
  <sheetViews>
    <sheetView topLeftCell="A22" workbookViewId="0">
      <selection activeCell="G31" sqref="G31"/>
    </sheetView>
  </sheetViews>
  <sheetFormatPr baseColWidth="10" defaultColWidth="8.83203125" defaultRowHeight="15"/>
  <cols>
    <col min="4" max="6" width="9.6640625" bestFit="1" customWidth="1"/>
    <col min="7" max="7" width="9.6640625" customWidth="1"/>
    <col min="8" max="19" width="8.83203125" bestFit="1" customWidth="1"/>
    <col min="20" max="20" width="9.5" bestFit="1" customWidth="1"/>
    <col min="21" max="126" width="9" bestFit="1" customWidth="1"/>
  </cols>
  <sheetData>
    <row r="1" spans="1:126">
      <c r="A1" s="361" t="s">
        <v>200</v>
      </c>
      <c r="B1" s="361"/>
      <c r="C1" s="361"/>
      <c r="D1" s="361"/>
      <c r="E1" s="361"/>
      <c r="F1" s="361"/>
      <c r="G1" s="317" t="s">
        <v>23</v>
      </c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20"/>
      <c r="S1" s="317" t="s">
        <v>24</v>
      </c>
      <c r="T1" s="318"/>
      <c r="U1" s="318"/>
      <c r="V1" s="318"/>
      <c r="W1" s="318"/>
      <c r="X1" s="318"/>
      <c r="Y1" s="318"/>
      <c r="Z1" s="318"/>
      <c r="AA1" s="318"/>
      <c r="AB1" s="318"/>
      <c r="AC1" s="318"/>
      <c r="AD1" s="320"/>
      <c r="AE1" s="317" t="s">
        <v>25</v>
      </c>
      <c r="AF1" s="318"/>
      <c r="AG1" s="318"/>
      <c r="AH1" s="318"/>
      <c r="AI1" s="318"/>
      <c r="AJ1" s="318"/>
      <c r="AK1" s="318"/>
      <c r="AL1" s="318"/>
      <c r="AM1" s="318"/>
      <c r="AN1" s="318"/>
      <c r="AO1" s="318"/>
      <c r="AP1" s="319"/>
      <c r="AQ1" s="317" t="s">
        <v>346</v>
      </c>
      <c r="AR1" s="318"/>
      <c r="AS1" s="318"/>
      <c r="AT1" s="318"/>
      <c r="AU1" s="318"/>
      <c r="AV1" s="318"/>
      <c r="AW1" s="318"/>
      <c r="AX1" s="318"/>
      <c r="AY1" s="318"/>
      <c r="AZ1" s="318"/>
      <c r="BA1" s="318"/>
      <c r="BB1" s="320"/>
      <c r="BC1" s="317" t="s">
        <v>347</v>
      </c>
      <c r="BD1" s="318"/>
      <c r="BE1" s="318"/>
      <c r="BF1" s="318"/>
      <c r="BG1" s="318"/>
      <c r="BH1" s="318"/>
      <c r="BI1" s="318"/>
      <c r="BJ1" s="318"/>
      <c r="BK1" s="318"/>
      <c r="BL1" s="318"/>
      <c r="BM1" s="318"/>
      <c r="BN1" s="320"/>
      <c r="BO1" s="317" t="s">
        <v>348</v>
      </c>
      <c r="BP1" s="318"/>
      <c r="BQ1" s="318"/>
      <c r="BR1" s="318"/>
      <c r="BS1" s="318"/>
      <c r="BT1" s="318"/>
      <c r="BU1" s="318"/>
      <c r="BV1" s="318"/>
      <c r="BW1" s="318"/>
      <c r="BX1" s="318"/>
      <c r="BY1" s="318"/>
      <c r="BZ1" s="319"/>
      <c r="CA1" s="317" t="s">
        <v>349</v>
      </c>
      <c r="CB1" s="318"/>
      <c r="CC1" s="318"/>
      <c r="CD1" s="318"/>
      <c r="CE1" s="318"/>
      <c r="CF1" s="318"/>
      <c r="CG1" s="318"/>
      <c r="CH1" s="318"/>
      <c r="CI1" s="318"/>
      <c r="CJ1" s="318"/>
      <c r="CK1" s="318"/>
      <c r="CL1" s="320"/>
      <c r="CM1" s="317" t="s">
        <v>350</v>
      </c>
      <c r="CN1" s="318"/>
      <c r="CO1" s="318"/>
      <c r="CP1" s="318"/>
      <c r="CQ1" s="318"/>
      <c r="CR1" s="318"/>
      <c r="CS1" s="318"/>
      <c r="CT1" s="318"/>
      <c r="CU1" s="318"/>
      <c r="CV1" s="318"/>
      <c r="CW1" s="318"/>
      <c r="CX1" s="320"/>
      <c r="CY1" s="317" t="s">
        <v>351</v>
      </c>
      <c r="CZ1" s="318"/>
      <c r="DA1" s="318"/>
      <c r="DB1" s="318"/>
      <c r="DC1" s="318"/>
      <c r="DD1" s="318"/>
      <c r="DE1" s="318"/>
      <c r="DF1" s="318"/>
      <c r="DG1" s="318"/>
      <c r="DH1" s="318"/>
      <c r="DI1" s="318"/>
      <c r="DJ1" s="319"/>
      <c r="DK1" s="317" t="s">
        <v>352</v>
      </c>
      <c r="DL1" s="318"/>
      <c r="DM1" s="318"/>
      <c r="DN1" s="318"/>
      <c r="DO1" s="318"/>
      <c r="DP1" s="318"/>
      <c r="DQ1" s="318"/>
      <c r="DR1" s="318"/>
      <c r="DS1" s="318"/>
      <c r="DT1" s="318"/>
      <c r="DU1" s="318"/>
      <c r="DV1" s="320"/>
    </row>
    <row r="2" spans="1:126">
      <c r="A2" s="230"/>
      <c r="B2" s="230"/>
      <c r="C2" s="230"/>
      <c r="D2" s="230"/>
      <c r="E2" s="230"/>
      <c r="F2" s="230"/>
      <c r="G2" s="231">
        <v>1</v>
      </c>
      <c r="H2" s="231">
        <v>2</v>
      </c>
      <c r="I2" s="231">
        <v>3</v>
      </c>
      <c r="J2" s="231">
        <v>4</v>
      </c>
      <c r="K2" s="231">
        <v>5</v>
      </c>
      <c r="L2" s="231">
        <v>6</v>
      </c>
      <c r="M2" s="231">
        <v>7</v>
      </c>
      <c r="N2" s="231">
        <v>8</v>
      </c>
      <c r="O2" s="231">
        <v>9</v>
      </c>
      <c r="P2" s="231">
        <v>10</v>
      </c>
      <c r="Q2" s="231">
        <v>11</v>
      </c>
      <c r="R2" s="231">
        <v>12</v>
      </c>
      <c r="S2" s="231">
        <v>1</v>
      </c>
      <c r="T2" s="231">
        <v>2</v>
      </c>
      <c r="U2" s="231">
        <v>3</v>
      </c>
      <c r="V2" s="231">
        <v>4</v>
      </c>
      <c r="W2" s="231">
        <v>5</v>
      </c>
      <c r="X2" s="231">
        <v>6</v>
      </c>
      <c r="Y2" s="231">
        <v>7</v>
      </c>
      <c r="Z2" s="231">
        <v>8</v>
      </c>
      <c r="AA2" s="231">
        <v>9</v>
      </c>
      <c r="AB2" s="231">
        <v>10</v>
      </c>
      <c r="AC2" s="231">
        <v>11</v>
      </c>
      <c r="AD2" s="231">
        <v>12</v>
      </c>
      <c r="AE2" s="231">
        <v>1</v>
      </c>
      <c r="AF2" s="231">
        <v>2</v>
      </c>
      <c r="AG2" s="231">
        <v>3</v>
      </c>
      <c r="AH2" s="231">
        <v>4</v>
      </c>
      <c r="AI2" s="231">
        <v>5</v>
      </c>
      <c r="AJ2" s="231">
        <v>6</v>
      </c>
      <c r="AK2" s="231">
        <v>7</v>
      </c>
      <c r="AL2" s="231">
        <v>8</v>
      </c>
      <c r="AM2" s="231">
        <v>9</v>
      </c>
      <c r="AN2" s="231">
        <v>10</v>
      </c>
      <c r="AO2" s="231">
        <v>11</v>
      </c>
      <c r="AP2" s="232">
        <v>12</v>
      </c>
      <c r="AQ2" s="231">
        <v>1</v>
      </c>
      <c r="AR2" s="231">
        <v>2</v>
      </c>
      <c r="AS2" s="231">
        <v>3</v>
      </c>
      <c r="AT2" s="231">
        <v>4</v>
      </c>
      <c r="AU2" s="231">
        <v>5</v>
      </c>
      <c r="AV2" s="231">
        <v>6</v>
      </c>
      <c r="AW2" s="231">
        <v>7</v>
      </c>
      <c r="AX2" s="231">
        <v>8</v>
      </c>
      <c r="AY2" s="231">
        <v>9</v>
      </c>
      <c r="AZ2" s="231">
        <v>10</v>
      </c>
      <c r="BA2" s="231">
        <v>11</v>
      </c>
      <c r="BB2" s="231">
        <v>12</v>
      </c>
      <c r="BC2" s="231">
        <v>1</v>
      </c>
      <c r="BD2" s="231">
        <v>2</v>
      </c>
      <c r="BE2" s="231">
        <v>3</v>
      </c>
      <c r="BF2" s="231">
        <v>4</v>
      </c>
      <c r="BG2" s="231">
        <v>5</v>
      </c>
      <c r="BH2" s="231">
        <v>6</v>
      </c>
      <c r="BI2" s="231">
        <v>7</v>
      </c>
      <c r="BJ2" s="231">
        <v>8</v>
      </c>
      <c r="BK2" s="231">
        <v>9</v>
      </c>
      <c r="BL2" s="231">
        <v>10</v>
      </c>
      <c r="BM2" s="231">
        <v>11</v>
      </c>
      <c r="BN2" s="231">
        <v>12</v>
      </c>
      <c r="BO2" s="231">
        <v>1</v>
      </c>
      <c r="BP2" s="231">
        <v>2</v>
      </c>
      <c r="BQ2" s="231">
        <v>3</v>
      </c>
      <c r="BR2" s="231">
        <v>4</v>
      </c>
      <c r="BS2" s="231">
        <v>5</v>
      </c>
      <c r="BT2" s="231">
        <v>6</v>
      </c>
      <c r="BU2" s="231">
        <v>7</v>
      </c>
      <c r="BV2" s="231">
        <v>8</v>
      </c>
      <c r="BW2" s="231">
        <v>9</v>
      </c>
      <c r="BX2" s="231">
        <v>10</v>
      </c>
      <c r="BY2" s="231">
        <v>11</v>
      </c>
      <c r="BZ2" s="232">
        <v>12</v>
      </c>
      <c r="CA2" s="231">
        <v>1</v>
      </c>
      <c r="CB2" s="231">
        <v>2</v>
      </c>
      <c r="CC2" s="231">
        <v>3</v>
      </c>
      <c r="CD2" s="231">
        <v>4</v>
      </c>
      <c r="CE2" s="231">
        <v>5</v>
      </c>
      <c r="CF2" s="231">
        <v>6</v>
      </c>
      <c r="CG2" s="231">
        <v>7</v>
      </c>
      <c r="CH2" s="231">
        <v>8</v>
      </c>
      <c r="CI2" s="231">
        <v>9</v>
      </c>
      <c r="CJ2" s="231">
        <v>10</v>
      </c>
      <c r="CK2" s="231">
        <v>11</v>
      </c>
      <c r="CL2" s="231">
        <v>12</v>
      </c>
      <c r="CM2" s="231">
        <v>1</v>
      </c>
      <c r="CN2" s="231">
        <v>2</v>
      </c>
      <c r="CO2" s="231">
        <v>3</v>
      </c>
      <c r="CP2" s="231">
        <v>4</v>
      </c>
      <c r="CQ2" s="231">
        <v>5</v>
      </c>
      <c r="CR2" s="231">
        <v>6</v>
      </c>
      <c r="CS2" s="231">
        <v>7</v>
      </c>
      <c r="CT2" s="231">
        <v>8</v>
      </c>
      <c r="CU2" s="231">
        <v>9</v>
      </c>
      <c r="CV2" s="231">
        <v>10</v>
      </c>
      <c r="CW2" s="231">
        <v>11</v>
      </c>
      <c r="CX2" s="231">
        <v>12</v>
      </c>
      <c r="CY2" s="231">
        <v>1</v>
      </c>
      <c r="CZ2" s="231">
        <v>2</v>
      </c>
      <c r="DA2" s="231">
        <v>3</v>
      </c>
      <c r="DB2" s="231">
        <v>4</v>
      </c>
      <c r="DC2" s="231">
        <v>5</v>
      </c>
      <c r="DD2" s="231">
        <v>6</v>
      </c>
      <c r="DE2" s="231">
        <v>7</v>
      </c>
      <c r="DF2" s="231">
        <v>8</v>
      </c>
      <c r="DG2" s="231">
        <v>9</v>
      </c>
      <c r="DH2" s="231">
        <v>10</v>
      </c>
      <c r="DI2" s="231">
        <v>11</v>
      </c>
      <c r="DJ2" s="232">
        <v>12</v>
      </c>
      <c r="DK2" s="231">
        <v>1</v>
      </c>
      <c r="DL2" s="231">
        <v>2</v>
      </c>
      <c r="DM2" s="231">
        <v>3</v>
      </c>
      <c r="DN2" s="231">
        <v>4</v>
      </c>
      <c r="DO2" s="231">
        <v>5</v>
      </c>
      <c r="DP2" s="231">
        <v>6</v>
      </c>
      <c r="DQ2" s="231">
        <v>7</v>
      </c>
      <c r="DR2" s="231">
        <v>8</v>
      </c>
      <c r="DS2" s="231">
        <v>9</v>
      </c>
      <c r="DT2" s="231">
        <v>10</v>
      </c>
      <c r="DU2" s="231">
        <v>11</v>
      </c>
      <c r="DV2" s="231">
        <v>12</v>
      </c>
    </row>
    <row r="3" spans="1:126" ht="22">
      <c r="A3" s="233" t="s">
        <v>73</v>
      </c>
      <c r="B3" s="234" t="s">
        <v>74</v>
      </c>
      <c r="C3" s="234" t="s">
        <v>54</v>
      </c>
      <c r="D3" s="234" t="s">
        <v>23</v>
      </c>
      <c r="E3" s="234" t="s">
        <v>24</v>
      </c>
      <c r="F3" s="234" t="s">
        <v>25</v>
      </c>
      <c r="G3" s="235">
        <v>1</v>
      </c>
      <c r="H3" s="235">
        <v>2</v>
      </c>
      <c r="I3" s="235">
        <v>3</v>
      </c>
      <c r="J3" s="235">
        <v>4</v>
      </c>
      <c r="K3" s="235">
        <v>5</v>
      </c>
      <c r="L3" s="235">
        <v>6</v>
      </c>
      <c r="M3" s="235">
        <v>7</v>
      </c>
      <c r="N3" s="235">
        <v>8</v>
      </c>
      <c r="O3" s="235">
        <v>9</v>
      </c>
      <c r="P3" s="235">
        <v>10</v>
      </c>
      <c r="Q3" s="235">
        <v>11</v>
      </c>
      <c r="R3" s="235">
        <v>12</v>
      </c>
      <c r="S3" s="235">
        <v>13</v>
      </c>
      <c r="T3" s="235">
        <v>14</v>
      </c>
      <c r="U3" s="235">
        <v>15</v>
      </c>
      <c r="V3" s="235">
        <v>16</v>
      </c>
      <c r="W3" s="235">
        <v>17</v>
      </c>
      <c r="X3" s="235">
        <v>18</v>
      </c>
      <c r="Y3" s="235">
        <v>19</v>
      </c>
      <c r="Z3" s="235">
        <v>20</v>
      </c>
      <c r="AA3" s="235">
        <v>21</v>
      </c>
      <c r="AB3" s="235">
        <v>22</v>
      </c>
      <c r="AC3" s="235">
        <v>23</v>
      </c>
      <c r="AD3" s="235">
        <v>24</v>
      </c>
      <c r="AE3" s="235">
        <v>25</v>
      </c>
      <c r="AF3" s="235">
        <v>26</v>
      </c>
      <c r="AG3" s="235">
        <v>27</v>
      </c>
      <c r="AH3" s="235">
        <v>28</v>
      </c>
      <c r="AI3" s="235">
        <v>29</v>
      </c>
      <c r="AJ3" s="235">
        <v>30</v>
      </c>
      <c r="AK3" s="235">
        <v>31</v>
      </c>
      <c r="AL3" s="235">
        <v>32</v>
      </c>
      <c r="AM3" s="235">
        <v>33</v>
      </c>
      <c r="AN3" s="235">
        <v>34</v>
      </c>
      <c r="AO3" s="235">
        <v>35</v>
      </c>
      <c r="AP3" s="235">
        <v>36</v>
      </c>
      <c r="AQ3" s="235">
        <v>1</v>
      </c>
      <c r="AR3" s="235">
        <v>2</v>
      </c>
      <c r="AS3" s="235">
        <v>3</v>
      </c>
      <c r="AT3" s="235">
        <v>4</v>
      </c>
      <c r="AU3" s="235">
        <v>5</v>
      </c>
      <c r="AV3" s="235">
        <v>6</v>
      </c>
      <c r="AW3" s="235">
        <v>7</v>
      </c>
      <c r="AX3" s="235">
        <v>8</v>
      </c>
      <c r="AY3" s="235">
        <v>9</v>
      </c>
      <c r="AZ3" s="235">
        <v>10</v>
      </c>
      <c r="BA3" s="235">
        <v>11</v>
      </c>
      <c r="BB3" s="235">
        <v>12</v>
      </c>
      <c r="BC3" s="235">
        <v>13</v>
      </c>
      <c r="BD3" s="235">
        <v>14</v>
      </c>
      <c r="BE3" s="235">
        <v>15</v>
      </c>
      <c r="BF3" s="235">
        <v>16</v>
      </c>
      <c r="BG3" s="235">
        <v>17</v>
      </c>
      <c r="BH3" s="235">
        <v>18</v>
      </c>
      <c r="BI3" s="235">
        <v>19</v>
      </c>
      <c r="BJ3" s="235">
        <v>20</v>
      </c>
      <c r="BK3" s="235">
        <v>21</v>
      </c>
      <c r="BL3" s="235">
        <v>22</v>
      </c>
      <c r="BM3" s="235">
        <v>23</v>
      </c>
      <c r="BN3" s="235">
        <v>24</v>
      </c>
      <c r="BO3" s="235">
        <v>25</v>
      </c>
      <c r="BP3" s="235">
        <v>26</v>
      </c>
      <c r="BQ3" s="235">
        <v>27</v>
      </c>
      <c r="BR3" s="235">
        <v>28</v>
      </c>
      <c r="BS3" s="235">
        <v>29</v>
      </c>
      <c r="BT3" s="235">
        <v>30</v>
      </c>
      <c r="BU3" s="235">
        <v>31</v>
      </c>
      <c r="BV3" s="235">
        <v>32</v>
      </c>
      <c r="BW3" s="235">
        <v>33</v>
      </c>
      <c r="BX3" s="235">
        <v>34</v>
      </c>
      <c r="BY3" s="235">
        <v>35</v>
      </c>
      <c r="BZ3" s="235">
        <v>36</v>
      </c>
      <c r="CA3" s="235">
        <v>1</v>
      </c>
      <c r="CB3" s="235">
        <v>2</v>
      </c>
      <c r="CC3" s="235">
        <v>3</v>
      </c>
      <c r="CD3" s="235">
        <v>4</v>
      </c>
      <c r="CE3" s="235">
        <v>5</v>
      </c>
      <c r="CF3" s="235">
        <v>6</v>
      </c>
      <c r="CG3" s="235">
        <v>7</v>
      </c>
      <c r="CH3" s="235">
        <v>8</v>
      </c>
      <c r="CI3" s="235">
        <v>9</v>
      </c>
      <c r="CJ3" s="235">
        <v>10</v>
      </c>
      <c r="CK3" s="235">
        <v>11</v>
      </c>
      <c r="CL3" s="235">
        <v>12</v>
      </c>
      <c r="CM3" s="235">
        <v>13</v>
      </c>
      <c r="CN3" s="235">
        <v>14</v>
      </c>
      <c r="CO3" s="235">
        <v>15</v>
      </c>
      <c r="CP3" s="235">
        <v>16</v>
      </c>
      <c r="CQ3" s="235">
        <v>17</v>
      </c>
      <c r="CR3" s="235">
        <v>18</v>
      </c>
      <c r="CS3" s="235">
        <v>19</v>
      </c>
      <c r="CT3" s="235">
        <v>20</v>
      </c>
      <c r="CU3" s="235">
        <v>21</v>
      </c>
      <c r="CV3" s="235">
        <v>22</v>
      </c>
      <c r="CW3" s="235">
        <v>23</v>
      </c>
      <c r="CX3" s="235">
        <v>24</v>
      </c>
      <c r="CY3" s="235">
        <v>25</v>
      </c>
      <c r="CZ3" s="235">
        <v>26</v>
      </c>
      <c r="DA3" s="235">
        <v>27</v>
      </c>
      <c r="DB3" s="235">
        <v>28</v>
      </c>
      <c r="DC3" s="235">
        <v>29</v>
      </c>
      <c r="DD3" s="235">
        <v>30</v>
      </c>
      <c r="DE3" s="235">
        <v>31</v>
      </c>
      <c r="DF3" s="235">
        <v>32</v>
      </c>
      <c r="DG3" s="235">
        <v>33</v>
      </c>
      <c r="DH3" s="235">
        <v>34</v>
      </c>
      <c r="DI3" s="235">
        <v>35</v>
      </c>
      <c r="DJ3" s="235">
        <v>36</v>
      </c>
      <c r="DK3" s="235">
        <v>1</v>
      </c>
      <c r="DL3" s="235">
        <v>2</v>
      </c>
      <c r="DM3" s="235">
        <v>3</v>
      </c>
      <c r="DN3" s="235">
        <v>4</v>
      </c>
      <c r="DO3" s="235">
        <v>5</v>
      </c>
      <c r="DP3" s="235">
        <v>6</v>
      </c>
      <c r="DQ3" s="235">
        <v>7</v>
      </c>
      <c r="DR3" s="235">
        <v>8</v>
      </c>
      <c r="DS3" s="235">
        <v>9</v>
      </c>
      <c r="DT3" s="235">
        <v>10</v>
      </c>
      <c r="DU3" s="235">
        <v>11</v>
      </c>
      <c r="DV3" s="235">
        <v>12</v>
      </c>
    </row>
    <row r="4" spans="1:126">
      <c r="A4" s="381" t="s">
        <v>201</v>
      </c>
      <c r="B4" s="382"/>
      <c r="C4" s="382"/>
      <c r="D4" s="382"/>
      <c r="E4" s="382"/>
      <c r="F4" s="383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0"/>
      <c r="R4" s="230"/>
      <c r="S4" s="230"/>
      <c r="T4" s="230"/>
      <c r="U4" s="230"/>
      <c r="V4" s="230"/>
      <c r="W4" s="230"/>
      <c r="X4" s="230"/>
      <c r="Y4" s="230"/>
      <c r="Z4" s="230"/>
      <c r="AA4" s="230"/>
      <c r="AB4" s="230"/>
      <c r="AC4" s="230"/>
      <c r="AD4" s="230"/>
      <c r="AE4" s="230"/>
      <c r="AF4" s="230"/>
      <c r="AG4" s="230"/>
      <c r="AH4" s="230"/>
      <c r="AI4" s="230"/>
      <c r="AJ4" s="230"/>
      <c r="AK4" s="230"/>
      <c r="AL4" s="230"/>
      <c r="AM4" s="230"/>
      <c r="AN4" s="230"/>
      <c r="AO4" s="230"/>
      <c r="AP4" s="230"/>
      <c r="AQ4" s="230"/>
      <c r="AR4" s="230"/>
      <c r="AS4" s="230"/>
      <c r="AT4" s="230"/>
      <c r="AU4" s="230"/>
      <c r="AV4" s="230"/>
      <c r="AW4" s="230"/>
      <c r="AX4" s="230"/>
      <c r="AY4" s="230"/>
      <c r="AZ4" s="230"/>
      <c r="BA4" s="230"/>
      <c r="BB4" s="230"/>
      <c r="BC4" s="230"/>
      <c r="BD4" s="230"/>
      <c r="BE4" s="230"/>
      <c r="BF4" s="230"/>
      <c r="BG4" s="230"/>
      <c r="BH4" s="230"/>
      <c r="BI4" s="230"/>
      <c r="BJ4" s="230"/>
      <c r="BK4" s="230"/>
      <c r="BL4" s="230"/>
      <c r="BM4" s="230"/>
      <c r="BN4" s="230"/>
      <c r="BO4" s="230"/>
      <c r="BP4" s="230"/>
      <c r="BQ4" s="230"/>
      <c r="BR4" s="230"/>
      <c r="BS4" s="230"/>
      <c r="BT4" s="230"/>
      <c r="BU4" s="230"/>
      <c r="BV4" s="230"/>
      <c r="BW4" s="230"/>
      <c r="BX4" s="230"/>
      <c r="BY4" s="230"/>
      <c r="BZ4" s="230"/>
      <c r="CA4" s="230"/>
      <c r="CB4" s="230"/>
      <c r="CC4" s="230"/>
      <c r="CD4" s="230"/>
      <c r="CE4" s="230"/>
      <c r="CF4" s="230"/>
      <c r="CG4" s="230"/>
      <c r="CH4" s="230"/>
      <c r="CI4" s="230"/>
      <c r="CJ4" s="230"/>
      <c r="CK4" s="230"/>
      <c r="CL4" s="230"/>
      <c r="CM4" s="230"/>
      <c r="CN4" s="230"/>
      <c r="CO4" s="230"/>
      <c r="CP4" s="230"/>
      <c r="CQ4" s="230"/>
      <c r="CR4" s="230"/>
      <c r="CS4" s="230"/>
      <c r="CT4" s="230"/>
      <c r="CU4" s="230"/>
      <c r="CV4" s="230"/>
      <c r="CW4" s="230"/>
      <c r="CX4" s="230"/>
      <c r="CY4" s="230"/>
      <c r="CZ4" s="230"/>
      <c r="DA4" s="230"/>
      <c r="DB4" s="230"/>
      <c r="DC4" s="230"/>
      <c r="DD4" s="230"/>
      <c r="DE4" s="230"/>
      <c r="DF4" s="230"/>
      <c r="DG4" s="230"/>
      <c r="DH4" s="230"/>
      <c r="DI4" s="230"/>
      <c r="DJ4" s="230"/>
      <c r="DK4" s="230"/>
      <c r="DL4" s="230"/>
      <c r="DM4" s="230"/>
      <c r="DN4" s="230"/>
      <c r="DO4" s="230"/>
      <c r="DP4" s="230"/>
      <c r="DQ4" s="230"/>
      <c r="DR4" s="230"/>
      <c r="DS4" s="230"/>
      <c r="DT4" s="230"/>
      <c r="DU4" s="230"/>
      <c r="DV4" s="230"/>
    </row>
    <row r="5" spans="1:126">
      <c r="A5" s="375" t="s">
        <v>202</v>
      </c>
      <c r="B5" s="376"/>
      <c r="C5" s="376"/>
      <c r="D5" s="376"/>
      <c r="E5" s="376"/>
      <c r="F5" s="377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  <c r="AV5" s="230"/>
      <c r="AW5" s="230"/>
      <c r="AX5" s="230"/>
      <c r="AY5" s="230"/>
      <c r="AZ5" s="230"/>
      <c r="BA5" s="230"/>
      <c r="BB5" s="230"/>
      <c r="BC5" s="230"/>
      <c r="BD5" s="230"/>
      <c r="BE5" s="230"/>
      <c r="BF5" s="230"/>
      <c r="BG5" s="230"/>
      <c r="BH5" s="230"/>
      <c r="BI5" s="230"/>
      <c r="BJ5" s="230"/>
      <c r="BK5" s="230"/>
      <c r="BL5" s="230"/>
      <c r="BM5" s="230"/>
      <c r="BN5" s="230"/>
      <c r="BO5" s="230"/>
      <c r="BP5" s="230"/>
      <c r="BQ5" s="230"/>
      <c r="BR5" s="230"/>
      <c r="BS5" s="230"/>
      <c r="BT5" s="230"/>
      <c r="BU5" s="230"/>
      <c r="BV5" s="230"/>
      <c r="BW5" s="230"/>
      <c r="BX5" s="230"/>
      <c r="BY5" s="230"/>
      <c r="BZ5" s="230"/>
      <c r="CA5" s="230"/>
      <c r="CB5" s="230"/>
      <c r="CC5" s="230"/>
      <c r="CD5" s="230"/>
      <c r="CE5" s="230"/>
      <c r="CF5" s="230"/>
      <c r="CG5" s="230"/>
      <c r="CH5" s="230"/>
      <c r="CI5" s="230"/>
      <c r="CJ5" s="230"/>
      <c r="CK5" s="230"/>
      <c r="CL5" s="230"/>
      <c r="CM5" s="230"/>
      <c r="CN5" s="230"/>
      <c r="CO5" s="230"/>
      <c r="CP5" s="230"/>
      <c r="CQ5" s="230"/>
      <c r="CR5" s="230"/>
      <c r="CS5" s="230"/>
      <c r="CT5" s="230"/>
      <c r="CU5" s="230"/>
      <c r="CV5" s="230"/>
      <c r="CW5" s="230"/>
      <c r="CX5" s="230"/>
      <c r="CY5" s="230"/>
      <c r="CZ5" s="230"/>
      <c r="DA5" s="230"/>
      <c r="DB5" s="230"/>
      <c r="DC5" s="230"/>
      <c r="DD5" s="230"/>
      <c r="DE5" s="230"/>
      <c r="DF5" s="230"/>
      <c r="DG5" s="230"/>
      <c r="DH5" s="230"/>
      <c r="DI5" s="230"/>
      <c r="DJ5" s="230"/>
      <c r="DK5" s="230"/>
      <c r="DL5" s="230"/>
      <c r="DM5" s="230"/>
      <c r="DN5" s="230"/>
      <c r="DO5" s="230"/>
      <c r="DP5" s="230"/>
      <c r="DQ5" s="230"/>
      <c r="DR5" s="230"/>
      <c r="DS5" s="230"/>
      <c r="DT5" s="230"/>
      <c r="DU5" s="230"/>
      <c r="DV5" s="230"/>
    </row>
    <row r="6" spans="1:126" ht="23">
      <c r="A6" s="236" t="s">
        <v>203</v>
      </c>
      <c r="B6" s="237" t="s">
        <v>204</v>
      </c>
      <c r="C6" s="237" t="s">
        <v>35</v>
      </c>
      <c r="D6" s="237">
        <f t="shared" ref="D6:D14" si="0">SUM(G6:R6)</f>
        <v>0</v>
      </c>
      <c r="E6" s="237">
        <f t="shared" ref="E6:E14" si="1">SUM(S6:AD6)</f>
        <v>0</v>
      </c>
      <c r="F6" s="237">
        <f t="shared" ref="F6:F14" si="2">SUM(AE6:AP6)</f>
        <v>0</v>
      </c>
      <c r="G6" s="238">
        <v>0</v>
      </c>
      <c r="H6" s="238">
        <v>0</v>
      </c>
      <c r="I6" s="238">
        <v>0</v>
      </c>
      <c r="J6" s="238">
        <v>0</v>
      </c>
      <c r="K6" s="238">
        <v>0</v>
      </c>
      <c r="L6" s="238">
        <v>0</v>
      </c>
      <c r="M6" s="238">
        <v>0</v>
      </c>
      <c r="N6" s="238">
        <v>0</v>
      </c>
      <c r="O6" s="238">
        <v>0</v>
      </c>
      <c r="P6" s="238">
        <v>0</v>
      </c>
      <c r="Q6" s="238">
        <v>0</v>
      </c>
      <c r="R6" s="238">
        <v>0</v>
      </c>
      <c r="S6" s="238">
        <v>0</v>
      </c>
      <c r="T6" s="238">
        <v>0</v>
      </c>
      <c r="U6" s="238">
        <v>0</v>
      </c>
      <c r="V6" s="238">
        <v>0</v>
      </c>
      <c r="W6" s="238">
        <v>0</v>
      </c>
      <c r="X6" s="238">
        <v>0</v>
      </c>
      <c r="Y6" s="238">
        <v>0</v>
      </c>
      <c r="Z6" s="238">
        <v>0</v>
      </c>
      <c r="AA6" s="238">
        <v>0</v>
      </c>
      <c r="AB6" s="238">
        <v>0</v>
      </c>
      <c r="AC6" s="238">
        <v>0</v>
      </c>
      <c r="AD6" s="238">
        <v>0</v>
      </c>
      <c r="AE6" s="238">
        <v>0</v>
      </c>
      <c r="AF6" s="238">
        <v>0</v>
      </c>
      <c r="AG6" s="238">
        <v>0</v>
      </c>
      <c r="AH6" s="238">
        <v>0</v>
      </c>
      <c r="AI6" s="238">
        <v>0</v>
      </c>
      <c r="AJ6" s="238">
        <v>0</v>
      </c>
      <c r="AK6" s="238">
        <v>0</v>
      </c>
      <c r="AL6" s="238">
        <v>0</v>
      </c>
      <c r="AM6" s="238">
        <v>0</v>
      </c>
      <c r="AN6" s="238">
        <v>0</v>
      </c>
      <c r="AO6" s="238">
        <v>0</v>
      </c>
      <c r="AP6" s="238">
        <v>0</v>
      </c>
      <c r="AQ6" s="238">
        <v>0</v>
      </c>
      <c r="AR6" s="238">
        <v>0</v>
      </c>
      <c r="AS6" s="238">
        <v>0</v>
      </c>
      <c r="AT6" s="238">
        <v>0</v>
      </c>
      <c r="AU6" s="238">
        <v>0</v>
      </c>
      <c r="AV6" s="238">
        <v>0</v>
      </c>
      <c r="AW6" s="238">
        <v>0</v>
      </c>
      <c r="AX6" s="238">
        <v>0</v>
      </c>
      <c r="AY6" s="238">
        <v>0</v>
      </c>
      <c r="AZ6" s="238">
        <v>0</v>
      </c>
      <c r="BA6" s="238">
        <v>0</v>
      </c>
      <c r="BB6" s="238">
        <v>0</v>
      </c>
      <c r="BC6" s="238">
        <v>0</v>
      </c>
      <c r="BD6" s="238">
        <v>0</v>
      </c>
      <c r="BE6" s="238">
        <v>0</v>
      </c>
      <c r="BF6" s="238">
        <v>0</v>
      </c>
      <c r="BG6" s="238">
        <v>0</v>
      </c>
      <c r="BH6" s="238">
        <v>0</v>
      </c>
      <c r="BI6" s="238">
        <v>0</v>
      </c>
      <c r="BJ6" s="238">
        <v>0</v>
      </c>
      <c r="BK6" s="238">
        <v>0</v>
      </c>
      <c r="BL6" s="238">
        <v>0</v>
      </c>
      <c r="BM6" s="238">
        <v>0</v>
      </c>
      <c r="BN6" s="238">
        <v>0</v>
      </c>
      <c r="BO6" s="238">
        <v>0</v>
      </c>
      <c r="BP6" s="238">
        <v>0</v>
      </c>
      <c r="BQ6" s="238">
        <v>0</v>
      </c>
      <c r="BR6" s="238">
        <v>0</v>
      </c>
      <c r="BS6" s="238">
        <v>0</v>
      </c>
      <c r="BT6" s="238">
        <v>0</v>
      </c>
      <c r="BU6" s="238">
        <v>0</v>
      </c>
      <c r="BV6" s="238">
        <v>0</v>
      </c>
      <c r="BW6" s="238">
        <v>0</v>
      </c>
      <c r="BX6" s="238">
        <v>0</v>
      </c>
      <c r="BY6" s="238">
        <v>0</v>
      </c>
      <c r="BZ6" s="238">
        <v>0</v>
      </c>
      <c r="CA6" s="238">
        <v>0</v>
      </c>
      <c r="CB6" s="238">
        <v>0</v>
      </c>
      <c r="CC6" s="238">
        <v>0</v>
      </c>
      <c r="CD6" s="238">
        <v>0</v>
      </c>
      <c r="CE6" s="238">
        <v>0</v>
      </c>
      <c r="CF6" s="238">
        <v>0</v>
      </c>
      <c r="CG6" s="238">
        <v>0</v>
      </c>
      <c r="CH6" s="238">
        <v>0</v>
      </c>
      <c r="CI6" s="238">
        <v>0</v>
      </c>
      <c r="CJ6" s="238">
        <v>0</v>
      </c>
      <c r="CK6" s="238">
        <v>0</v>
      </c>
      <c r="CL6" s="238">
        <v>0</v>
      </c>
      <c r="CM6" s="238">
        <v>0</v>
      </c>
      <c r="CN6" s="238">
        <v>0</v>
      </c>
      <c r="CO6" s="238">
        <v>0</v>
      </c>
      <c r="CP6" s="238">
        <v>0</v>
      </c>
      <c r="CQ6" s="238">
        <v>0</v>
      </c>
      <c r="CR6" s="238">
        <v>0</v>
      </c>
      <c r="CS6" s="238">
        <v>0</v>
      </c>
      <c r="CT6" s="238">
        <v>0</v>
      </c>
      <c r="CU6" s="238">
        <v>0</v>
      </c>
      <c r="CV6" s="238">
        <v>0</v>
      </c>
      <c r="CW6" s="238">
        <v>0</v>
      </c>
      <c r="CX6" s="238">
        <v>0</v>
      </c>
      <c r="CY6" s="238">
        <v>0</v>
      </c>
      <c r="CZ6" s="238">
        <v>0</v>
      </c>
      <c r="DA6" s="238">
        <v>0</v>
      </c>
      <c r="DB6" s="238">
        <v>0</v>
      </c>
      <c r="DC6" s="238">
        <v>0</v>
      </c>
      <c r="DD6" s="238">
        <v>0</v>
      </c>
      <c r="DE6" s="238">
        <v>0</v>
      </c>
      <c r="DF6" s="238">
        <v>0</v>
      </c>
      <c r="DG6" s="238">
        <v>0</v>
      </c>
      <c r="DH6" s="238">
        <v>0</v>
      </c>
      <c r="DI6" s="238">
        <v>0</v>
      </c>
      <c r="DJ6" s="238">
        <v>0</v>
      </c>
      <c r="DK6" s="238">
        <v>0</v>
      </c>
      <c r="DL6" s="238">
        <v>0</v>
      </c>
      <c r="DM6" s="238">
        <v>0</v>
      </c>
      <c r="DN6" s="238">
        <v>0</v>
      </c>
      <c r="DO6" s="238">
        <v>0</v>
      </c>
      <c r="DP6" s="238">
        <v>0</v>
      </c>
      <c r="DQ6" s="238">
        <v>0</v>
      </c>
      <c r="DR6" s="238">
        <v>0</v>
      </c>
      <c r="DS6" s="238">
        <v>0</v>
      </c>
      <c r="DT6" s="238">
        <v>0</v>
      </c>
      <c r="DU6" s="238">
        <v>0</v>
      </c>
      <c r="DV6" s="238">
        <v>0</v>
      </c>
    </row>
    <row r="7" spans="1:126" ht="33">
      <c r="A7" s="239" t="s">
        <v>205</v>
      </c>
      <c r="B7" s="237" t="s">
        <v>206</v>
      </c>
      <c r="C7" s="237" t="s">
        <v>35</v>
      </c>
      <c r="D7" s="237">
        <f t="shared" si="0"/>
        <v>0</v>
      </c>
      <c r="E7" s="237">
        <f t="shared" si="1"/>
        <v>0</v>
      </c>
      <c r="F7" s="237">
        <f t="shared" si="2"/>
        <v>0</v>
      </c>
      <c r="G7" s="238">
        <v>0</v>
      </c>
      <c r="H7" s="238">
        <v>0</v>
      </c>
      <c r="I7" s="238">
        <v>0</v>
      </c>
      <c r="J7" s="238">
        <v>0</v>
      </c>
      <c r="K7" s="238">
        <v>0</v>
      </c>
      <c r="L7" s="238">
        <v>0</v>
      </c>
      <c r="M7" s="238">
        <v>0</v>
      </c>
      <c r="N7" s="238">
        <v>0</v>
      </c>
      <c r="O7" s="238">
        <v>0</v>
      </c>
      <c r="P7" s="238">
        <v>0</v>
      </c>
      <c r="Q7" s="238">
        <v>0</v>
      </c>
      <c r="R7" s="238">
        <v>0</v>
      </c>
      <c r="S7" s="238">
        <v>0</v>
      </c>
      <c r="T7" s="238">
        <v>0</v>
      </c>
      <c r="U7" s="238">
        <v>0</v>
      </c>
      <c r="V7" s="238">
        <v>0</v>
      </c>
      <c r="W7" s="238">
        <v>0</v>
      </c>
      <c r="X7" s="238">
        <v>0</v>
      </c>
      <c r="Y7" s="238">
        <v>0</v>
      </c>
      <c r="Z7" s="238">
        <v>0</v>
      </c>
      <c r="AA7" s="238">
        <v>0</v>
      </c>
      <c r="AB7" s="238">
        <v>0</v>
      </c>
      <c r="AC7" s="238">
        <v>0</v>
      </c>
      <c r="AD7" s="238">
        <v>0</v>
      </c>
      <c r="AE7" s="238">
        <v>0</v>
      </c>
      <c r="AF7" s="238">
        <v>0</v>
      </c>
      <c r="AG7" s="238">
        <v>0</v>
      </c>
      <c r="AH7" s="238">
        <v>0</v>
      </c>
      <c r="AI7" s="238">
        <v>0</v>
      </c>
      <c r="AJ7" s="238">
        <v>0</v>
      </c>
      <c r="AK7" s="238">
        <v>0</v>
      </c>
      <c r="AL7" s="238">
        <v>0</v>
      </c>
      <c r="AM7" s="238">
        <v>0</v>
      </c>
      <c r="AN7" s="238">
        <v>0</v>
      </c>
      <c r="AO7" s="238">
        <v>0</v>
      </c>
      <c r="AP7" s="238">
        <v>0</v>
      </c>
      <c r="AQ7" s="238">
        <v>0</v>
      </c>
      <c r="AR7" s="238">
        <v>0</v>
      </c>
      <c r="AS7" s="238">
        <v>0</v>
      </c>
      <c r="AT7" s="238">
        <v>0</v>
      </c>
      <c r="AU7" s="238">
        <v>0</v>
      </c>
      <c r="AV7" s="238">
        <v>0</v>
      </c>
      <c r="AW7" s="238">
        <v>0</v>
      </c>
      <c r="AX7" s="238">
        <v>0</v>
      </c>
      <c r="AY7" s="238">
        <v>0</v>
      </c>
      <c r="AZ7" s="238">
        <v>0</v>
      </c>
      <c r="BA7" s="238">
        <v>0</v>
      </c>
      <c r="BB7" s="238">
        <v>0</v>
      </c>
      <c r="BC7" s="238">
        <v>0</v>
      </c>
      <c r="BD7" s="238">
        <v>0</v>
      </c>
      <c r="BE7" s="238">
        <v>0</v>
      </c>
      <c r="BF7" s="238">
        <v>0</v>
      </c>
      <c r="BG7" s="238">
        <v>0</v>
      </c>
      <c r="BH7" s="238">
        <v>0</v>
      </c>
      <c r="BI7" s="238">
        <v>0</v>
      </c>
      <c r="BJ7" s="238">
        <v>0</v>
      </c>
      <c r="BK7" s="238">
        <v>0</v>
      </c>
      <c r="BL7" s="238">
        <v>0</v>
      </c>
      <c r="BM7" s="238">
        <v>0</v>
      </c>
      <c r="BN7" s="238">
        <v>0</v>
      </c>
      <c r="BO7" s="238">
        <v>0</v>
      </c>
      <c r="BP7" s="238">
        <v>0</v>
      </c>
      <c r="BQ7" s="238">
        <v>0</v>
      </c>
      <c r="BR7" s="238">
        <v>0</v>
      </c>
      <c r="BS7" s="238">
        <v>0</v>
      </c>
      <c r="BT7" s="238">
        <v>0</v>
      </c>
      <c r="BU7" s="238">
        <v>0</v>
      </c>
      <c r="BV7" s="238">
        <v>0</v>
      </c>
      <c r="BW7" s="238">
        <v>0</v>
      </c>
      <c r="BX7" s="238">
        <v>0</v>
      </c>
      <c r="BY7" s="238">
        <v>0</v>
      </c>
      <c r="BZ7" s="238">
        <v>0</v>
      </c>
      <c r="CA7" s="238">
        <v>0</v>
      </c>
      <c r="CB7" s="238">
        <v>0</v>
      </c>
      <c r="CC7" s="238">
        <v>0</v>
      </c>
      <c r="CD7" s="238">
        <v>0</v>
      </c>
      <c r="CE7" s="238">
        <v>0</v>
      </c>
      <c r="CF7" s="238">
        <v>0</v>
      </c>
      <c r="CG7" s="238">
        <v>0</v>
      </c>
      <c r="CH7" s="238">
        <v>0</v>
      </c>
      <c r="CI7" s="238">
        <v>0</v>
      </c>
      <c r="CJ7" s="238">
        <v>0</v>
      </c>
      <c r="CK7" s="238">
        <v>0</v>
      </c>
      <c r="CL7" s="238">
        <v>0</v>
      </c>
      <c r="CM7" s="238">
        <v>0</v>
      </c>
      <c r="CN7" s="238">
        <v>0</v>
      </c>
      <c r="CO7" s="238">
        <v>0</v>
      </c>
      <c r="CP7" s="238">
        <v>0</v>
      </c>
      <c r="CQ7" s="238">
        <v>0</v>
      </c>
      <c r="CR7" s="238">
        <v>0</v>
      </c>
      <c r="CS7" s="238">
        <v>0</v>
      </c>
      <c r="CT7" s="238">
        <v>0</v>
      </c>
      <c r="CU7" s="238">
        <v>0</v>
      </c>
      <c r="CV7" s="238">
        <v>0</v>
      </c>
      <c r="CW7" s="238">
        <v>0</v>
      </c>
      <c r="CX7" s="238">
        <v>0</v>
      </c>
      <c r="CY7" s="238">
        <v>0</v>
      </c>
      <c r="CZ7" s="238">
        <v>0</v>
      </c>
      <c r="DA7" s="238">
        <v>0</v>
      </c>
      <c r="DB7" s="238">
        <v>0</v>
      </c>
      <c r="DC7" s="238">
        <v>0</v>
      </c>
      <c r="DD7" s="238">
        <v>0</v>
      </c>
      <c r="DE7" s="238">
        <v>0</v>
      </c>
      <c r="DF7" s="238">
        <v>0</v>
      </c>
      <c r="DG7" s="238">
        <v>0</v>
      </c>
      <c r="DH7" s="238">
        <v>0</v>
      </c>
      <c r="DI7" s="238">
        <v>0</v>
      </c>
      <c r="DJ7" s="238">
        <v>0</v>
      </c>
      <c r="DK7" s="238">
        <v>0</v>
      </c>
      <c r="DL7" s="238">
        <v>0</v>
      </c>
      <c r="DM7" s="238">
        <v>0</v>
      </c>
      <c r="DN7" s="238">
        <v>0</v>
      </c>
      <c r="DO7" s="238">
        <v>0</v>
      </c>
      <c r="DP7" s="238">
        <v>0</v>
      </c>
      <c r="DQ7" s="238">
        <v>0</v>
      </c>
      <c r="DR7" s="238">
        <v>0</v>
      </c>
      <c r="DS7" s="238">
        <v>0</v>
      </c>
      <c r="DT7" s="238">
        <v>0</v>
      </c>
      <c r="DU7" s="238">
        <v>0</v>
      </c>
      <c r="DV7" s="238">
        <v>0</v>
      </c>
    </row>
    <row r="8" spans="1:126" ht="34">
      <c r="A8" s="236" t="s">
        <v>207</v>
      </c>
      <c r="B8" s="237" t="s">
        <v>208</v>
      </c>
      <c r="C8" s="237" t="s">
        <v>35</v>
      </c>
      <c r="D8" s="237">
        <f t="shared" si="0"/>
        <v>0</v>
      </c>
      <c r="E8" s="237">
        <f t="shared" si="1"/>
        <v>0</v>
      </c>
      <c r="F8" s="237">
        <f t="shared" si="2"/>
        <v>0</v>
      </c>
      <c r="G8" s="238">
        <v>0</v>
      </c>
      <c r="H8" s="238">
        <v>0</v>
      </c>
      <c r="I8" s="238">
        <v>0</v>
      </c>
      <c r="J8" s="238">
        <v>0</v>
      </c>
      <c r="K8" s="238">
        <v>0</v>
      </c>
      <c r="L8" s="238">
        <v>0</v>
      </c>
      <c r="M8" s="238">
        <v>0</v>
      </c>
      <c r="N8" s="238">
        <v>0</v>
      </c>
      <c r="O8" s="238">
        <v>0</v>
      </c>
      <c r="P8" s="238">
        <v>0</v>
      </c>
      <c r="Q8" s="238">
        <v>0</v>
      </c>
      <c r="R8" s="238">
        <v>0</v>
      </c>
      <c r="S8" s="238">
        <v>0</v>
      </c>
      <c r="T8" s="238">
        <v>0</v>
      </c>
      <c r="U8" s="238">
        <v>0</v>
      </c>
      <c r="V8" s="238">
        <v>0</v>
      </c>
      <c r="W8" s="238">
        <v>0</v>
      </c>
      <c r="X8" s="238">
        <v>0</v>
      </c>
      <c r="Y8" s="238">
        <v>0</v>
      </c>
      <c r="Z8" s="238">
        <v>0</v>
      </c>
      <c r="AA8" s="238">
        <v>0</v>
      </c>
      <c r="AB8" s="238">
        <v>0</v>
      </c>
      <c r="AC8" s="238">
        <v>0</v>
      </c>
      <c r="AD8" s="238">
        <v>0</v>
      </c>
      <c r="AE8" s="238">
        <v>0</v>
      </c>
      <c r="AF8" s="238">
        <v>0</v>
      </c>
      <c r="AG8" s="238">
        <v>0</v>
      </c>
      <c r="AH8" s="238">
        <v>0</v>
      </c>
      <c r="AI8" s="238">
        <v>0</v>
      </c>
      <c r="AJ8" s="238">
        <v>0</v>
      </c>
      <c r="AK8" s="238">
        <v>0</v>
      </c>
      <c r="AL8" s="238">
        <v>0</v>
      </c>
      <c r="AM8" s="238">
        <v>0</v>
      </c>
      <c r="AN8" s="238">
        <v>0</v>
      </c>
      <c r="AO8" s="238">
        <v>0</v>
      </c>
      <c r="AP8" s="238">
        <v>0</v>
      </c>
      <c r="AQ8" s="238">
        <v>0</v>
      </c>
      <c r="AR8" s="238">
        <v>0</v>
      </c>
      <c r="AS8" s="238">
        <v>0</v>
      </c>
      <c r="AT8" s="238">
        <v>0</v>
      </c>
      <c r="AU8" s="238">
        <v>0</v>
      </c>
      <c r="AV8" s="238">
        <v>0</v>
      </c>
      <c r="AW8" s="238">
        <v>0</v>
      </c>
      <c r="AX8" s="238">
        <v>0</v>
      </c>
      <c r="AY8" s="238">
        <v>0</v>
      </c>
      <c r="AZ8" s="238">
        <v>0</v>
      </c>
      <c r="BA8" s="238">
        <v>0</v>
      </c>
      <c r="BB8" s="238">
        <v>0</v>
      </c>
      <c r="BC8" s="238">
        <v>0</v>
      </c>
      <c r="BD8" s="238">
        <v>0</v>
      </c>
      <c r="BE8" s="238">
        <v>0</v>
      </c>
      <c r="BF8" s="238">
        <v>0</v>
      </c>
      <c r="BG8" s="238">
        <v>0</v>
      </c>
      <c r="BH8" s="238">
        <v>0</v>
      </c>
      <c r="BI8" s="238">
        <v>0</v>
      </c>
      <c r="BJ8" s="238">
        <v>0</v>
      </c>
      <c r="BK8" s="238">
        <v>0</v>
      </c>
      <c r="BL8" s="238">
        <v>0</v>
      </c>
      <c r="BM8" s="238">
        <v>0</v>
      </c>
      <c r="BN8" s="238">
        <v>0</v>
      </c>
      <c r="BO8" s="238">
        <v>0</v>
      </c>
      <c r="BP8" s="238">
        <v>0</v>
      </c>
      <c r="BQ8" s="238">
        <v>0</v>
      </c>
      <c r="BR8" s="238">
        <v>0</v>
      </c>
      <c r="BS8" s="238">
        <v>0</v>
      </c>
      <c r="BT8" s="238">
        <v>0</v>
      </c>
      <c r="BU8" s="238">
        <v>0</v>
      </c>
      <c r="BV8" s="238">
        <v>0</v>
      </c>
      <c r="BW8" s="238">
        <v>0</v>
      </c>
      <c r="BX8" s="238">
        <v>0</v>
      </c>
      <c r="BY8" s="238">
        <v>0</v>
      </c>
      <c r="BZ8" s="238">
        <v>0</v>
      </c>
      <c r="CA8" s="238">
        <v>0</v>
      </c>
      <c r="CB8" s="238">
        <v>0</v>
      </c>
      <c r="CC8" s="238">
        <v>0</v>
      </c>
      <c r="CD8" s="238">
        <v>0</v>
      </c>
      <c r="CE8" s="238">
        <v>0</v>
      </c>
      <c r="CF8" s="238">
        <v>0</v>
      </c>
      <c r="CG8" s="238">
        <v>0</v>
      </c>
      <c r="CH8" s="238">
        <v>0</v>
      </c>
      <c r="CI8" s="238">
        <v>0</v>
      </c>
      <c r="CJ8" s="238">
        <v>0</v>
      </c>
      <c r="CK8" s="238">
        <v>0</v>
      </c>
      <c r="CL8" s="238">
        <v>0</v>
      </c>
      <c r="CM8" s="238">
        <v>0</v>
      </c>
      <c r="CN8" s="238">
        <v>0</v>
      </c>
      <c r="CO8" s="238">
        <v>0</v>
      </c>
      <c r="CP8" s="238">
        <v>0</v>
      </c>
      <c r="CQ8" s="238">
        <v>0</v>
      </c>
      <c r="CR8" s="238">
        <v>0</v>
      </c>
      <c r="CS8" s="238">
        <v>0</v>
      </c>
      <c r="CT8" s="238">
        <v>0</v>
      </c>
      <c r="CU8" s="238">
        <v>0</v>
      </c>
      <c r="CV8" s="238">
        <v>0</v>
      </c>
      <c r="CW8" s="238">
        <v>0</v>
      </c>
      <c r="CX8" s="238">
        <v>0</v>
      </c>
      <c r="CY8" s="238">
        <v>0</v>
      </c>
      <c r="CZ8" s="238">
        <v>0</v>
      </c>
      <c r="DA8" s="238">
        <v>0</v>
      </c>
      <c r="DB8" s="238">
        <v>0</v>
      </c>
      <c r="DC8" s="238">
        <v>0</v>
      </c>
      <c r="DD8" s="238">
        <v>0</v>
      </c>
      <c r="DE8" s="238">
        <v>0</v>
      </c>
      <c r="DF8" s="238">
        <v>0</v>
      </c>
      <c r="DG8" s="238">
        <v>0</v>
      </c>
      <c r="DH8" s="238">
        <v>0</v>
      </c>
      <c r="DI8" s="238">
        <v>0</v>
      </c>
      <c r="DJ8" s="238">
        <v>0</v>
      </c>
      <c r="DK8" s="238">
        <v>0</v>
      </c>
      <c r="DL8" s="238">
        <v>0</v>
      </c>
      <c r="DM8" s="238">
        <v>0</v>
      </c>
      <c r="DN8" s="238">
        <v>0</v>
      </c>
      <c r="DO8" s="238">
        <v>0</v>
      </c>
      <c r="DP8" s="238">
        <v>0</v>
      </c>
      <c r="DQ8" s="238">
        <v>0</v>
      </c>
      <c r="DR8" s="238">
        <v>0</v>
      </c>
      <c r="DS8" s="238">
        <v>0</v>
      </c>
      <c r="DT8" s="238">
        <v>0</v>
      </c>
      <c r="DU8" s="238">
        <v>0</v>
      </c>
      <c r="DV8" s="238">
        <v>0</v>
      </c>
    </row>
    <row r="9" spans="1:126" ht="34">
      <c r="A9" s="236" t="s">
        <v>209</v>
      </c>
      <c r="B9" s="237" t="s">
        <v>210</v>
      </c>
      <c r="C9" s="237" t="s">
        <v>35</v>
      </c>
      <c r="D9" s="237">
        <f t="shared" si="0"/>
        <v>0</v>
      </c>
      <c r="E9" s="237">
        <f t="shared" si="1"/>
        <v>0</v>
      </c>
      <c r="F9" s="237">
        <f t="shared" si="2"/>
        <v>0</v>
      </c>
      <c r="G9" s="238">
        <v>0</v>
      </c>
      <c r="H9" s="238">
        <v>0</v>
      </c>
      <c r="I9" s="238">
        <v>0</v>
      </c>
      <c r="J9" s="238">
        <v>0</v>
      </c>
      <c r="K9" s="238">
        <v>0</v>
      </c>
      <c r="L9" s="238">
        <v>0</v>
      </c>
      <c r="M9" s="238">
        <v>0</v>
      </c>
      <c r="N9" s="238">
        <v>0</v>
      </c>
      <c r="O9" s="238">
        <v>0</v>
      </c>
      <c r="P9" s="238">
        <v>0</v>
      </c>
      <c r="Q9" s="238">
        <v>0</v>
      </c>
      <c r="R9" s="238">
        <v>0</v>
      </c>
      <c r="S9" s="238">
        <v>0</v>
      </c>
      <c r="T9" s="238">
        <v>0</v>
      </c>
      <c r="U9" s="238">
        <v>0</v>
      </c>
      <c r="V9" s="238">
        <v>0</v>
      </c>
      <c r="W9" s="238">
        <v>0</v>
      </c>
      <c r="X9" s="238">
        <v>0</v>
      </c>
      <c r="Y9" s="238">
        <v>0</v>
      </c>
      <c r="Z9" s="238">
        <v>0</v>
      </c>
      <c r="AA9" s="238">
        <v>0</v>
      </c>
      <c r="AB9" s="238">
        <v>0</v>
      </c>
      <c r="AC9" s="238">
        <v>0</v>
      </c>
      <c r="AD9" s="238">
        <v>0</v>
      </c>
      <c r="AE9" s="238">
        <v>0</v>
      </c>
      <c r="AF9" s="238">
        <v>0</v>
      </c>
      <c r="AG9" s="238">
        <v>0</v>
      </c>
      <c r="AH9" s="238">
        <v>0</v>
      </c>
      <c r="AI9" s="238">
        <v>0</v>
      </c>
      <c r="AJ9" s="238">
        <v>0</v>
      </c>
      <c r="AK9" s="238">
        <v>0</v>
      </c>
      <c r="AL9" s="238">
        <v>0</v>
      </c>
      <c r="AM9" s="238">
        <v>0</v>
      </c>
      <c r="AN9" s="238">
        <v>0</v>
      </c>
      <c r="AO9" s="238">
        <v>0</v>
      </c>
      <c r="AP9" s="238">
        <v>0</v>
      </c>
      <c r="AQ9" s="238">
        <v>0</v>
      </c>
      <c r="AR9" s="238">
        <v>0</v>
      </c>
      <c r="AS9" s="238">
        <v>0</v>
      </c>
      <c r="AT9" s="238">
        <v>0</v>
      </c>
      <c r="AU9" s="238">
        <v>0</v>
      </c>
      <c r="AV9" s="238">
        <v>0</v>
      </c>
      <c r="AW9" s="238">
        <v>0</v>
      </c>
      <c r="AX9" s="238">
        <v>0</v>
      </c>
      <c r="AY9" s="238">
        <v>0</v>
      </c>
      <c r="AZ9" s="238">
        <v>0</v>
      </c>
      <c r="BA9" s="238">
        <v>0</v>
      </c>
      <c r="BB9" s="238">
        <v>0</v>
      </c>
      <c r="BC9" s="238">
        <v>0</v>
      </c>
      <c r="BD9" s="238">
        <v>0</v>
      </c>
      <c r="BE9" s="238">
        <v>0</v>
      </c>
      <c r="BF9" s="238">
        <v>0</v>
      </c>
      <c r="BG9" s="238">
        <v>0</v>
      </c>
      <c r="BH9" s="238">
        <v>0</v>
      </c>
      <c r="BI9" s="238">
        <v>0</v>
      </c>
      <c r="BJ9" s="238">
        <v>0</v>
      </c>
      <c r="BK9" s="238">
        <v>0</v>
      </c>
      <c r="BL9" s="238">
        <v>0</v>
      </c>
      <c r="BM9" s="238">
        <v>0</v>
      </c>
      <c r="BN9" s="238">
        <v>0</v>
      </c>
      <c r="BO9" s="238">
        <v>0</v>
      </c>
      <c r="BP9" s="238">
        <v>0</v>
      </c>
      <c r="BQ9" s="238">
        <v>0</v>
      </c>
      <c r="BR9" s="238">
        <v>0</v>
      </c>
      <c r="BS9" s="238">
        <v>0</v>
      </c>
      <c r="BT9" s="238">
        <v>0</v>
      </c>
      <c r="BU9" s="238">
        <v>0</v>
      </c>
      <c r="BV9" s="238">
        <v>0</v>
      </c>
      <c r="BW9" s="238">
        <v>0</v>
      </c>
      <c r="BX9" s="238">
        <v>0</v>
      </c>
      <c r="BY9" s="238">
        <v>0</v>
      </c>
      <c r="BZ9" s="238">
        <v>0</v>
      </c>
      <c r="CA9" s="238">
        <v>0</v>
      </c>
      <c r="CB9" s="238">
        <v>0</v>
      </c>
      <c r="CC9" s="238">
        <v>0</v>
      </c>
      <c r="CD9" s="238">
        <v>0</v>
      </c>
      <c r="CE9" s="238">
        <v>0</v>
      </c>
      <c r="CF9" s="238">
        <v>0</v>
      </c>
      <c r="CG9" s="238">
        <v>0</v>
      </c>
      <c r="CH9" s="238">
        <v>0</v>
      </c>
      <c r="CI9" s="238">
        <v>0</v>
      </c>
      <c r="CJ9" s="238">
        <v>0</v>
      </c>
      <c r="CK9" s="238">
        <v>0</v>
      </c>
      <c r="CL9" s="238">
        <v>0</v>
      </c>
      <c r="CM9" s="238">
        <v>0</v>
      </c>
      <c r="CN9" s="238">
        <v>0</v>
      </c>
      <c r="CO9" s="238">
        <v>0</v>
      </c>
      <c r="CP9" s="238">
        <v>0</v>
      </c>
      <c r="CQ9" s="238">
        <v>0</v>
      </c>
      <c r="CR9" s="238">
        <v>0</v>
      </c>
      <c r="CS9" s="238">
        <v>0</v>
      </c>
      <c r="CT9" s="238">
        <v>0</v>
      </c>
      <c r="CU9" s="238">
        <v>0</v>
      </c>
      <c r="CV9" s="238">
        <v>0</v>
      </c>
      <c r="CW9" s="238">
        <v>0</v>
      </c>
      <c r="CX9" s="238">
        <v>0</v>
      </c>
      <c r="CY9" s="238">
        <v>0</v>
      </c>
      <c r="CZ9" s="238">
        <v>0</v>
      </c>
      <c r="DA9" s="238">
        <v>0</v>
      </c>
      <c r="DB9" s="238">
        <v>0</v>
      </c>
      <c r="DC9" s="238">
        <v>0</v>
      </c>
      <c r="DD9" s="238">
        <v>0</v>
      </c>
      <c r="DE9" s="238">
        <v>0</v>
      </c>
      <c r="DF9" s="238">
        <v>0</v>
      </c>
      <c r="DG9" s="238">
        <v>0</v>
      </c>
      <c r="DH9" s="238">
        <v>0</v>
      </c>
      <c r="DI9" s="238">
        <v>0</v>
      </c>
      <c r="DJ9" s="238">
        <v>0</v>
      </c>
      <c r="DK9" s="238">
        <v>0</v>
      </c>
      <c r="DL9" s="238">
        <v>0</v>
      </c>
      <c r="DM9" s="238">
        <v>0</v>
      </c>
      <c r="DN9" s="238">
        <v>0</v>
      </c>
      <c r="DO9" s="238">
        <v>0</v>
      </c>
      <c r="DP9" s="238">
        <v>0</v>
      </c>
      <c r="DQ9" s="238">
        <v>0</v>
      </c>
      <c r="DR9" s="238">
        <v>0</v>
      </c>
      <c r="DS9" s="238">
        <v>0</v>
      </c>
      <c r="DT9" s="238">
        <v>0</v>
      </c>
      <c r="DU9" s="238">
        <v>0</v>
      </c>
      <c r="DV9" s="238">
        <v>0</v>
      </c>
    </row>
    <row r="10" spans="1:126" ht="23">
      <c r="A10" s="236" t="s">
        <v>211</v>
      </c>
      <c r="B10" s="237" t="s">
        <v>212</v>
      </c>
      <c r="C10" s="237" t="s">
        <v>35</v>
      </c>
      <c r="D10" s="240">
        <f t="shared" si="0"/>
        <v>35520000000000</v>
      </c>
      <c r="E10" s="240">
        <f t="shared" si="1"/>
        <v>35520000000000</v>
      </c>
      <c r="F10" s="240">
        <f t="shared" si="2"/>
        <v>35520000000000</v>
      </c>
      <c r="G10" s="238">
        <f>'Амортизация, до'!I18</f>
        <v>2960000000000</v>
      </c>
      <c r="H10" s="238">
        <f>'Амортизация, до'!J18</f>
        <v>2960000000000</v>
      </c>
      <c r="I10" s="238">
        <f>'Амортизация, до'!K18</f>
        <v>2960000000000</v>
      </c>
      <c r="J10" s="238">
        <f>'Амортизация, до'!L18</f>
        <v>2960000000000</v>
      </c>
      <c r="K10" s="238">
        <f>'Амортизация, до'!M18</f>
        <v>2960000000000</v>
      </c>
      <c r="L10" s="238">
        <f>'Амортизация, до'!N18</f>
        <v>2960000000000</v>
      </c>
      <c r="M10" s="238">
        <f>'Амортизация, до'!O18</f>
        <v>2960000000000</v>
      </c>
      <c r="N10" s="238">
        <f>'Амортизация, до'!P18</f>
        <v>2960000000000</v>
      </c>
      <c r="O10" s="238">
        <f>'Амортизация, до'!Q18</f>
        <v>2960000000000</v>
      </c>
      <c r="P10" s="238">
        <f>'Амортизация, до'!R18</f>
        <v>2960000000000</v>
      </c>
      <c r="Q10" s="238">
        <f>'Амортизация, до'!S18</f>
        <v>2960000000000</v>
      </c>
      <c r="R10" s="238">
        <f>'Амортизация, до'!T18</f>
        <v>2960000000000</v>
      </c>
      <c r="S10" s="238">
        <f>'Амортизация, до'!U18</f>
        <v>2960000000000</v>
      </c>
      <c r="T10" s="238">
        <f>'Амортизация, до'!V18</f>
        <v>2960000000000</v>
      </c>
      <c r="U10" s="238">
        <f>'Амортизация, до'!W18</f>
        <v>2960000000000</v>
      </c>
      <c r="V10" s="238">
        <f>'Амортизация, до'!X18</f>
        <v>2960000000000</v>
      </c>
      <c r="W10" s="238">
        <f>'Амортизация, до'!Y18</f>
        <v>2960000000000</v>
      </c>
      <c r="X10" s="238">
        <f>'Амортизация, до'!Z18</f>
        <v>2960000000000</v>
      </c>
      <c r="Y10" s="238">
        <f>'Амортизация, до'!AA18</f>
        <v>2960000000000</v>
      </c>
      <c r="Z10" s="238">
        <f>'Амортизация, до'!AB18</f>
        <v>2960000000000</v>
      </c>
      <c r="AA10" s="238">
        <f>'Амортизация, до'!AC18</f>
        <v>2960000000000</v>
      </c>
      <c r="AB10" s="238">
        <f>'Амортизация, до'!AD18</f>
        <v>2960000000000</v>
      </c>
      <c r="AC10" s="238">
        <f>'Амортизация, до'!AE18</f>
        <v>2960000000000</v>
      </c>
      <c r="AD10" s="238">
        <f>'Амортизация, до'!AF18</f>
        <v>2960000000000</v>
      </c>
      <c r="AE10" s="238">
        <f>'Амортизация, до'!AG18</f>
        <v>2960000000000</v>
      </c>
      <c r="AF10" s="238">
        <f>'Амортизация, до'!AH18</f>
        <v>2960000000000</v>
      </c>
      <c r="AG10" s="238">
        <f>'Амортизация, до'!AI18</f>
        <v>2960000000000</v>
      </c>
      <c r="AH10" s="238">
        <f>'Амортизация, до'!AJ18</f>
        <v>2960000000000</v>
      </c>
      <c r="AI10" s="238">
        <f>'Амортизация, до'!AK18</f>
        <v>2960000000000</v>
      </c>
      <c r="AJ10" s="238">
        <f>'Амортизация, до'!AL18</f>
        <v>2960000000000</v>
      </c>
      <c r="AK10" s="238">
        <f>'Амортизация, до'!AM18</f>
        <v>2960000000000</v>
      </c>
      <c r="AL10" s="238">
        <f>'Амортизация, до'!AN18</f>
        <v>2960000000000</v>
      </c>
      <c r="AM10" s="238">
        <f>'Амортизация, до'!AO18</f>
        <v>2960000000000</v>
      </c>
      <c r="AN10" s="238">
        <f>'Амортизация, до'!AP18</f>
        <v>2960000000000</v>
      </c>
      <c r="AO10" s="238">
        <f>'Амортизация, до'!AQ18</f>
        <v>2960000000000</v>
      </c>
      <c r="AP10" s="238">
        <f>'Амортизация, до'!AR18</f>
        <v>2960000000000</v>
      </c>
      <c r="AQ10" s="238">
        <f>'Амортизация, до'!AS18</f>
        <v>2960000000000</v>
      </c>
      <c r="AR10" s="238">
        <f>'Амортизация, до'!AT18</f>
        <v>2960000000000</v>
      </c>
      <c r="AS10" s="238">
        <f>'Амортизация, до'!AU18</f>
        <v>2960000000000</v>
      </c>
      <c r="AT10" s="238">
        <f>'Амортизация, до'!AV18</f>
        <v>2960000000000</v>
      </c>
      <c r="AU10" s="238">
        <f>'Амортизация, до'!AW18</f>
        <v>2960000000000</v>
      </c>
      <c r="AV10" s="238">
        <f>'Амортизация, до'!AX18</f>
        <v>2960000000000</v>
      </c>
      <c r="AW10" s="238">
        <f>'Амортизация, до'!AY18</f>
        <v>2960000000000</v>
      </c>
      <c r="AX10" s="238">
        <f>'Амортизация, до'!AZ18</f>
        <v>2960000000000</v>
      </c>
      <c r="AY10" s="238">
        <f>'Амортизация, до'!BA18</f>
        <v>2960000000000</v>
      </c>
      <c r="AZ10" s="238">
        <f>'Амортизация, до'!BB18</f>
        <v>2960000000000</v>
      </c>
      <c r="BA10" s="238">
        <f>'Амортизация, до'!BC18</f>
        <v>2960000000000</v>
      </c>
      <c r="BB10" s="238">
        <f>'Амортизация, до'!BD18</f>
        <v>2960000000000</v>
      </c>
      <c r="BC10" s="238">
        <f>'Амортизация, до'!BE18</f>
        <v>2960000000000</v>
      </c>
      <c r="BD10" s="238">
        <f>'Амортизация, до'!BF18</f>
        <v>2960000000000</v>
      </c>
      <c r="BE10" s="238">
        <f>'Амортизация, до'!BG18</f>
        <v>2960000000000</v>
      </c>
      <c r="BF10" s="238">
        <f>'Амортизация, до'!BH18</f>
        <v>2960000000000</v>
      </c>
      <c r="BG10" s="238">
        <f>'Амортизация, до'!BI18</f>
        <v>2960000000000</v>
      </c>
      <c r="BH10" s="238">
        <f>'Амортизация, до'!BJ18</f>
        <v>2960000000000</v>
      </c>
      <c r="BI10" s="238">
        <f>'Амортизация, до'!BK18</f>
        <v>2960000000000</v>
      </c>
      <c r="BJ10" s="238">
        <f>'Амортизация, до'!BL18</f>
        <v>2960000000000</v>
      </c>
      <c r="BK10" s="238">
        <f>'Амортизация, до'!BM18</f>
        <v>2960000000000</v>
      </c>
      <c r="BL10" s="238">
        <f>'Амортизация, до'!BN18</f>
        <v>2960000000000</v>
      </c>
      <c r="BM10" s="238">
        <f>'Амортизация, до'!BO18</f>
        <v>2960000000000</v>
      </c>
      <c r="BN10" s="238">
        <f>'Амортизация, до'!BP18</f>
        <v>2960000000000</v>
      </c>
      <c r="BO10" s="238">
        <f>'Амортизация, до'!BQ18</f>
        <v>2960000000000</v>
      </c>
      <c r="BP10" s="238">
        <f>'Амортизация, до'!BR18</f>
        <v>2960000000000</v>
      </c>
      <c r="BQ10" s="238">
        <f>'Амортизация, до'!BS18</f>
        <v>2960000000000</v>
      </c>
      <c r="BR10" s="238">
        <f>'Амортизация, до'!BT18</f>
        <v>2960000000000</v>
      </c>
      <c r="BS10" s="238">
        <f>'Амортизация, до'!BU18</f>
        <v>2960000000000</v>
      </c>
      <c r="BT10" s="238">
        <f>'Амортизация, до'!BV18</f>
        <v>2960000000000</v>
      </c>
      <c r="BU10" s="238">
        <f>'Амортизация, до'!BW18</f>
        <v>2960000000000</v>
      </c>
      <c r="BV10" s="238">
        <f>'Амортизация, до'!BX18</f>
        <v>2960000000000</v>
      </c>
      <c r="BW10" s="238">
        <f>'Амортизация, до'!BY18</f>
        <v>2960000000000</v>
      </c>
      <c r="BX10" s="238">
        <f>'Амортизация, до'!BZ18</f>
        <v>2960000000000</v>
      </c>
      <c r="BY10" s="238">
        <f>'Амортизация, до'!CA18</f>
        <v>2960000000000</v>
      </c>
      <c r="BZ10" s="238">
        <f>'Амортизация, до'!CB18</f>
        <v>2960000000000</v>
      </c>
      <c r="CA10" s="238">
        <f>'Амортизация, до'!CC18</f>
        <v>2960000000000</v>
      </c>
      <c r="CB10" s="238">
        <f>'Амортизация, до'!CD18</f>
        <v>2960000000000</v>
      </c>
      <c r="CC10" s="238">
        <f>'Амортизация, до'!CE18</f>
        <v>2960000000000</v>
      </c>
      <c r="CD10" s="238">
        <f>'Амортизация, до'!CF18</f>
        <v>2960000000000</v>
      </c>
      <c r="CE10" s="238">
        <f>'Амортизация, до'!CG18</f>
        <v>2960000000000</v>
      </c>
      <c r="CF10" s="238">
        <f>'Амортизация, до'!CH18</f>
        <v>2960000000000</v>
      </c>
      <c r="CG10" s="238">
        <f>'Амортизация, до'!CI18</f>
        <v>2960000000000</v>
      </c>
      <c r="CH10" s="238">
        <f>'Амортизация, до'!CJ18</f>
        <v>2960000000000</v>
      </c>
      <c r="CI10" s="238">
        <f>'Амортизация, до'!CK18</f>
        <v>2960000000000</v>
      </c>
      <c r="CJ10" s="238">
        <f>'Амортизация, до'!CL18</f>
        <v>2960000000000</v>
      </c>
      <c r="CK10" s="238">
        <f>'Амортизация, до'!CM18</f>
        <v>2960000000000</v>
      </c>
      <c r="CL10" s="238">
        <f>'Амортизация, до'!CN18</f>
        <v>2960000000000</v>
      </c>
      <c r="CM10" s="238">
        <f>'Амортизация, до'!CO18</f>
        <v>2960000000000</v>
      </c>
      <c r="CN10" s="238">
        <f>'Амортизация, до'!CP18</f>
        <v>2960000000000</v>
      </c>
      <c r="CO10" s="238">
        <f>'Амортизация, до'!CQ18</f>
        <v>2960000000000</v>
      </c>
      <c r="CP10" s="238">
        <f>'Амортизация, до'!CR18</f>
        <v>2960000000000</v>
      </c>
      <c r="CQ10" s="238">
        <f>'Амортизация, до'!CS18</f>
        <v>2960000000000</v>
      </c>
      <c r="CR10" s="238">
        <f>'Амортизация, до'!CT18</f>
        <v>2960000000000</v>
      </c>
      <c r="CS10" s="238">
        <f>'Амортизация, до'!CU18</f>
        <v>2960000000000</v>
      </c>
      <c r="CT10" s="238">
        <f>'Амортизация, до'!CV18</f>
        <v>2960000000000</v>
      </c>
      <c r="CU10" s="238">
        <f>'Амортизация, до'!CW18</f>
        <v>2960000000000</v>
      </c>
      <c r="CV10" s="238">
        <f>'Амортизация, до'!CX18</f>
        <v>2960000000000</v>
      </c>
      <c r="CW10" s="238">
        <f>'Амортизация, до'!CY18</f>
        <v>2960000000000</v>
      </c>
      <c r="CX10" s="238">
        <f>'Амортизация, до'!CZ18</f>
        <v>2960000000000</v>
      </c>
      <c r="CY10" s="238">
        <f>'Амортизация, до'!DA18</f>
        <v>2960000000000</v>
      </c>
      <c r="CZ10" s="238">
        <f>'Амортизация, до'!DB18</f>
        <v>2960000000000</v>
      </c>
      <c r="DA10" s="238">
        <f>'Амортизация, до'!DC18</f>
        <v>2960000000000</v>
      </c>
      <c r="DB10" s="238">
        <f>'Амортизация, до'!DD18</f>
        <v>2960000000000</v>
      </c>
      <c r="DC10" s="238">
        <f>'Амортизация, до'!DE18</f>
        <v>2960000000000</v>
      </c>
      <c r="DD10" s="238">
        <f>'Амортизация, до'!DF18</f>
        <v>2960000000000</v>
      </c>
      <c r="DE10" s="238">
        <f>'Амортизация, до'!DG18</f>
        <v>2960000000000</v>
      </c>
      <c r="DF10" s="238">
        <f>'Амортизация, до'!DH18</f>
        <v>2960000000000</v>
      </c>
      <c r="DG10" s="238">
        <f>'Амортизация, до'!DI18</f>
        <v>2960000000000</v>
      </c>
      <c r="DH10" s="238">
        <f>'Амортизация, до'!DJ18</f>
        <v>2960000000000</v>
      </c>
      <c r="DI10" s="238">
        <f>'Амортизация, до'!DK18</f>
        <v>2960000000000</v>
      </c>
      <c r="DJ10" s="238">
        <f>'Амортизация, до'!DL18</f>
        <v>2960000000000</v>
      </c>
      <c r="DK10" s="238">
        <f>'Амортизация, до'!DM18</f>
        <v>2960000000000</v>
      </c>
      <c r="DL10" s="238">
        <f>'Амортизация, до'!DN18</f>
        <v>2960000000000</v>
      </c>
      <c r="DM10" s="238">
        <f>'Амортизация, до'!DO18</f>
        <v>2960000000000</v>
      </c>
      <c r="DN10" s="238">
        <f>'Амортизация, до'!DP18</f>
        <v>2960000000000</v>
      </c>
      <c r="DO10" s="238">
        <f>'Амортизация, до'!DQ18</f>
        <v>2960000000000</v>
      </c>
      <c r="DP10" s="238">
        <f>'Амортизация, до'!DR18</f>
        <v>2960000000000</v>
      </c>
      <c r="DQ10" s="238">
        <f>'Амортизация, до'!DS18</f>
        <v>2960000000000</v>
      </c>
      <c r="DR10" s="238">
        <f>'Амортизация, до'!DT18</f>
        <v>2960000000000</v>
      </c>
      <c r="DS10" s="238">
        <f>'Амортизация, до'!DU18</f>
        <v>2960000000000</v>
      </c>
      <c r="DT10" s="238">
        <f>'Амортизация, до'!DV18</f>
        <v>2960000000000</v>
      </c>
      <c r="DU10" s="238">
        <f>'Амортизация, до'!DW18</f>
        <v>2960000000000</v>
      </c>
      <c r="DV10" s="238">
        <f>'Амортизация, до'!DX18</f>
        <v>2960000000000</v>
      </c>
    </row>
    <row r="11" spans="1:126" ht="45">
      <c r="A11" s="236" t="s">
        <v>213</v>
      </c>
      <c r="B11" s="237" t="s">
        <v>214</v>
      </c>
      <c r="C11" s="237" t="s">
        <v>35</v>
      </c>
      <c r="D11" s="237">
        <f t="shared" si="0"/>
        <v>0</v>
      </c>
      <c r="E11" s="237">
        <f t="shared" si="1"/>
        <v>0</v>
      </c>
      <c r="F11" s="237">
        <f t="shared" si="2"/>
        <v>0</v>
      </c>
      <c r="G11" s="238">
        <v>0</v>
      </c>
      <c r="H11" s="238">
        <v>0</v>
      </c>
      <c r="I11" s="238">
        <v>0</v>
      </c>
      <c r="J11" s="238">
        <v>0</v>
      </c>
      <c r="K11" s="238">
        <v>0</v>
      </c>
      <c r="L11" s="238">
        <v>0</v>
      </c>
      <c r="M11" s="238">
        <v>0</v>
      </c>
      <c r="N11" s="238">
        <v>0</v>
      </c>
      <c r="O11" s="238">
        <v>0</v>
      </c>
      <c r="P11" s="238">
        <v>0</v>
      </c>
      <c r="Q11" s="238">
        <v>0</v>
      </c>
      <c r="R11" s="238">
        <v>0</v>
      </c>
      <c r="S11" s="238">
        <v>0</v>
      </c>
      <c r="T11" s="238">
        <v>0</v>
      </c>
      <c r="U11" s="238">
        <v>0</v>
      </c>
      <c r="V11" s="238">
        <v>0</v>
      </c>
      <c r="W11" s="238">
        <v>0</v>
      </c>
      <c r="X11" s="238">
        <v>0</v>
      </c>
      <c r="Y11" s="238">
        <v>0</v>
      </c>
      <c r="Z11" s="238">
        <v>0</v>
      </c>
      <c r="AA11" s="238">
        <v>0</v>
      </c>
      <c r="AB11" s="238">
        <v>0</v>
      </c>
      <c r="AC11" s="238">
        <v>0</v>
      </c>
      <c r="AD11" s="238">
        <v>0</v>
      </c>
      <c r="AE11" s="238">
        <v>0</v>
      </c>
      <c r="AF11" s="238">
        <v>0</v>
      </c>
      <c r="AG11" s="238">
        <v>0</v>
      </c>
      <c r="AH11" s="238">
        <v>0</v>
      </c>
      <c r="AI11" s="238">
        <v>0</v>
      </c>
      <c r="AJ11" s="238">
        <v>0</v>
      </c>
      <c r="AK11" s="238">
        <v>0</v>
      </c>
      <c r="AL11" s="238">
        <v>0</v>
      </c>
      <c r="AM11" s="238">
        <v>0</v>
      </c>
      <c r="AN11" s="238">
        <v>0</v>
      </c>
      <c r="AO11" s="238">
        <v>0</v>
      </c>
      <c r="AP11" s="238">
        <v>0</v>
      </c>
      <c r="AQ11" s="238">
        <v>0</v>
      </c>
      <c r="AR11" s="238">
        <v>0</v>
      </c>
      <c r="AS11" s="238">
        <v>0</v>
      </c>
      <c r="AT11" s="238">
        <v>0</v>
      </c>
      <c r="AU11" s="238">
        <v>0</v>
      </c>
      <c r="AV11" s="238">
        <v>0</v>
      </c>
      <c r="AW11" s="238">
        <v>0</v>
      </c>
      <c r="AX11" s="238">
        <v>0</v>
      </c>
      <c r="AY11" s="238">
        <v>0</v>
      </c>
      <c r="AZ11" s="238">
        <v>0</v>
      </c>
      <c r="BA11" s="238">
        <v>0</v>
      </c>
      <c r="BB11" s="238">
        <v>0</v>
      </c>
      <c r="BC11" s="238">
        <v>0</v>
      </c>
      <c r="BD11" s="238">
        <v>0</v>
      </c>
      <c r="BE11" s="238">
        <v>0</v>
      </c>
      <c r="BF11" s="238">
        <v>0</v>
      </c>
      <c r="BG11" s="238">
        <v>0</v>
      </c>
      <c r="BH11" s="238">
        <v>0</v>
      </c>
      <c r="BI11" s="238">
        <v>0</v>
      </c>
      <c r="BJ11" s="238">
        <v>0</v>
      </c>
      <c r="BK11" s="238">
        <v>0</v>
      </c>
      <c r="BL11" s="238">
        <v>0</v>
      </c>
      <c r="BM11" s="238">
        <v>0</v>
      </c>
      <c r="BN11" s="238">
        <v>0</v>
      </c>
      <c r="BO11" s="238">
        <v>0</v>
      </c>
      <c r="BP11" s="238">
        <v>0</v>
      </c>
      <c r="BQ11" s="238">
        <v>0</v>
      </c>
      <c r="BR11" s="238">
        <v>0</v>
      </c>
      <c r="BS11" s="238">
        <v>0</v>
      </c>
      <c r="BT11" s="238">
        <v>0</v>
      </c>
      <c r="BU11" s="238">
        <v>0</v>
      </c>
      <c r="BV11" s="238">
        <v>0</v>
      </c>
      <c r="BW11" s="238">
        <v>0</v>
      </c>
      <c r="BX11" s="238">
        <v>0</v>
      </c>
      <c r="BY11" s="238">
        <v>0</v>
      </c>
      <c r="BZ11" s="238">
        <v>0</v>
      </c>
      <c r="CA11" s="238">
        <v>0</v>
      </c>
      <c r="CB11" s="238">
        <v>0</v>
      </c>
      <c r="CC11" s="238">
        <v>0</v>
      </c>
      <c r="CD11" s="238">
        <v>0</v>
      </c>
      <c r="CE11" s="238">
        <v>0</v>
      </c>
      <c r="CF11" s="238">
        <v>0</v>
      </c>
      <c r="CG11" s="238">
        <v>0</v>
      </c>
      <c r="CH11" s="238">
        <v>0</v>
      </c>
      <c r="CI11" s="238">
        <v>0</v>
      </c>
      <c r="CJ11" s="238">
        <v>0</v>
      </c>
      <c r="CK11" s="238">
        <v>0</v>
      </c>
      <c r="CL11" s="238">
        <v>0</v>
      </c>
      <c r="CM11" s="238">
        <v>0</v>
      </c>
      <c r="CN11" s="238">
        <v>0</v>
      </c>
      <c r="CO11" s="238">
        <v>0</v>
      </c>
      <c r="CP11" s="238">
        <v>0</v>
      </c>
      <c r="CQ11" s="238">
        <v>0</v>
      </c>
      <c r="CR11" s="238">
        <v>0</v>
      </c>
      <c r="CS11" s="238">
        <v>0</v>
      </c>
      <c r="CT11" s="238">
        <v>0</v>
      </c>
      <c r="CU11" s="238">
        <v>0</v>
      </c>
      <c r="CV11" s="238">
        <v>0</v>
      </c>
      <c r="CW11" s="238">
        <v>0</v>
      </c>
      <c r="CX11" s="238">
        <v>0</v>
      </c>
      <c r="CY11" s="238">
        <v>0</v>
      </c>
      <c r="CZ11" s="238">
        <v>0</v>
      </c>
      <c r="DA11" s="238">
        <v>0</v>
      </c>
      <c r="DB11" s="238">
        <v>0</v>
      </c>
      <c r="DC11" s="238">
        <v>0</v>
      </c>
      <c r="DD11" s="238">
        <v>0</v>
      </c>
      <c r="DE11" s="238">
        <v>0</v>
      </c>
      <c r="DF11" s="238">
        <v>0</v>
      </c>
      <c r="DG11" s="238">
        <v>0</v>
      </c>
      <c r="DH11" s="238">
        <v>0</v>
      </c>
      <c r="DI11" s="238">
        <v>0</v>
      </c>
      <c r="DJ11" s="238">
        <v>0</v>
      </c>
      <c r="DK11" s="238">
        <v>0</v>
      </c>
      <c r="DL11" s="238">
        <v>0</v>
      </c>
      <c r="DM11" s="238">
        <v>0</v>
      </c>
      <c r="DN11" s="238">
        <v>0</v>
      </c>
      <c r="DO11" s="238">
        <v>0</v>
      </c>
      <c r="DP11" s="238">
        <v>0</v>
      </c>
      <c r="DQ11" s="238">
        <v>0</v>
      </c>
      <c r="DR11" s="238">
        <v>0</v>
      </c>
      <c r="DS11" s="238">
        <v>0</v>
      </c>
      <c r="DT11" s="238">
        <v>0</v>
      </c>
      <c r="DU11" s="238">
        <v>0</v>
      </c>
      <c r="DV11" s="238">
        <v>0</v>
      </c>
    </row>
    <row r="12" spans="1:126" ht="23">
      <c r="A12" s="236" t="s">
        <v>215</v>
      </c>
      <c r="B12" s="237" t="s">
        <v>216</v>
      </c>
      <c r="C12" s="237" t="s">
        <v>35</v>
      </c>
      <c r="D12" s="237">
        <f t="shared" si="0"/>
        <v>0</v>
      </c>
      <c r="E12" s="237">
        <f t="shared" si="1"/>
        <v>0</v>
      </c>
      <c r="F12" s="237">
        <f t="shared" si="2"/>
        <v>0</v>
      </c>
      <c r="G12" s="238">
        <v>0</v>
      </c>
      <c r="H12" s="238">
        <v>0</v>
      </c>
      <c r="I12" s="238">
        <v>0</v>
      </c>
      <c r="J12" s="238">
        <v>0</v>
      </c>
      <c r="K12" s="238">
        <v>0</v>
      </c>
      <c r="L12" s="238">
        <v>0</v>
      </c>
      <c r="M12" s="238">
        <v>0</v>
      </c>
      <c r="N12" s="238">
        <v>0</v>
      </c>
      <c r="O12" s="238">
        <v>0</v>
      </c>
      <c r="P12" s="238">
        <v>0</v>
      </c>
      <c r="Q12" s="238">
        <v>0</v>
      </c>
      <c r="R12" s="238">
        <v>0</v>
      </c>
      <c r="S12" s="238">
        <v>0</v>
      </c>
      <c r="T12" s="238">
        <v>0</v>
      </c>
      <c r="U12" s="238">
        <v>0</v>
      </c>
      <c r="V12" s="238">
        <v>0</v>
      </c>
      <c r="W12" s="238">
        <v>0</v>
      </c>
      <c r="X12" s="238">
        <v>0</v>
      </c>
      <c r="Y12" s="238">
        <v>0</v>
      </c>
      <c r="Z12" s="238">
        <v>0</v>
      </c>
      <c r="AA12" s="238">
        <v>0</v>
      </c>
      <c r="AB12" s="238">
        <v>0</v>
      </c>
      <c r="AC12" s="238">
        <v>0</v>
      </c>
      <c r="AD12" s="238">
        <v>0</v>
      </c>
      <c r="AE12" s="238">
        <v>0</v>
      </c>
      <c r="AF12" s="238">
        <v>0</v>
      </c>
      <c r="AG12" s="238">
        <v>0</v>
      </c>
      <c r="AH12" s="238">
        <v>0</v>
      </c>
      <c r="AI12" s="238">
        <v>0</v>
      </c>
      <c r="AJ12" s="238">
        <v>0</v>
      </c>
      <c r="AK12" s="238">
        <v>0</v>
      </c>
      <c r="AL12" s="238">
        <v>0</v>
      </c>
      <c r="AM12" s="238">
        <v>0</v>
      </c>
      <c r="AN12" s="238">
        <v>0</v>
      </c>
      <c r="AO12" s="238">
        <v>0</v>
      </c>
      <c r="AP12" s="238">
        <v>0</v>
      </c>
      <c r="AQ12" s="238">
        <v>0</v>
      </c>
      <c r="AR12" s="238">
        <v>0</v>
      </c>
      <c r="AS12" s="238">
        <v>0</v>
      </c>
      <c r="AT12" s="238">
        <v>0</v>
      </c>
      <c r="AU12" s="238">
        <v>0</v>
      </c>
      <c r="AV12" s="238">
        <v>0</v>
      </c>
      <c r="AW12" s="238">
        <v>0</v>
      </c>
      <c r="AX12" s="238">
        <v>0</v>
      </c>
      <c r="AY12" s="238">
        <v>0</v>
      </c>
      <c r="AZ12" s="238">
        <v>0</v>
      </c>
      <c r="BA12" s="238">
        <v>0</v>
      </c>
      <c r="BB12" s="238">
        <v>0</v>
      </c>
      <c r="BC12" s="238">
        <v>0</v>
      </c>
      <c r="BD12" s="238">
        <v>0</v>
      </c>
      <c r="BE12" s="238">
        <v>0</v>
      </c>
      <c r="BF12" s="238">
        <v>0</v>
      </c>
      <c r="BG12" s="238">
        <v>0</v>
      </c>
      <c r="BH12" s="238">
        <v>0</v>
      </c>
      <c r="BI12" s="238">
        <v>0</v>
      </c>
      <c r="BJ12" s="238">
        <v>0</v>
      </c>
      <c r="BK12" s="238">
        <v>0</v>
      </c>
      <c r="BL12" s="238">
        <v>0</v>
      </c>
      <c r="BM12" s="238">
        <v>0</v>
      </c>
      <c r="BN12" s="238">
        <v>0</v>
      </c>
      <c r="BO12" s="238">
        <v>0</v>
      </c>
      <c r="BP12" s="238">
        <v>0</v>
      </c>
      <c r="BQ12" s="238">
        <v>0</v>
      </c>
      <c r="BR12" s="238">
        <v>0</v>
      </c>
      <c r="BS12" s="238">
        <v>0</v>
      </c>
      <c r="BT12" s="238">
        <v>0</v>
      </c>
      <c r="BU12" s="238">
        <v>0</v>
      </c>
      <c r="BV12" s="238">
        <v>0</v>
      </c>
      <c r="BW12" s="238">
        <v>0</v>
      </c>
      <c r="BX12" s="238">
        <v>0</v>
      </c>
      <c r="BY12" s="238">
        <v>0</v>
      </c>
      <c r="BZ12" s="238">
        <v>0</v>
      </c>
      <c r="CA12" s="238">
        <v>0</v>
      </c>
      <c r="CB12" s="238">
        <v>0</v>
      </c>
      <c r="CC12" s="238">
        <v>0</v>
      </c>
      <c r="CD12" s="238">
        <v>0</v>
      </c>
      <c r="CE12" s="238">
        <v>0</v>
      </c>
      <c r="CF12" s="238">
        <v>0</v>
      </c>
      <c r="CG12" s="238">
        <v>0</v>
      </c>
      <c r="CH12" s="238">
        <v>0</v>
      </c>
      <c r="CI12" s="238">
        <v>0</v>
      </c>
      <c r="CJ12" s="238">
        <v>0</v>
      </c>
      <c r="CK12" s="238">
        <v>0</v>
      </c>
      <c r="CL12" s="238">
        <v>0</v>
      </c>
      <c r="CM12" s="238">
        <v>0</v>
      </c>
      <c r="CN12" s="238">
        <v>0</v>
      </c>
      <c r="CO12" s="238">
        <v>0</v>
      </c>
      <c r="CP12" s="238">
        <v>0</v>
      </c>
      <c r="CQ12" s="238">
        <v>0</v>
      </c>
      <c r="CR12" s="238">
        <v>0</v>
      </c>
      <c r="CS12" s="238">
        <v>0</v>
      </c>
      <c r="CT12" s="238">
        <v>0</v>
      </c>
      <c r="CU12" s="238">
        <v>0</v>
      </c>
      <c r="CV12" s="238">
        <v>0</v>
      </c>
      <c r="CW12" s="238">
        <v>0</v>
      </c>
      <c r="CX12" s="238">
        <v>0</v>
      </c>
      <c r="CY12" s="238">
        <v>0</v>
      </c>
      <c r="CZ12" s="238">
        <v>0</v>
      </c>
      <c r="DA12" s="238">
        <v>0</v>
      </c>
      <c r="DB12" s="238">
        <v>0</v>
      </c>
      <c r="DC12" s="238">
        <v>0</v>
      </c>
      <c r="DD12" s="238">
        <v>0</v>
      </c>
      <c r="DE12" s="238">
        <v>0</v>
      </c>
      <c r="DF12" s="238">
        <v>0</v>
      </c>
      <c r="DG12" s="238">
        <v>0</v>
      </c>
      <c r="DH12" s="238">
        <v>0</v>
      </c>
      <c r="DI12" s="238">
        <v>0</v>
      </c>
      <c r="DJ12" s="238">
        <v>0</v>
      </c>
      <c r="DK12" s="238">
        <v>0</v>
      </c>
      <c r="DL12" s="238">
        <v>0</v>
      </c>
      <c r="DM12" s="238">
        <v>0</v>
      </c>
      <c r="DN12" s="238">
        <v>0</v>
      </c>
      <c r="DO12" s="238">
        <v>0</v>
      </c>
      <c r="DP12" s="238">
        <v>0</v>
      </c>
      <c r="DQ12" s="238">
        <v>0</v>
      </c>
      <c r="DR12" s="238">
        <v>0</v>
      </c>
      <c r="DS12" s="238">
        <v>0</v>
      </c>
      <c r="DT12" s="238">
        <v>0</v>
      </c>
      <c r="DU12" s="238">
        <v>0</v>
      </c>
      <c r="DV12" s="238">
        <v>0</v>
      </c>
    </row>
    <row r="13" spans="1:126" ht="23">
      <c r="A13" s="236" t="s">
        <v>217</v>
      </c>
      <c r="B13" s="237" t="s">
        <v>218</v>
      </c>
      <c r="C13" s="237" t="s">
        <v>35</v>
      </c>
      <c r="D13" s="237">
        <f t="shared" si="0"/>
        <v>0</v>
      </c>
      <c r="E13" s="237">
        <f t="shared" si="1"/>
        <v>0</v>
      </c>
      <c r="F13" s="237">
        <f t="shared" si="2"/>
        <v>0</v>
      </c>
      <c r="G13" s="238">
        <v>0</v>
      </c>
      <c r="H13" s="238">
        <v>0</v>
      </c>
      <c r="I13" s="238">
        <v>0</v>
      </c>
      <c r="J13" s="238">
        <v>0</v>
      </c>
      <c r="K13" s="238">
        <v>0</v>
      </c>
      <c r="L13" s="238">
        <v>0</v>
      </c>
      <c r="M13" s="238">
        <v>0</v>
      </c>
      <c r="N13" s="238">
        <v>0</v>
      </c>
      <c r="O13" s="238">
        <v>0</v>
      </c>
      <c r="P13" s="238">
        <v>0</v>
      </c>
      <c r="Q13" s="238">
        <v>0</v>
      </c>
      <c r="R13" s="238">
        <v>0</v>
      </c>
      <c r="S13" s="238">
        <v>0</v>
      </c>
      <c r="T13" s="238">
        <v>0</v>
      </c>
      <c r="U13" s="238">
        <v>0</v>
      </c>
      <c r="V13" s="238">
        <v>0</v>
      </c>
      <c r="W13" s="238">
        <v>0</v>
      </c>
      <c r="X13" s="238">
        <v>0</v>
      </c>
      <c r="Y13" s="238">
        <v>0</v>
      </c>
      <c r="Z13" s="238">
        <v>0</v>
      </c>
      <c r="AA13" s="238">
        <v>0</v>
      </c>
      <c r="AB13" s="238">
        <v>0</v>
      </c>
      <c r="AC13" s="238">
        <v>0</v>
      </c>
      <c r="AD13" s="238">
        <v>0</v>
      </c>
      <c r="AE13" s="238">
        <v>0</v>
      </c>
      <c r="AF13" s="238">
        <v>0</v>
      </c>
      <c r="AG13" s="238">
        <v>0</v>
      </c>
      <c r="AH13" s="238">
        <v>0</v>
      </c>
      <c r="AI13" s="238">
        <v>0</v>
      </c>
      <c r="AJ13" s="238">
        <v>0</v>
      </c>
      <c r="AK13" s="238">
        <v>0</v>
      </c>
      <c r="AL13" s="238">
        <v>0</v>
      </c>
      <c r="AM13" s="238">
        <v>0</v>
      </c>
      <c r="AN13" s="238">
        <v>0</v>
      </c>
      <c r="AO13" s="238">
        <v>0</v>
      </c>
      <c r="AP13" s="238">
        <v>0</v>
      </c>
      <c r="AQ13" s="238">
        <v>0</v>
      </c>
      <c r="AR13" s="238">
        <v>0</v>
      </c>
      <c r="AS13" s="238">
        <v>0</v>
      </c>
      <c r="AT13" s="238">
        <v>0</v>
      </c>
      <c r="AU13" s="238">
        <v>0</v>
      </c>
      <c r="AV13" s="238">
        <v>0</v>
      </c>
      <c r="AW13" s="238">
        <v>0</v>
      </c>
      <c r="AX13" s="238">
        <v>0</v>
      </c>
      <c r="AY13" s="238">
        <v>0</v>
      </c>
      <c r="AZ13" s="238">
        <v>0</v>
      </c>
      <c r="BA13" s="238">
        <v>0</v>
      </c>
      <c r="BB13" s="238">
        <v>0</v>
      </c>
      <c r="BC13" s="238">
        <v>0</v>
      </c>
      <c r="BD13" s="238">
        <v>0</v>
      </c>
      <c r="BE13" s="238">
        <v>0</v>
      </c>
      <c r="BF13" s="238">
        <v>0</v>
      </c>
      <c r="BG13" s="238">
        <v>0</v>
      </c>
      <c r="BH13" s="238">
        <v>0</v>
      </c>
      <c r="BI13" s="238">
        <v>0</v>
      </c>
      <c r="BJ13" s="238">
        <v>0</v>
      </c>
      <c r="BK13" s="238">
        <v>0</v>
      </c>
      <c r="BL13" s="238">
        <v>0</v>
      </c>
      <c r="BM13" s="238">
        <v>0</v>
      </c>
      <c r="BN13" s="238">
        <v>0</v>
      </c>
      <c r="BO13" s="238">
        <v>0</v>
      </c>
      <c r="BP13" s="238">
        <v>0</v>
      </c>
      <c r="BQ13" s="238">
        <v>0</v>
      </c>
      <c r="BR13" s="238">
        <v>0</v>
      </c>
      <c r="BS13" s="238">
        <v>0</v>
      </c>
      <c r="BT13" s="238">
        <v>0</v>
      </c>
      <c r="BU13" s="238">
        <v>0</v>
      </c>
      <c r="BV13" s="238">
        <v>0</v>
      </c>
      <c r="BW13" s="238">
        <v>0</v>
      </c>
      <c r="BX13" s="238">
        <v>0</v>
      </c>
      <c r="BY13" s="238">
        <v>0</v>
      </c>
      <c r="BZ13" s="238">
        <v>0</v>
      </c>
      <c r="CA13" s="238">
        <v>0</v>
      </c>
      <c r="CB13" s="238">
        <v>0</v>
      </c>
      <c r="CC13" s="238">
        <v>0</v>
      </c>
      <c r="CD13" s="238">
        <v>0</v>
      </c>
      <c r="CE13" s="238">
        <v>0</v>
      </c>
      <c r="CF13" s="238">
        <v>0</v>
      </c>
      <c r="CG13" s="238">
        <v>0</v>
      </c>
      <c r="CH13" s="238">
        <v>0</v>
      </c>
      <c r="CI13" s="238">
        <v>0</v>
      </c>
      <c r="CJ13" s="238">
        <v>0</v>
      </c>
      <c r="CK13" s="238">
        <v>0</v>
      </c>
      <c r="CL13" s="238">
        <v>0</v>
      </c>
      <c r="CM13" s="238">
        <v>0</v>
      </c>
      <c r="CN13" s="238">
        <v>0</v>
      </c>
      <c r="CO13" s="238">
        <v>0</v>
      </c>
      <c r="CP13" s="238">
        <v>0</v>
      </c>
      <c r="CQ13" s="238">
        <v>0</v>
      </c>
      <c r="CR13" s="238">
        <v>0</v>
      </c>
      <c r="CS13" s="238">
        <v>0</v>
      </c>
      <c r="CT13" s="238">
        <v>0</v>
      </c>
      <c r="CU13" s="238">
        <v>0</v>
      </c>
      <c r="CV13" s="238">
        <v>0</v>
      </c>
      <c r="CW13" s="238">
        <v>0</v>
      </c>
      <c r="CX13" s="238">
        <v>0</v>
      </c>
      <c r="CY13" s="238">
        <v>0</v>
      </c>
      <c r="CZ13" s="238">
        <v>0</v>
      </c>
      <c r="DA13" s="238">
        <v>0</v>
      </c>
      <c r="DB13" s="238">
        <v>0</v>
      </c>
      <c r="DC13" s="238">
        <v>0</v>
      </c>
      <c r="DD13" s="238">
        <v>0</v>
      </c>
      <c r="DE13" s="238">
        <v>0</v>
      </c>
      <c r="DF13" s="238">
        <v>0</v>
      </c>
      <c r="DG13" s="238">
        <v>0</v>
      </c>
      <c r="DH13" s="238">
        <v>0</v>
      </c>
      <c r="DI13" s="238">
        <v>0</v>
      </c>
      <c r="DJ13" s="238">
        <v>0</v>
      </c>
      <c r="DK13" s="238">
        <v>0</v>
      </c>
      <c r="DL13" s="238">
        <v>0</v>
      </c>
      <c r="DM13" s="238">
        <v>0</v>
      </c>
      <c r="DN13" s="238">
        <v>0</v>
      </c>
      <c r="DO13" s="238">
        <v>0</v>
      </c>
      <c r="DP13" s="238">
        <v>0</v>
      </c>
      <c r="DQ13" s="238">
        <v>0</v>
      </c>
      <c r="DR13" s="238">
        <v>0</v>
      </c>
      <c r="DS13" s="238">
        <v>0</v>
      </c>
      <c r="DT13" s="238">
        <v>0</v>
      </c>
      <c r="DU13" s="238">
        <v>0</v>
      </c>
      <c r="DV13" s="238">
        <v>0</v>
      </c>
    </row>
    <row r="14" spans="1:126" ht="34">
      <c r="A14" s="236" t="s">
        <v>219</v>
      </c>
      <c r="B14" s="237" t="s">
        <v>220</v>
      </c>
      <c r="C14" s="237" t="s">
        <v>35</v>
      </c>
      <c r="D14" s="237">
        <f t="shared" si="0"/>
        <v>0</v>
      </c>
      <c r="E14" s="237">
        <f t="shared" si="1"/>
        <v>0</v>
      </c>
      <c r="F14" s="237">
        <f t="shared" si="2"/>
        <v>0</v>
      </c>
      <c r="G14" s="238">
        <v>0</v>
      </c>
      <c r="H14" s="238">
        <v>0</v>
      </c>
      <c r="I14" s="238">
        <v>0</v>
      </c>
      <c r="J14" s="238">
        <v>0</v>
      </c>
      <c r="K14" s="238">
        <v>0</v>
      </c>
      <c r="L14" s="238">
        <v>0</v>
      </c>
      <c r="M14" s="238">
        <v>0</v>
      </c>
      <c r="N14" s="238">
        <v>0</v>
      </c>
      <c r="O14" s="238">
        <v>0</v>
      </c>
      <c r="P14" s="238">
        <v>0</v>
      </c>
      <c r="Q14" s="238">
        <v>0</v>
      </c>
      <c r="R14" s="238">
        <v>0</v>
      </c>
      <c r="S14" s="238">
        <v>0</v>
      </c>
      <c r="T14" s="238">
        <v>0</v>
      </c>
      <c r="U14" s="238">
        <v>0</v>
      </c>
      <c r="V14" s="238">
        <v>0</v>
      </c>
      <c r="W14" s="238">
        <v>0</v>
      </c>
      <c r="X14" s="238">
        <v>0</v>
      </c>
      <c r="Y14" s="238">
        <v>0</v>
      </c>
      <c r="Z14" s="238">
        <v>0</v>
      </c>
      <c r="AA14" s="238">
        <v>0</v>
      </c>
      <c r="AB14" s="238">
        <v>0</v>
      </c>
      <c r="AC14" s="238">
        <v>0</v>
      </c>
      <c r="AD14" s="238">
        <v>0</v>
      </c>
      <c r="AE14" s="238">
        <v>0</v>
      </c>
      <c r="AF14" s="238">
        <v>0</v>
      </c>
      <c r="AG14" s="238">
        <v>0</v>
      </c>
      <c r="AH14" s="238">
        <v>0</v>
      </c>
      <c r="AI14" s="238">
        <v>0</v>
      </c>
      <c r="AJ14" s="238">
        <v>0</v>
      </c>
      <c r="AK14" s="238">
        <v>0</v>
      </c>
      <c r="AL14" s="238">
        <v>0</v>
      </c>
      <c r="AM14" s="238">
        <v>0</v>
      </c>
      <c r="AN14" s="238">
        <v>0</v>
      </c>
      <c r="AO14" s="238">
        <v>0</v>
      </c>
      <c r="AP14" s="238">
        <v>0</v>
      </c>
      <c r="AQ14" s="238">
        <v>0</v>
      </c>
      <c r="AR14" s="238">
        <v>0</v>
      </c>
      <c r="AS14" s="238">
        <v>0</v>
      </c>
      <c r="AT14" s="238">
        <v>0</v>
      </c>
      <c r="AU14" s="238">
        <v>0</v>
      </c>
      <c r="AV14" s="238">
        <v>0</v>
      </c>
      <c r="AW14" s="238">
        <v>0</v>
      </c>
      <c r="AX14" s="238">
        <v>0</v>
      </c>
      <c r="AY14" s="238">
        <v>0</v>
      </c>
      <c r="AZ14" s="238">
        <v>0</v>
      </c>
      <c r="BA14" s="238">
        <v>0</v>
      </c>
      <c r="BB14" s="238">
        <v>0</v>
      </c>
      <c r="BC14" s="238">
        <v>0</v>
      </c>
      <c r="BD14" s="238">
        <v>0</v>
      </c>
      <c r="BE14" s="238">
        <v>0</v>
      </c>
      <c r="BF14" s="238">
        <v>0</v>
      </c>
      <c r="BG14" s="238">
        <v>0</v>
      </c>
      <c r="BH14" s="238">
        <v>0</v>
      </c>
      <c r="BI14" s="238">
        <v>0</v>
      </c>
      <c r="BJ14" s="238">
        <v>0</v>
      </c>
      <c r="BK14" s="238">
        <v>0</v>
      </c>
      <c r="BL14" s="238">
        <v>0</v>
      </c>
      <c r="BM14" s="238">
        <v>0</v>
      </c>
      <c r="BN14" s="238">
        <v>0</v>
      </c>
      <c r="BO14" s="238">
        <v>0</v>
      </c>
      <c r="BP14" s="238">
        <v>0</v>
      </c>
      <c r="BQ14" s="238">
        <v>0</v>
      </c>
      <c r="BR14" s="238">
        <v>0</v>
      </c>
      <c r="BS14" s="238">
        <v>0</v>
      </c>
      <c r="BT14" s="238">
        <v>0</v>
      </c>
      <c r="BU14" s="238">
        <v>0</v>
      </c>
      <c r="BV14" s="238">
        <v>0</v>
      </c>
      <c r="BW14" s="238">
        <v>0</v>
      </c>
      <c r="BX14" s="238">
        <v>0</v>
      </c>
      <c r="BY14" s="238">
        <v>0</v>
      </c>
      <c r="BZ14" s="238">
        <v>0</v>
      </c>
      <c r="CA14" s="238">
        <v>0</v>
      </c>
      <c r="CB14" s="238">
        <v>0</v>
      </c>
      <c r="CC14" s="238">
        <v>0</v>
      </c>
      <c r="CD14" s="238">
        <v>0</v>
      </c>
      <c r="CE14" s="238">
        <v>0</v>
      </c>
      <c r="CF14" s="238">
        <v>0</v>
      </c>
      <c r="CG14" s="238">
        <v>0</v>
      </c>
      <c r="CH14" s="238">
        <v>0</v>
      </c>
      <c r="CI14" s="238">
        <v>0</v>
      </c>
      <c r="CJ14" s="238">
        <v>0</v>
      </c>
      <c r="CK14" s="238">
        <v>0</v>
      </c>
      <c r="CL14" s="238">
        <v>0</v>
      </c>
      <c r="CM14" s="238">
        <v>0</v>
      </c>
      <c r="CN14" s="238">
        <v>0</v>
      </c>
      <c r="CO14" s="238">
        <v>0</v>
      </c>
      <c r="CP14" s="238">
        <v>0</v>
      </c>
      <c r="CQ14" s="238">
        <v>0</v>
      </c>
      <c r="CR14" s="238">
        <v>0</v>
      </c>
      <c r="CS14" s="238">
        <v>0</v>
      </c>
      <c r="CT14" s="238">
        <v>0</v>
      </c>
      <c r="CU14" s="238">
        <v>0</v>
      </c>
      <c r="CV14" s="238">
        <v>0</v>
      </c>
      <c r="CW14" s="238">
        <v>0</v>
      </c>
      <c r="CX14" s="238">
        <v>0</v>
      </c>
      <c r="CY14" s="238">
        <v>0</v>
      </c>
      <c r="CZ14" s="238">
        <v>0</v>
      </c>
      <c r="DA14" s="238">
        <v>0</v>
      </c>
      <c r="DB14" s="238">
        <v>0</v>
      </c>
      <c r="DC14" s="238">
        <v>0</v>
      </c>
      <c r="DD14" s="238">
        <v>0</v>
      </c>
      <c r="DE14" s="238">
        <v>0</v>
      </c>
      <c r="DF14" s="238">
        <v>0</v>
      </c>
      <c r="DG14" s="238">
        <v>0</v>
      </c>
      <c r="DH14" s="238">
        <v>0</v>
      </c>
      <c r="DI14" s="238">
        <v>0</v>
      </c>
      <c r="DJ14" s="238">
        <v>0</v>
      </c>
      <c r="DK14" s="238">
        <v>0</v>
      </c>
      <c r="DL14" s="238">
        <v>0</v>
      </c>
      <c r="DM14" s="238">
        <v>0</v>
      </c>
      <c r="DN14" s="238">
        <v>0</v>
      </c>
      <c r="DO14" s="238">
        <v>0</v>
      </c>
      <c r="DP14" s="238">
        <v>0</v>
      </c>
      <c r="DQ14" s="238">
        <v>0</v>
      </c>
      <c r="DR14" s="238">
        <v>0</v>
      </c>
      <c r="DS14" s="238">
        <v>0</v>
      </c>
      <c r="DT14" s="238">
        <v>0</v>
      </c>
      <c r="DU14" s="238">
        <v>0</v>
      </c>
      <c r="DV14" s="238">
        <v>0</v>
      </c>
    </row>
    <row r="15" spans="1:126" ht="23">
      <c r="A15" s="241" t="s">
        <v>221</v>
      </c>
      <c r="B15" s="242" t="s">
        <v>222</v>
      </c>
      <c r="C15" s="242" t="s">
        <v>35</v>
      </c>
      <c r="D15" s="243">
        <f>SUM(D6:D14)</f>
        <v>35520000000000</v>
      </c>
      <c r="E15" s="243">
        <f>SUM(E6:E14)</f>
        <v>35520000000000</v>
      </c>
      <c r="F15" s="243">
        <f>SUM(F6:F14)</f>
        <v>35520000000000</v>
      </c>
      <c r="G15" s="244">
        <f>SUM(G6:G14)</f>
        <v>2960000000000</v>
      </c>
      <c r="H15" s="244">
        <f t="shared" ref="H15:AP15" si="3">SUM(H6:H14)</f>
        <v>2960000000000</v>
      </c>
      <c r="I15" s="244">
        <f t="shared" si="3"/>
        <v>2960000000000</v>
      </c>
      <c r="J15" s="244">
        <f t="shared" si="3"/>
        <v>2960000000000</v>
      </c>
      <c r="K15" s="244">
        <f t="shared" si="3"/>
        <v>2960000000000</v>
      </c>
      <c r="L15" s="244">
        <f t="shared" si="3"/>
        <v>2960000000000</v>
      </c>
      <c r="M15" s="244">
        <f t="shared" si="3"/>
        <v>2960000000000</v>
      </c>
      <c r="N15" s="244">
        <f t="shared" si="3"/>
        <v>2960000000000</v>
      </c>
      <c r="O15" s="244">
        <f t="shared" si="3"/>
        <v>2960000000000</v>
      </c>
      <c r="P15" s="244">
        <f>SUM(P6:P14)</f>
        <v>2960000000000</v>
      </c>
      <c r="Q15" s="244">
        <f t="shared" si="3"/>
        <v>2960000000000</v>
      </c>
      <c r="R15" s="244">
        <f t="shared" si="3"/>
        <v>2960000000000</v>
      </c>
      <c r="S15" s="244">
        <f t="shared" si="3"/>
        <v>2960000000000</v>
      </c>
      <c r="T15" s="244">
        <f t="shared" si="3"/>
        <v>2960000000000</v>
      </c>
      <c r="U15" s="244">
        <f t="shared" si="3"/>
        <v>2960000000000</v>
      </c>
      <c r="V15" s="244">
        <f t="shared" si="3"/>
        <v>2960000000000</v>
      </c>
      <c r="W15" s="244">
        <f t="shared" si="3"/>
        <v>2960000000000</v>
      </c>
      <c r="X15" s="244">
        <f t="shared" si="3"/>
        <v>2960000000000</v>
      </c>
      <c r="Y15" s="244">
        <f t="shared" si="3"/>
        <v>2960000000000</v>
      </c>
      <c r="Z15" s="244">
        <f t="shared" si="3"/>
        <v>2960000000000</v>
      </c>
      <c r="AA15" s="244">
        <f t="shared" si="3"/>
        <v>2960000000000</v>
      </c>
      <c r="AB15" s="244">
        <f t="shared" si="3"/>
        <v>2960000000000</v>
      </c>
      <c r="AC15" s="244">
        <f t="shared" si="3"/>
        <v>2960000000000</v>
      </c>
      <c r="AD15" s="244">
        <f t="shared" si="3"/>
        <v>2960000000000</v>
      </c>
      <c r="AE15" s="244">
        <f t="shared" si="3"/>
        <v>2960000000000</v>
      </c>
      <c r="AF15" s="244">
        <f t="shared" si="3"/>
        <v>2960000000000</v>
      </c>
      <c r="AG15" s="244">
        <f t="shared" si="3"/>
        <v>2960000000000</v>
      </c>
      <c r="AH15" s="244">
        <f t="shared" si="3"/>
        <v>2960000000000</v>
      </c>
      <c r="AI15" s="244">
        <f t="shared" si="3"/>
        <v>2960000000000</v>
      </c>
      <c r="AJ15" s="244">
        <f t="shared" si="3"/>
        <v>2960000000000</v>
      </c>
      <c r="AK15" s="244">
        <f t="shared" si="3"/>
        <v>2960000000000</v>
      </c>
      <c r="AL15" s="244">
        <f t="shared" si="3"/>
        <v>2960000000000</v>
      </c>
      <c r="AM15" s="244">
        <f t="shared" si="3"/>
        <v>2960000000000</v>
      </c>
      <c r="AN15" s="244">
        <f t="shared" si="3"/>
        <v>2960000000000</v>
      </c>
      <c r="AO15" s="244">
        <f t="shared" si="3"/>
        <v>2960000000000</v>
      </c>
      <c r="AP15" s="244">
        <f t="shared" si="3"/>
        <v>2960000000000</v>
      </c>
      <c r="AQ15" s="244">
        <f>SUM(AQ6:AQ14)</f>
        <v>2960000000000</v>
      </c>
      <c r="AR15" s="244">
        <f t="shared" ref="AR15:AY15" si="4">SUM(AR6:AR14)</f>
        <v>2960000000000</v>
      </c>
      <c r="AS15" s="244">
        <f t="shared" si="4"/>
        <v>2960000000000</v>
      </c>
      <c r="AT15" s="244">
        <f t="shared" si="4"/>
        <v>2960000000000</v>
      </c>
      <c r="AU15" s="244">
        <f t="shared" si="4"/>
        <v>2960000000000</v>
      </c>
      <c r="AV15" s="244">
        <f t="shared" si="4"/>
        <v>2960000000000</v>
      </c>
      <c r="AW15" s="244">
        <f t="shared" si="4"/>
        <v>2960000000000</v>
      </c>
      <c r="AX15" s="244">
        <f t="shared" si="4"/>
        <v>2960000000000</v>
      </c>
      <c r="AY15" s="244">
        <f t="shared" si="4"/>
        <v>2960000000000</v>
      </c>
      <c r="AZ15" s="244">
        <f>SUM(AZ6:AZ14)</f>
        <v>2960000000000</v>
      </c>
      <c r="BA15" s="244">
        <f t="shared" ref="BA15:BZ15" si="5">SUM(BA6:BA14)</f>
        <v>2960000000000</v>
      </c>
      <c r="BB15" s="244">
        <f t="shared" si="5"/>
        <v>2960000000000</v>
      </c>
      <c r="BC15" s="244">
        <f t="shared" si="5"/>
        <v>2960000000000</v>
      </c>
      <c r="BD15" s="244">
        <f t="shared" si="5"/>
        <v>2960000000000</v>
      </c>
      <c r="BE15" s="244">
        <f t="shared" si="5"/>
        <v>2960000000000</v>
      </c>
      <c r="BF15" s="244">
        <f t="shared" si="5"/>
        <v>2960000000000</v>
      </c>
      <c r="BG15" s="244">
        <f t="shared" si="5"/>
        <v>2960000000000</v>
      </c>
      <c r="BH15" s="244">
        <f t="shared" si="5"/>
        <v>2960000000000</v>
      </c>
      <c r="BI15" s="244">
        <f t="shared" si="5"/>
        <v>2960000000000</v>
      </c>
      <c r="BJ15" s="244">
        <f t="shared" si="5"/>
        <v>2960000000000</v>
      </c>
      <c r="BK15" s="244">
        <f t="shared" si="5"/>
        <v>2960000000000</v>
      </c>
      <c r="BL15" s="244">
        <f t="shared" si="5"/>
        <v>2960000000000</v>
      </c>
      <c r="BM15" s="244">
        <f t="shared" si="5"/>
        <v>2960000000000</v>
      </c>
      <c r="BN15" s="244">
        <f t="shared" si="5"/>
        <v>2960000000000</v>
      </c>
      <c r="BO15" s="244">
        <f t="shared" si="5"/>
        <v>2960000000000</v>
      </c>
      <c r="BP15" s="244">
        <f t="shared" si="5"/>
        <v>2960000000000</v>
      </c>
      <c r="BQ15" s="244">
        <f t="shared" si="5"/>
        <v>2960000000000</v>
      </c>
      <c r="BR15" s="244">
        <f t="shared" si="5"/>
        <v>2960000000000</v>
      </c>
      <c r="BS15" s="244">
        <f t="shared" si="5"/>
        <v>2960000000000</v>
      </c>
      <c r="BT15" s="244">
        <f t="shared" si="5"/>
        <v>2960000000000</v>
      </c>
      <c r="BU15" s="244">
        <f t="shared" si="5"/>
        <v>2960000000000</v>
      </c>
      <c r="BV15" s="244">
        <f t="shared" si="5"/>
        <v>2960000000000</v>
      </c>
      <c r="BW15" s="244">
        <f t="shared" si="5"/>
        <v>2960000000000</v>
      </c>
      <c r="BX15" s="244">
        <f t="shared" si="5"/>
        <v>2960000000000</v>
      </c>
      <c r="BY15" s="244">
        <f t="shared" si="5"/>
        <v>2960000000000</v>
      </c>
      <c r="BZ15" s="244">
        <f t="shared" si="5"/>
        <v>2960000000000</v>
      </c>
      <c r="CA15" s="244">
        <f>SUM(CA6:CA14)</f>
        <v>2960000000000</v>
      </c>
      <c r="CB15" s="244">
        <f t="shared" ref="CB15:CI15" si="6">SUM(CB6:CB14)</f>
        <v>2960000000000</v>
      </c>
      <c r="CC15" s="244">
        <f t="shared" si="6"/>
        <v>2960000000000</v>
      </c>
      <c r="CD15" s="244">
        <f t="shared" si="6"/>
        <v>2960000000000</v>
      </c>
      <c r="CE15" s="244">
        <f t="shared" si="6"/>
        <v>2960000000000</v>
      </c>
      <c r="CF15" s="244">
        <f t="shared" si="6"/>
        <v>2960000000000</v>
      </c>
      <c r="CG15" s="244">
        <f t="shared" si="6"/>
        <v>2960000000000</v>
      </c>
      <c r="CH15" s="244">
        <f t="shared" si="6"/>
        <v>2960000000000</v>
      </c>
      <c r="CI15" s="244">
        <f t="shared" si="6"/>
        <v>2960000000000</v>
      </c>
      <c r="CJ15" s="244">
        <f>SUM(CJ6:CJ14)</f>
        <v>2960000000000</v>
      </c>
      <c r="CK15" s="244">
        <f t="shared" ref="CK15:DJ15" si="7">SUM(CK6:CK14)</f>
        <v>2960000000000</v>
      </c>
      <c r="CL15" s="244">
        <f t="shared" si="7"/>
        <v>2960000000000</v>
      </c>
      <c r="CM15" s="244">
        <f t="shared" si="7"/>
        <v>2960000000000</v>
      </c>
      <c r="CN15" s="244">
        <f t="shared" si="7"/>
        <v>2960000000000</v>
      </c>
      <c r="CO15" s="244">
        <f t="shared" si="7"/>
        <v>2960000000000</v>
      </c>
      <c r="CP15" s="244">
        <f t="shared" si="7"/>
        <v>2960000000000</v>
      </c>
      <c r="CQ15" s="244">
        <f t="shared" si="7"/>
        <v>2960000000000</v>
      </c>
      <c r="CR15" s="244">
        <f t="shared" si="7"/>
        <v>2960000000000</v>
      </c>
      <c r="CS15" s="244">
        <f t="shared" si="7"/>
        <v>2960000000000</v>
      </c>
      <c r="CT15" s="244">
        <f t="shared" si="7"/>
        <v>2960000000000</v>
      </c>
      <c r="CU15" s="244">
        <f t="shared" si="7"/>
        <v>2960000000000</v>
      </c>
      <c r="CV15" s="244">
        <f t="shared" si="7"/>
        <v>2960000000000</v>
      </c>
      <c r="CW15" s="244">
        <f t="shared" si="7"/>
        <v>2960000000000</v>
      </c>
      <c r="CX15" s="244">
        <f t="shared" si="7"/>
        <v>2960000000000</v>
      </c>
      <c r="CY15" s="244">
        <f t="shared" si="7"/>
        <v>2960000000000</v>
      </c>
      <c r="CZ15" s="244">
        <f t="shared" si="7"/>
        <v>2960000000000</v>
      </c>
      <c r="DA15" s="244">
        <f t="shared" si="7"/>
        <v>2960000000000</v>
      </c>
      <c r="DB15" s="244">
        <f t="shared" si="7"/>
        <v>2960000000000</v>
      </c>
      <c r="DC15" s="244">
        <f t="shared" si="7"/>
        <v>2960000000000</v>
      </c>
      <c r="DD15" s="244">
        <f t="shared" si="7"/>
        <v>2960000000000</v>
      </c>
      <c r="DE15" s="244">
        <f t="shared" si="7"/>
        <v>2960000000000</v>
      </c>
      <c r="DF15" s="244">
        <f t="shared" si="7"/>
        <v>2960000000000</v>
      </c>
      <c r="DG15" s="244">
        <f t="shared" si="7"/>
        <v>2960000000000</v>
      </c>
      <c r="DH15" s="244">
        <f t="shared" si="7"/>
        <v>2960000000000</v>
      </c>
      <c r="DI15" s="244">
        <f t="shared" si="7"/>
        <v>2960000000000</v>
      </c>
      <c r="DJ15" s="244">
        <f t="shared" si="7"/>
        <v>2960000000000</v>
      </c>
      <c r="DK15" s="244">
        <f>SUM(DK6:DK14)</f>
        <v>2960000000000</v>
      </c>
      <c r="DL15" s="244">
        <f t="shared" ref="DL15:DS15" si="8">SUM(DL6:DL14)</f>
        <v>2960000000000</v>
      </c>
      <c r="DM15" s="244">
        <f t="shared" si="8"/>
        <v>2960000000000</v>
      </c>
      <c r="DN15" s="244">
        <f t="shared" si="8"/>
        <v>2960000000000</v>
      </c>
      <c r="DO15" s="244">
        <f t="shared" si="8"/>
        <v>2960000000000</v>
      </c>
      <c r="DP15" s="244">
        <f t="shared" si="8"/>
        <v>2960000000000</v>
      </c>
      <c r="DQ15" s="244">
        <f t="shared" si="8"/>
        <v>2960000000000</v>
      </c>
      <c r="DR15" s="244">
        <f t="shared" si="8"/>
        <v>2960000000000</v>
      </c>
      <c r="DS15" s="244">
        <f t="shared" si="8"/>
        <v>2960000000000</v>
      </c>
      <c r="DT15" s="244">
        <f>SUM(DT6:DT14)</f>
        <v>2960000000000</v>
      </c>
      <c r="DU15" s="244">
        <f t="shared" ref="DU15:DV15" si="9">SUM(DU6:DU14)</f>
        <v>2960000000000</v>
      </c>
      <c r="DV15" s="244">
        <f t="shared" si="9"/>
        <v>2960000000000</v>
      </c>
    </row>
    <row r="16" spans="1:126">
      <c r="A16" s="372" t="s">
        <v>223</v>
      </c>
      <c r="B16" s="373"/>
      <c r="C16" s="373"/>
      <c r="D16" s="373"/>
      <c r="E16" s="373"/>
      <c r="F16" s="374"/>
      <c r="G16" s="238"/>
      <c r="H16" s="238"/>
      <c r="I16" s="238"/>
      <c r="J16" s="238"/>
      <c r="K16" s="238"/>
      <c r="L16" s="238"/>
      <c r="M16" s="238"/>
      <c r="N16" s="238"/>
      <c r="O16" s="238"/>
      <c r="P16" s="238"/>
      <c r="Q16" s="238"/>
      <c r="R16" s="238"/>
      <c r="S16" s="238"/>
      <c r="T16" s="238"/>
      <c r="U16" s="238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  <c r="AJ16" s="238"/>
      <c r="AK16" s="238"/>
      <c r="AL16" s="238"/>
      <c r="AM16" s="238"/>
      <c r="AN16" s="238"/>
      <c r="AO16" s="238"/>
      <c r="AP16" s="238"/>
      <c r="AQ16" s="238"/>
      <c r="AR16" s="238"/>
      <c r="AS16" s="238"/>
      <c r="AT16" s="238"/>
      <c r="AU16" s="238"/>
      <c r="AV16" s="238"/>
      <c r="AW16" s="238"/>
      <c r="AX16" s="238"/>
      <c r="AY16" s="238"/>
      <c r="AZ16" s="238"/>
      <c r="BA16" s="238"/>
      <c r="BB16" s="238"/>
      <c r="BC16" s="238"/>
      <c r="BD16" s="238"/>
      <c r="BE16" s="238"/>
      <c r="BF16" s="238"/>
      <c r="BG16" s="238"/>
      <c r="BH16" s="238"/>
      <c r="BI16" s="238"/>
      <c r="BJ16" s="238"/>
      <c r="BK16" s="238"/>
      <c r="BL16" s="238"/>
      <c r="BM16" s="238"/>
      <c r="BN16" s="238"/>
      <c r="BO16" s="238"/>
      <c r="BP16" s="238"/>
      <c r="BQ16" s="238"/>
      <c r="BR16" s="238"/>
      <c r="BS16" s="238"/>
      <c r="BT16" s="238"/>
      <c r="BU16" s="238"/>
      <c r="BV16" s="238"/>
      <c r="BW16" s="238"/>
      <c r="BX16" s="238"/>
      <c r="BY16" s="238"/>
      <c r="BZ16" s="238"/>
      <c r="CA16" s="238"/>
      <c r="CB16" s="238"/>
      <c r="CC16" s="238"/>
      <c r="CD16" s="238"/>
      <c r="CE16" s="238"/>
      <c r="CF16" s="238"/>
      <c r="CG16" s="238"/>
      <c r="CH16" s="238"/>
      <c r="CI16" s="238"/>
      <c r="CJ16" s="238"/>
      <c r="CK16" s="238"/>
      <c r="CL16" s="238"/>
      <c r="CM16" s="238"/>
      <c r="CN16" s="238"/>
      <c r="CO16" s="238"/>
      <c r="CP16" s="238"/>
      <c r="CQ16" s="238"/>
      <c r="CR16" s="238"/>
      <c r="CS16" s="238"/>
      <c r="CT16" s="238"/>
      <c r="CU16" s="238"/>
      <c r="CV16" s="238"/>
      <c r="CW16" s="238"/>
      <c r="CX16" s="238"/>
      <c r="CY16" s="238"/>
      <c r="CZ16" s="238"/>
      <c r="DA16" s="238"/>
      <c r="DB16" s="238"/>
      <c r="DC16" s="238"/>
      <c r="DD16" s="238"/>
      <c r="DE16" s="238"/>
      <c r="DF16" s="238"/>
      <c r="DG16" s="238"/>
      <c r="DH16" s="238"/>
      <c r="DI16" s="238"/>
      <c r="DJ16" s="238"/>
      <c r="DK16" s="238"/>
      <c r="DL16" s="238"/>
      <c r="DM16" s="238"/>
      <c r="DN16" s="238"/>
      <c r="DO16" s="238"/>
      <c r="DP16" s="238"/>
      <c r="DQ16" s="238"/>
      <c r="DR16" s="238"/>
      <c r="DS16" s="238"/>
      <c r="DT16" s="238"/>
      <c r="DU16" s="238"/>
      <c r="DV16" s="238"/>
    </row>
    <row r="17" spans="1:126">
      <c r="A17" s="236" t="s">
        <v>224</v>
      </c>
      <c r="B17" s="237" t="s">
        <v>225</v>
      </c>
      <c r="C17" s="237" t="s">
        <v>35</v>
      </c>
      <c r="D17" s="245">
        <f t="shared" ref="D17:D23" si="10">SUM(G17:R17)</f>
        <v>0</v>
      </c>
      <c r="E17" s="245">
        <f t="shared" ref="E17:E23" si="11">SUM(S17:AD17)</f>
        <v>0</v>
      </c>
      <c r="F17" s="245">
        <f t="shared" ref="F17:F23" si="12">SUM(AE17:AP17)</f>
        <v>0</v>
      </c>
      <c r="G17" s="238">
        <v>0</v>
      </c>
      <c r="H17" s="238">
        <v>0</v>
      </c>
      <c r="I17" s="238">
        <v>0</v>
      </c>
      <c r="J17" s="238">
        <v>0</v>
      </c>
      <c r="K17" s="238">
        <v>0</v>
      </c>
      <c r="L17" s="238">
        <v>0</v>
      </c>
      <c r="M17" s="238">
        <v>0</v>
      </c>
      <c r="N17" s="238">
        <v>0</v>
      </c>
      <c r="O17" s="238">
        <v>0</v>
      </c>
      <c r="P17" s="238">
        <v>0</v>
      </c>
      <c r="Q17" s="238">
        <v>0</v>
      </c>
      <c r="R17" s="238">
        <v>0</v>
      </c>
      <c r="S17" s="238">
        <v>0</v>
      </c>
      <c r="T17" s="238">
        <v>0</v>
      </c>
      <c r="U17" s="238">
        <v>0</v>
      </c>
      <c r="V17" s="238">
        <v>0</v>
      </c>
      <c r="W17" s="238">
        <v>0</v>
      </c>
      <c r="X17" s="238">
        <v>0</v>
      </c>
      <c r="Y17" s="238">
        <v>0</v>
      </c>
      <c r="Z17" s="238">
        <v>0</v>
      </c>
      <c r="AA17" s="238">
        <v>0</v>
      </c>
      <c r="AB17" s="238">
        <v>0</v>
      </c>
      <c r="AC17" s="238">
        <v>0</v>
      </c>
      <c r="AD17" s="238">
        <v>0</v>
      </c>
      <c r="AE17" s="238">
        <v>0</v>
      </c>
      <c r="AF17" s="238">
        <v>0</v>
      </c>
      <c r="AG17" s="238">
        <v>0</v>
      </c>
      <c r="AH17" s="238">
        <v>0</v>
      </c>
      <c r="AI17" s="238">
        <v>0</v>
      </c>
      <c r="AJ17" s="238">
        <v>0</v>
      </c>
      <c r="AK17" s="238">
        <v>0</v>
      </c>
      <c r="AL17" s="238">
        <v>0</v>
      </c>
      <c r="AM17" s="238">
        <v>0</v>
      </c>
      <c r="AN17" s="238">
        <v>0</v>
      </c>
      <c r="AO17" s="238">
        <v>0</v>
      </c>
      <c r="AP17" s="238">
        <v>0</v>
      </c>
      <c r="AQ17" s="238">
        <v>0</v>
      </c>
      <c r="AR17" s="238">
        <v>0</v>
      </c>
      <c r="AS17" s="238">
        <v>0</v>
      </c>
      <c r="AT17" s="238">
        <v>0</v>
      </c>
      <c r="AU17" s="238">
        <v>0</v>
      </c>
      <c r="AV17" s="238">
        <v>0</v>
      </c>
      <c r="AW17" s="238">
        <v>0</v>
      </c>
      <c r="AX17" s="238">
        <v>0</v>
      </c>
      <c r="AY17" s="238">
        <v>0</v>
      </c>
      <c r="AZ17" s="238">
        <v>0</v>
      </c>
      <c r="BA17" s="238">
        <v>0</v>
      </c>
      <c r="BB17" s="238">
        <v>0</v>
      </c>
      <c r="BC17" s="238">
        <v>0</v>
      </c>
      <c r="BD17" s="238">
        <v>0</v>
      </c>
      <c r="BE17" s="238">
        <v>0</v>
      </c>
      <c r="BF17" s="238">
        <v>0</v>
      </c>
      <c r="BG17" s="238">
        <v>0</v>
      </c>
      <c r="BH17" s="238">
        <v>0</v>
      </c>
      <c r="BI17" s="238">
        <v>0</v>
      </c>
      <c r="BJ17" s="238">
        <v>0</v>
      </c>
      <c r="BK17" s="238">
        <v>0</v>
      </c>
      <c r="BL17" s="238">
        <v>0</v>
      </c>
      <c r="BM17" s="238">
        <v>0</v>
      </c>
      <c r="BN17" s="238">
        <v>0</v>
      </c>
      <c r="BO17" s="238">
        <v>0</v>
      </c>
      <c r="BP17" s="238">
        <v>0</v>
      </c>
      <c r="BQ17" s="238">
        <v>0</v>
      </c>
      <c r="BR17" s="238">
        <v>0</v>
      </c>
      <c r="BS17" s="238">
        <v>0</v>
      </c>
      <c r="BT17" s="238">
        <v>0</v>
      </c>
      <c r="BU17" s="238">
        <v>0</v>
      </c>
      <c r="BV17" s="238">
        <v>0</v>
      </c>
      <c r="BW17" s="238">
        <v>0</v>
      </c>
      <c r="BX17" s="238">
        <v>0</v>
      </c>
      <c r="BY17" s="238">
        <v>0</v>
      </c>
      <c r="BZ17" s="238">
        <v>0</v>
      </c>
      <c r="CA17" s="238">
        <v>0</v>
      </c>
      <c r="CB17" s="238">
        <v>0</v>
      </c>
      <c r="CC17" s="238">
        <v>0</v>
      </c>
      <c r="CD17" s="238">
        <v>0</v>
      </c>
      <c r="CE17" s="238">
        <v>0</v>
      </c>
      <c r="CF17" s="238">
        <v>0</v>
      </c>
      <c r="CG17" s="238">
        <v>0</v>
      </c>
      <c r="CH17" s="238">
        <v>0</v>
      </c>
      <c r="CI17" s="238">
        <v>0</v>
      </c>
      <c r="CJ17" s="238">
        <v>0</v>
      </c>
      <c r="CK17" s="238">
        <v>0</v>
      </c>
      <c r="CL17" s="238">
        <v>0</v>
      </c>
      <c r="CM17" s="238">
        <v>0</v>
      </c>
      <c r="CN17" s="238">
        <v>0</v>
      </c>
      <c r="CO17" s="238">
        <v>0</v>
      </c>
      <c r="CP17" s="238">
        <v>0</v>
      </c>
      <c r="CQ17" s="238">
        <v>0</v>
      </c>
      <c r="CR17" s="238">
        <v>0</v>
      </c>
      <c r="CS17" s="238">
        <v>0</v>
      </c>
      <c r="CT17" s="238">
        <v>0</v>
      </c>
      <c r="CU17" s="238">
        <v>0</v>
      </c>
      <c r="CV17" s="238">
        <v>0</v>
      </c>
      <c r="CW17" s="238">
        <v>0</v>
      </c>
      <c r="CX17" s="238">
        <v>0</v>
      </c>
      <c r="CY17" s="238">
        <v>0</v>
      </c>
      <c r="CZ17" s="238">
        <v>0</v>
      </c>
      <c r="DA17" s="238">
        <v>0</v>
      </c>
      <c r="DB17" s="238">
        <v>0</v>
      </c>
      <c r="DC17" s="238">
        <v>0</v>
      </c>
      <c r="DD17" s="238">
        <v>0</v>
      </c>
      <c r="DE17" s="238">
        <v>0</v>
      </c>
      <c r="DF17" s="238">
        <v>0</v>
      </c>
      <c r="DG17" s="238">
        <v>0</v>
      </c>
      <c r="DH17" s="238">
        <v>0</v>
      </c>
      <c r="DI17" s="238">
        <v>0</v>
      </c>
      <c r="DJ17" s="238">
        <v>0</v>
      </c>
      <c r="DK17" s="238">
        <v>0</v>
      </c>
      <c r="DL17" s="238">
        <v>0</v>
      </c>
      <c r="DM17" s="238">
        <v>0</v>
      </c>
      <c r="DN17" s="238">
        <v>0</v>
      </c>
      <c r="DO17" s="238">
        <v>0</v>
      </c>
      <c r="DP17" s="238">
        <v>0</v>
      </c>
      <c r="DQ17" s="238">
        <v>0</v>
      </c>
      <c r="DR17" s="238">
        <v>0</v>
      </c>
      <c r="DS17" s="238">
        <v>0</v>
      </c>
      <c r="DT17" s="238">
        <v>0</v>
      </c>
      <c r="DU17" s="238">
        <v>0</v>
      </c>
      <c r="DV17" s="238">
        <v>0</v>
      </c>
    </row>
    <row r="18" spans="1:126" ht="56">
      <c r="A18" s="236" t="s">
        <v>226</v>
      </c>
      <c r="B18" s="237" t="s">
        <v>227</v>
      </c>
      <c r="C18" s="237" t="s">
        <v>35</v>
      </c>
      <c r="D18" s="245">
        <f t="shared" si="10"/>
        <v>0</v>
      </c>
      <c r="E18" s="245">
        <f t="shared" si="11"/>
        <v>0</v>
      </c>
      <c r="F18" s="245">
        <f t="shared" si="12"/>
        <v>0</v>
      </c>
      <c r="G18" s="238">
        <v>0</v>
      </c>
      <c r="H18" s="238">
        <v>0</v>
      </c>
      <c r="I18" s="238">
        <v>0</v>
      </c>
      <c r="J18" s="238">
        <v>0</v>
      </c>
      <c r="K18" s="238">
        <v>0</v>
      </c>
      <c r="L18" s="238">
        <v>0</v>
      </c>
      <c r="M18" s="238">
        <v>0</v>
      </c>
      <c r="N18" s="238">
        <v>0</v>
      </c>
      <c r="O18" s="238">
        <v>0</v>
      </c>
      <c r="P18" s="238">
        <v>0</v>
      </c>
      <c r="Q18" s="238">
        <v>0</v>
      </c>
      <c r="R18" s="238">
        <v>0</v>
      </c>
      <c r="S18" s="238">
        <v>0</v>
      </c>
      <c r="T18" s="238">
        <v>0</v>
      </c>
      <c r="U18" s="238">
        <v>0</v>
      </c>
      <c r="V18" s="238">
        <v>0</v>
      </c>
      <c r="W18" s="238">
        <v>0</v>
      </c>
      <c r="X18" s="238">
        <v>0</v>
      </c>
      <c r="Y18" s="238">
        <v>0</v>
      </c>
      <c r="Z18" s="238">
        <v>0</v>
      </c>
      <c r="AA18" s="238">
        <v>0</v>
      </c>
      <c r="AB18" s="238">
        <v>0</v>
      </c>
      <c r="AC18" s="238">
        <v>0</v>
      </c>
      <c r="AD18" s="238">
        <v>0</v>
      </c>
      <c r="AE18" s="238">
        <v>0</v>
      </c>
      <c r="AF18" s="238">
        <v>0</v>
      </c>
      <c r="AG18" s="238">
        <v>0</v>
      </c>
      <c r="AH18" s="238">
        <v>0</v>
      </c>
      <c r="AI18" s="238">
        <v>0</v>
      </c>
      <c r="AJ18" s="238">
        <v>0</v>
      </c>
      <c r="AK18" s="238">
        <v>0</v>
      </c>
      <c r="AL18" s="238">
        <v>0</v>
      </c>
      <c r="AM18" s="238">
        <v>0</v>
      </c>
      <c r="AN18" s="238">
        <v>0</v>
      </c>
      <c r="AO18" s="238">
        <v>0</v>
      </c>
      <c r="AP18" s="238">
        <v>0</v>
      </c>
      <c r="AQ18" s="238">
        <v>0</v>
      </c>
      <c r="AR18" s="238">
        <v>0</v>
      </c>
      <c r="AS18" s="238">
        <v>0</v>
      </c>
      <c r="AT18" s="238">
        <v>0</v>
      </c>
      <c r="AU18" s="238">
        <v>0</v>
      </c>
      <c r="AV18" s="238">
        <v>0</v>
      </c>
      <c r="AW18" s="238">
        <v>0</v>
      </c>
      <c r="AX18" s="238">
        <v>0</v>
      </c>
      <c r="AY18" s="238">
        <v>0</v>
      </c>
      <c r="AZ18" s="238">
        <v>0</v>
      </c>
      <c r="BA18" s="238">
        <v>0</v>
      </c>
      <c r="BB18" s="238">
        <v>0</v>
      </c>
      <c r="BC18" s="238">
        <v>0</v>
      </c>
      <c r="BD18" s="238">
        <v>0</v>
      </c>
      <c r="BE18" s="238">
        <v>0</v>
      </c>
      <c r="BF18" s="238">
        <v>0</v>
      </c>
      <c r="BG18" s="238">
        <v>0</v>
      </c>
      <c r="BH18" s="238">
        <v>0</v>
      </c>
      <c r="BI18" s="238">
        <v>0</v>
      </c>
      <c r="BJ18" s="238">
        <v>0</v>
      </c>
      <c r="BK18" s="238">
        <v>0</v>
      </c>
      <c r="BL18" s="238">
        <v>0</v>
      </c>
      <c r="BM18" s="238">
        <v>0</v>
      </c>
      <c r="BN18" s="238">
        <v>0</v>
      </c>
      <c r="BO18" s="238">
        <v>0</v>
      </c>
      <c r="BP18" s="238">
        <v>0</v>
      </c>
      <c r="BQ18" s="238">
        <v>0</v>
      </c>
      <c r="BR18" s="238">
        <v>0</v>
      </c>
      <c r="BS18" s="238">
        <v>0</v>
      </c>
      <c r="BT18" s="238">
        <v>0</v>
      </c>
      <c r="BU18" s="238">
        <v>0</v>
      </c>
      <c r="BV18" s="238">
        <v>0</v>
      </c>
      <c r="BW18" s="238">
        <v>0</v>
      </c>
      <c r="BX18" s="238">
        <v>0</v>
      </c>
      <c r="BY18" s="238">
        <v>0</v>
      </c>
      <c r="BZ18" s="238">
        <v>0</v>
      </c>
      <c r="CA18" s="238">
        <v>0</v>
      </c>
      <c r="CB18" s="238">
        <v>0</v>
      </c>
      <c r="CC18" s="238">
        <v>0</v>
      </c>
      <c r="CD18" s="238">
        <v>0</v>
      </c>
      <c r="CE18" s="238">
        <v>0</v>
      </c>
      <c r="CF18" s="238">
        <v>0</v>
      </c>
      <c r="CG18" s="238">
        <v>0</v>
      </c>
      <c r="CH18" s="238">
        <v>0</v>
      </c>
      <c r="CI18" s="238">
        <v>0</v>
      </c>
      <c r="CJ18" s="238">
        <v>0</v>
      </c>
      <c r="CK18" s="238">
        <v>0</v>
      </c>
      <c r="CL18" s="238">
        <v>0</v>
      </c>
      <c r="CM18" s="238">
        <v>0</v>
      </c>
      <c r="CN18" s="238">
        <v>0</v>
      </c>
      <c r="CO18" s="238">
        <v>0</v>
      </c>
      <c r="CP18" s="238">
        <v>0</v>
      </c>
      <c r="CQ18" s="238">
        <v>0</v>
      </c>
      <c r="CR18" s="238">
        <v>0</v>
      </c>
      <c r="CS18" s="238">
        <v>0</v>
      </c>
      <c r="CT18" s="238">
        <v>0</v>
      </c>
      <c r="CU18" s="238">
        <v>0</v>
      </c>
      <c r="CV18" s="238">
        <v>0</v>
      </c>
      <c r="CW18" s="238">
        <v>0</v>
      </c>
      <c r="CX18" s="238">
        <v>0</v>
      </c>
      <c r="CY18" s="238">
        <v>0</v>
      </c>
      <c r="CZ18" s="238">
        <v>0</v>
      </c>
      <c r="DA18" s="238">
        <v>0</v>
      </c>
      <c r="DB18" s="238">
        <v>0</v>
      </c>
      <c r="DC18" s="238">
        <v>0</v>
      </c>
      <c r="DD18" s="238">
        <v>0</v>
      </c>
      <c r="DE18" s="238">
        <v>0</v>
      </c>
      <c r="DF18" s="238">
        <v>0</v>
      </c>
      <c r="DG18" s="238">
        <v>0</v>
      </c>
      <c r="DH18" s="238">
        <v>0</v>
      </c>
      <c r="DI18" s="238">
        <v>0</v>
      </c>
      <c r="DJ18" s="238">
        <v>0</v>
      </c>
      <c r="DK18" s="238">
        <v>0</v>
      </c>
      <c r="DL18" s="238">
        <v>0</v>
      </c>
      <c r="DM18" s="238">
        <v>0</v>
      </c>
      <c r="DN18" s="238">
        <v>0</v>
      </c>
      <c r="DO18" s="238">
        <v>0</v>
      </c>
      <c r="DP18" s="238">
        <v>0</v>
      </c>
      <c r="DQ18" s="238">
        <v>0</v>
      </c>
      <c r="DR18" s="238">
        <v>0</v>
      </c>
      <c r="DS18" s="238">
        <v>0</v>
      </c>
      <c r="DT18" s="238">
        <v>0</v>
      </c>
      <c r="DU18" s="238">
        <v>0</v>
      </c>
      <c r="DV18" s="238">
        <v>0</v>
      </c>
    </row>
    <row r="19" spans="1:126" ht="23">
      <c r="A19" s="236" t="s">
        <v>228</v>
      </c>
      <c r="B19" s="237" t="s">
        <v>229</v>
      </c>
      <c r="C19" s="237" t="s">
        <v>35</v>
      </c>
      <c r="D19" s="245">
        <f t="shared" si="10"/>
        <v>89738169514188.031</v>
      </c>
      <c r="E19" s="245">
        <f t="shared" si="11"/>
        <v>1005091766927766.8</v>
      </c>
      <c r="F19" s="245">
        <f t="shared" si="12"/>
        <v>1021655524697237.8</v>
      </c>
      <c r="G19" s="238">
        <f>'Отчет о фин. рез до'!E21</f>
        <v>91278535241.475464</v>
      </c>
      <c r="H19" s="238">
        <f>'Отчет о фин. рез до'!F21</f>
        <v>184923056488.27005</v>
      </c>
      <c r="I19" s="238">
        <f>'Отчет о фин. рез до'!G21</f>
        <v>280997948965.24225</v>
      </c>
      <c r="J19" s="238">
        <f>'Отчет о фин. рез до'!H21</f>
        <v>379569425107.79108</v>
      </c>
      <c r="K19" s="238">
        <f>'Отчет о фин. рез до'!I21</f>
        <v>480705578174.07935</v>
      </c>
      <c r="L19" s="238">
        <f>'Отчет о фин. рез до'!J21</f>
        <v>584476437469.71582</v>
      </c>
      <c r="M19" s="238">
        <f>'Отчет о фин. рез до'!K21</f>
        <v>690954025234.24951</v>
      </c>
      <c r="N19" s="238">
        <f>'Отчет о фин. рез до'!L21</f>
        <v>800212415240.35547</v>
      </c>
      <c r="O19" s="238">
        <f>'Отчет о фин. рез до'!M21</f>
        <v>912327793158.17126</v>
      </c>
      <c r="P19" s="238">
        <f>'Отчет о фин. рез до'!N21</f>
        <v>1027378518738.8657</v>
      </c>
      <c r="Q19" s="238">
        <f>'Отчет о фин. рез до'!O21</f>
        <v>1145445189873.1992</v>
      </c>
      <c r="R19" s="238">
        <f>'Отчет о фин. рез до'!P21</f>
        <v>83159900590496.625</v>
      </c>
      <c r="S19" s="238">
        <f>'Отчет о фин. рез до'!Q21</f>
        <v>83243222736049.953</v>
      </c>
      <c r="T19" s="238">
        <f>'Отчет о фин. рез до'!R21</f>
        <v>83328743485575.562</v>
      </c>
      <c r="U19" s="238">
        <f>'Отчет о фин. рез до'!S21</f>
        <v>83416522643892.609</v>
      </c>
      <c r="V19" s="238">
        <f>'Отчет о фин. рез до'!T21</f>
        <v>83506621712245.625</v>
      </c>
      <c r="W19" s="238">
        <f>'Отчет о фин. рез до'!U21</f>
        <v>83599103938059.906</v>
      </c>
      <c r="X19" s="238">
        <f>'Отчет о фин. рез до'!V21</f>
        <v>83694034366193</v>
      </c>
      <c r="Y19" s="238">
        <f>'Отчет о фин. рез до'!W21</f>
        <v>83791479891727.938</v>
      </c>
      <c r="Z19" s="238">
        <f>'Отчет о фин. рез до'!X21</f>
        <v>83891509314355.516</v>
      </c>
      <c r="AA19" s="238">
        <f>'Отчет о фин. рез до'!Y21</f>
        <v>83994193394394.219</v>
      </c>
      <c r="AB19" s="238">
        <f>'Отчет о фин. рез до'!Z21</f>
        <v>84099604910497.984</v>
      </c>
      <c r="AC19" s="238">
        <f>'Отчет о фин. рез до'!AA21</f>
        <v>84207818719103.594</v>
      </c>
      <c r="AD19" s="238">
        <f>'Отчет о фин. рез до'!AB21</f>
        <v>84318911815670.828</v>
      </c>
      <c r="AE19" s="238">
        <f>'Отчет о фин. рез до'!AC21</f>
        <v>84432963387770.594</v>
      </c>
      <c r="AF19" s="238">
        <f>'Отчет о фин. рез до'!AD21</f>
        <v>84550054910077.531</v>
      </c>
      <c r="AG19" s="238">
        <f>'Отчет о фин. рез до'!AE21</f>
        <v>84670270181325.641</v>
      </c>
      <c r="AH19" s="238">
        <f>'Отчет о фин. рез до'!AF21</f>
        <v>84793695403287.172</v>
      </c>
      <c r="AI19" s="238">
        <f>'Отчет о фин. рез до'!AG21</f>
        <v>84920419251836.828</v>
      </c>
      <c r="AJ19" s="238">
        <f>'Отчет о фин. рез до'!AH21</f>
        <v>85050532950165.469</v>
      </c>
      <c r="AK19" s="238">
        <f>'Отчет о фин. рез до'!AI21</f>
        <v>85184130344209.219</v>
      </c>
      <c r="AL19" s="238">
        <f>'Отчет о фин. рез до'!AJ21</f>
        <v>85321307980362.203</v>
      </c>
      <c r="AM19" s="238">
        <f>'Отчет о фин. рез до'!AK21</f>
        <v>85462165185542.953</v>
      </c>
      <c r="AN19" s="238">
        <f>'Отчет о фин. рез до'!AL21</f>
        <v>85606804149687.125</v>
      </c>
      <c r="AO19" s="238">
        <f>'Отчет о фин. рез до'!AM21</f>
        <v>85755330010740.859</v>
      </c>
      <c r="AP19" s="238">
        <f>'Отчет о фин. рез до'!AN21</f>
        <v>85907850942232.031</v>
      </c>
      <c r="AQ19" s="238">
        <f>'Отчет о фин. рез до'!AO21</f>
        <v>156627291266.52051</v>
      </c>
      <c r="AR19" s="238">
        <f>'Отчет о фин. рез до'!AP21</f>
        <v>317475470423.55518</v>
      </c>
      <c r="AS19" s="238">
        <f>'Отчет о фин. рез до'!AQ21</f>
        <v>482662370154.08807</v>
      </c>
      <c r="AT19" s="238">
        <f>'Отчет о фин. рез до'!AR21</f>
        <v>652309236409.73999</v>
      </c>
      <c r="AU19" s="238">
        <f>'Отчет о фин. рез до'!AS21</f>
        <v>826540830111.57178</v>
      </c>
      <c r="AV19" s="238">
        <f>'Отчет о фин. рез до'!AT21</f>
        <v>1005485531943.3517</v>
      </c>
      <c r="AW19" s="238">
        <f>'Отчет о фин. рез до'!AU21</f>
        <v>1189275450332.6504</v>
      </c>
      <c r="AX19" s="238">
        <f>'Отчет о фин. рез до'!AV21</f>
        <v>1378046532718.0955</v>
      </c>
      <c r="AY19" s="238">
        <f>'Отчет о фин. рез до'!AW21</f>
        <v>1571938680204.1812</v>
      </c>
      <c r="AZ19" s="238">
        <f>'Отчет о фин. рез до'!AX21</f>
        <v>1771095865708.1826</v>
      </c>
      <c r="BA19" s="238">
        <f>'Отчет о фин. рез до'!AY21</f>
        <v>1975666255706.9844</v>
      </c>
      <c r="BB19" s="238">
        <f>'Отчет о фин. рез до'!AZ21</f>
        <v>2185802335694.9888</v>
      </c>
      <c r="BC19" s="238">
        <f>'Отчет о фин. рез до'!BA21</f>
        <v>2401661029467.7344</v>
      </c>
      <c r="BD19" s="238">
        <f>'Отчет о фин. рез до'!BB21</f>
        <v>2623403862349.4282</v>
      </c>
      <c r="BE19" s="238">
        <f>'Отчет о фин. рез до'!BC21</f>
        <v>2851197068486.2749</v>
      </c>
      <c r="BF19" s="238">
        <f>'Отчет о фин. рез до'!BD21</f>
        <v>3085211742331.2959</v>
      </c>
      <c r="BG19" s="238">
        <f>'Отчет о фин. рез до'!BE21</f>
        <v>3325623984450.2363</v>
      </c>
      <c r="BH19" s="238">
        <f>'Отчет о фин. рез до'!BF21</f>
        <v>3572615051782.2129</v>
      </c>
      <c r="BI19" s="238">
        <f>'Отчет о фин. рез до'!BG21</f>
        <v>3826371512492.915</v>
      </c>
      <c r="BJ19" s="238">
        <f>'Отчет о фин. рез до'!BH21</f>
        <v>4087085405562.4761</v>
      </c>
      <c r="BK19" s="238">
        <f>'Отчет о фин. рез до'!BI21</f>
        <v>4354954405254.5635</v>
      </c>
      <c r="BL19" s="238">
        <f>'Отчет о фин. рез до'!BJ21</f>
        <v>4630181990617.8086</v>
      </c>
      <c r="BM19" s="238">
        <f>'Отчет о фин. рез до'!BK21</f>
        <v>4912977620175.4189</v>
      </c>
      <c r="BN19" s="238">
        <f>'Отчет о фин. рез до'!BL21</f>
        <v>5203556911963.6709</v>
      </c>
      <c r="BO19" s="238">
        <f>'Отчет о фин. рез до'!BM21</f>
        <v>5502141819085.0107</v>
      </c>
      <c r="BP19" s="238">
        <f>'Отчет о фин. рез до'!BN21</f>
        <v>5808960850946.6533</v>
      </c>
      <c r="BQ19" s="238">
        <f>'Отчет о фин. рез до'!BO21</f>
        <v>6124249240360.918</v>
      </c>
      <c r="BR19" s="238">
        <f>'Отчет о фин. рез до'!BP21</f>
        <v>6448249156689.0342</v>
      </c>
      <c r="BS19" s="238">
        <f>'Отчет о фин. рез до'!BQ21</f>
        <v>6781209915215.834</v>
      </c>
      <c r="BT19" s="238">
        <f>'Отчет о фин. рез до'!BR21</f>
        <v>7123388192948.6064</v>
      </c>
      <c r="BU19" s="238">
        <f>'Отчет о фин. рез до'!BS21</f>
        <v>7475048251039.416</v>
      </c>
      <c r="BV19" s="238">
        <f>'Отчет о фин. рез до'!BT21</f>
        <v>7836462164036.4365</v>
      </c>
      <c r="BW19" s="238">
        <f>'Отчет о фин. рез до'!BU21</f>
        <v>8207910056176.2578</v>
      </c>
      <c r="BX19" s="238">
        <f>'Отчет о фин. рез до'!BV21</f>
        <v>8589680344935.7588</v>
      </c>
      <c r="BY19" s="238">
        <f>'Отчет о фин. рез до'!BW21</f>
        <v>8982069992068.9746</v>
      </c>
      <c r="BZ19" s="238">
        <f>'Отчет о фин. рез до'!BX21</f>
        <v>9385384762361.4395</v>
      </c>
      <c r="CA19" s="238">
        <f>'Отчет о фин. рез до'!BY21</f>
        <v>9799939480341.7402</v>
      </c>
      <c r="CB19" s="238">
        <f>'Отчет о фин. рез до'!BZ21</f>
        <v>10226058335197.537</v>
      </c>
      <c r="CC19" s="238">
        <f>'Отчет о фин. рез до'!CA21</f>
        <v>10664075134151.043</v>
      </c>
      <c r="CD19" s="238">
        <f>'Отчет о фин. рез до'!CB21</f>
        <v>11114333604556.893</v>
      </c>
      <c r="CE19" s="238">
        <f>'Отчет о фин. рез до'!CC21</f>
        <v>11577187694993.631</v>
      </c>
      <c r="CF19" s="238">
        <f>'Отчет о фин. рез до'!CD21</f>
        <v>12053001885628.461</v>
      </c>
      <c r="CG19" s="238">
        <f>'Отчет о фин. рез до'!CE21</f>
        <v>12542151508143.711</v>
      </c>
      <c r="CH19" s="238">
        <f>'Отчет о фин. рез до'!CF21</f>
        <v>13045023075522.461</v>
      </c>
      <c r="CI19" s="238">
        <f>'Отчет о фин. рез до'!CG21</f>
        <v>13562014622000.125</v>
      </c>
      <c r="CJ19" s="238">
        <f>'Отчет о фин. рез до'!CH21</f>
        <v>14093536053498.348</v>
      </c>
      <c r="CK19" s="238">
        <f>'Отчет о фин. рез до'!CI21</f>
        <v>14640009508867.529</v>
      </c>
      <c r="CL19" s="238">
        <f>'Отчет о фин. рез до'!CJ21</f>
        <v>15201869732274.465</v>
      </c>
      <c r="CM19" s="238">
        <f>'Отчет о фин. рез до'!CK21</f>
        <v>15779564447082.168</v>
      </c>
      <c r="CN19" s="238">
        <f>'Отчет о фин. рез до'!CL21</f>
        <v>16373554781579.791</v>
      </c>
      <c r="CO19" s="238">
        <f>'Отчет о фин. рез до'!CM21</f>
        <v>16984315646931.791</v>
      </c>
      <c r="CP19" s="238">
        <f>'Отчет о фин. рез до'!CN21</f>
        <v>17612336167727.039</v>
      </c>
      <c r="CQ19" s="238">
        <f>'Отчет о фин. рез до'!CO21</f>
        <v>18258120115520.52</v>
      </c>
      <c r="CR19" s="238">
        <f>'Отчет о фин. рез до'!CP21</f>
        <v>18922186355772.555</v>
      </c>
      <c r="CS19" s="238">
        <f>'Отчет о фин. рез до'!CQ21</f>
        <v>19605069308603.215</v>
      </c>
      <c r="CT19" s="238">
        <f>'Отчет о фин. рез до'!CR21</f>
        <v>20307319423792.609</v>
      </c>
      <c r="CU19" s="238">
        <f>'Отчет о фин. рез до'!CS21</f>
        <v>21029503670471.348</v>
      </c>
      <c r="CV19" s="238">
        <f>'Отчет о фин. рез до'!CT21</f>
        <v>21772206041959.301</v>
      </c>
      <c r="CW19" s="238">
        <f>'Отчет о фин. рез до'!CU21</f>
        <v>22536028076225.219</v>
      </c>
      <c r="CX19" s="238">
        <f>'Отчет о фин. рез до'!CV21</f>
        <v>23321589392454.562</v>
      </c>
      <c r="CY19" s="238">
        <f>'Отчет о фин. рез до'!CW21</f>
        <v>24129528234228.199</v>
      </c>
      <c r="CZ19" s="238">
        <f>'Отчет о фин. рез до'!CX21</f>
        <v>24960502069830.367</v>
      </c>
      <c r="DA19" s="238">
        <f>'Отчет о фин. рез до'!CY21</f>
        <v>25815188150220.629</v>
      </c>
      <c r="DB19" s="238">
        <f>'Отчет о фин. рез до'!CZ21</f>
        <v>26694284125221.219</v>
      </c>
      <c r="DC19" s="238">
        <f>'Отчет о фин. рез до'!DA21</f>
        <v>27598508668488.605</v>
      </c>
      <c r="DD19" s="238">
        <f>'Отчет о фин. рез до'!DB21</f>
        <v>28528602121855.852</v>
      </c>
      <c r="DE19" s="238">
        <f>'Отчет о фин. рез до'!DC21</f>
        <v>29485327159650.812</v>
      </c>
      <c r="DF19" s="238">
        <f>'Отчет о фин. рез до'!DD21</f>
        <v>30469469473614.215</v>
      </c>
      <c r="DG19" s="238">
        <f>'Отчет о фин. рез до'!DE21</f>
        <v>31481838479061.199</v>
      </c>
      <c r="DH19" s="238">
        <f>'Отчет о фин. рез до'!DF21</f>
        <v>32523268042950.168</v>
      </c>
      <c r="DI19" s="238">
        <f>'Отчет о фин. рез до'!DG21</f>
        <v>33594617234543.613</v>
      </c>
      <c r="DJ19" s="238">
        <f>'Отчет о фин. рез до'!DH21</f>
        <v>34696771099367.07</v>
      </c>
      <c r="DK19" s="238">
        <f>'Отчет о фин. рез до'!DI21</f>
        <v>35830641447194.578</v>
      </c>
      <c r="DL19" s="238">
        <f>'Отчет о фин. рез до'!DJ21</f>
        <v>36997167704811.828</v>
      </c>
      <c r="DM19" s="238">
        <f>'Отчет о фин. рез до'!DK21</f>
        <v>38197317734331.859</v>
      </c>
      <c r="DN19" s="238">
        <f>'Отчет о фин. рез до'!DL21</f>
        <v>39432088717862.477</v>
      </c>
      <c r="DO19" s="238">
        <f>'Отчет о фин. рез до'!DM21</f>
        <v>40702508059349.578</v>
      </c>
      <c r="DP19" s="238">
        <f>'Отчет о фин. рез до'!DN21</f>
        <v>42009634314446.703</v>
      </c>
      <c r="DQ19" s="238">
        <f>'Отчет о фин. рез до'!DO21</f>
        <v>43354558149287.562</v>
      </c>
      <c r="DR19" s="238">
        <f>'Отчет о фин. рез до'!DP21</f>
        <v>44738403329066.055</v>
      </c>
      <c r="DS19" s="238">
        <f>'Отчет о фин. рез до'!DQ21</f>
        <v>46162327737356.672</v>
      </c>
      <c r="DT19" s="238">
        <f>'Отчет о фин. рез до'!DR21</f>
        <v>47627524427137.406</v>
      </c>
      <c r="DU19" s="238">
        <f>'Отчет о фин. рез до'!DS21</f>
        <v>49135222704507.656</v>
      </c>
      <c r="DV19" s="238">
        <f>'Отчет о фин. рез до'!DT21</f>
        <v>50686689246124.797</v>
      </c>
    </row>
    <row r="20" spans="1:126" ht="55">
      <c r="A20" s="239" t="s">
        <v>230</v>
      </c>
      <c r="B20" s="237" t="s">
        <v>231</v>
      </c>
      <c r="C20" s="237" t="s">
        <v>35</v>
      </c>
      <c r="D20" s="245">
        <f t="shared" si="10"/>
        <v>0</v>
      </c>
      <c r="E20" s="245">
        <f t="shared" si="11"/>
        <v>0</v>
      </c>
      <c r="F20" s="245">
        <f t="shared" si="12"/>
        <v>0</v>
      </c>
      <c r="G20" s="238">
        <v>0</v>
      </c>
      <c r="H20" s="238">
        <v>0</v>
      </c>
      <c r="I20" s="238">
        <v>0</v>
      </c>
      <c r="J20" s="238">
        <v>0</v>
      </c>
      <c r="K20" s="238">
        <v>0</v>
      </c>
      <c r="L20" s="238">
        <v>0</v>
      </c>
      <c r="M20" s="238">
        <v>0</v>
      </c>
      <c r="N20" s="238">
        <v>0</v>
      </c>
      <c r="O20" s="238">
        <v>0</v>
      </c>
      <c r="P20" s="238">
        <v>0</v>
      </c>
      <c r="Q20" s="238">
        <v>0</v>
      </c>
      <c r="R20" s="238">
        <v>0</v>
      </c>
      <c r="S20" s="238">
        <v>0</v>
      </c>
      <c r="T20" s="238">
        <v>0</v>
      </c>
      <c r="U20" s="238">
        <v>0</v>
      </c>
      <c r="V20" s="238">
        <v>0</v>
      </c>
      <c r="W20" s="238">
        <v>0</v>
      </c>
      <c r="X20" s="238">
        <v>0</v>
      </c>
      <c r="Y20" s="238">
        <v>0</v>
      </c>
      <c r="Z20" s="238">
        <v>0</v>
      </c>
      <c r="AA20" s="238">
        <v>0</v>
      </c>
      <c r="AB20" s="238">
        <v>0</v>
      </c>
      <c r="AC20" s="238">
        <v>0</v>
      </c>
      <c r="AD20" s="238">
        <v>0</v>
      </c>
      <c r="AE20" s="238">
        <v>0</v>
      </c>
      <c r="AF20" s="238">
        <v>0</v>
      </c>
      <c r="AG20" s="238">
        <v>0</v>
      </c>
      <c r="AH20" s="238">
        <v>0</v>
      </c>
      <c r="AI20" s="238">
        <v>0</v>
      </c>
      <c r="AJ20" s="238">
        <v>0</v>
      </c>
      <c r="AK20" s="238">
        <v>0</v>
      </c>
      <c r="AL20" s="238">
        <v>0</v>
      </c>
      <c r="AM20" s="238">
        <v>0</v>
      </c>
      <c r="AN20" s="238">
        <v>0</v>
      </c>
      <c r="AO20" s="238">
        <v>0</v>
      </c>
      <c r="AP20" s="238">
        <v>0</v>
      </c>
      <c r="AQ20" s="238">
        <v>0</v>
      </c>
      <c r="AR20" s="238">
        <v>0</v>
      </c>
      <c r="AS20" s="238">
        <v>0</v>
      </c>
      <c r="AT20" s="238">
        <v>0</v>
      </c>
      <c r="AU20" s="238">
        <v>0</v>
      </c>
      <c r="AV20" s="238">
        <v>0</v>
      </c>
      <c r="AW20" s="238">
        <v>0</v>
      </c>
      <c r="AX20" s="238">
        <v>0</v>
      </c>
      <c r="AY20" s="238">
        <v>0</v>
      </c>
      <c r="AZ20" s="238">
        <v>0</v>
      </c>
      <c r="BA20" s="238">
        <v>0</v>
      </c>
      <c r="BB20" s="238">
        <v>0</v>
      </c>
      <c r="BC20" s="238">
        <v>0</v>
      </c>
      <c r="BD20" s="238">
        <v>0</v>
      </c>
      <c r="BE20" s="238">
        <v>0</v>
      </c>
      <c r="BF20" s="238">
        <v>0</v>
      </c>
      <c r="BG20" s="238">
        <v>0</v>
      </c>
      <c r="BH20" s="238">
        <v>0</v>
      </c>
      <c r="BI20" s="238">
        <v>0</v>
      </c>
      <c r="BJ20" s="238">
        <v>0</v>
      </c>
      <c r="BK20" s="238">
        <v>0</v>
      </c>
      <c r="BL20" s="238">
        <v>0</v>
      </c>
      <c r="BM20" s="238">
        <v>0</v>
      </c>
      <c r="BN20" s="238">
        <v>0</v>
      </c>
      <c r="BO20" s="238">
        <v>0</v>
      </c>
      <c r="BP20" s="238">
        <v>0</v>
      </c>
      <c r="BQ20" s="238">
        <v>0</v>
      </c>
      <c r="BR20" s="238">
        <v>0</v>
      </c>
      <c r="BS20" s="238">
        <v>0</v>
      </c>
      <c r="BT20" s="238">
        <v>0</v>
      </c>
      <c r="BU20" s="238">
        <v>0</v>
      </c>
      <c r="BV20" s="238">
        <v>0</v>
      </c>
      <c r="BW20" s="238">
        <v>0</v>
      </c>
      <c r="BX20" s="238">
        <v>0</v>
      </c>
      <c r="BY20" s="238">
        <v>0</v>
      </c>
      <c r="BZ20" s="238">
        <v>0</v>
      </c>
      <c r="CA20" s="238">
        <v>0</v>
      </c>
      <c r="CB20" s="238">
        <v>0</v>
      </c>
      <c r="CC20" s="238">
        <v>0</v>
      </c>
      <c r="CD20" s="238">
        <v>0</v>
      </c>
      <c r="CE20" s="238">
        <v>0</v>
      </c>
      <c r="CF20" s="238">
        <v>0</v>
      </c>
      <c r="CG20" s="238">
        <v>0</v>
      </c>
      <c r="CH20" s="238">
        <v>0</v>
      </c>
      <c r="CI20" s="238">
        <v>0</v>
      </c>
      <c r="CJ20" s="238">
        <v>0</v>
      </c>
      <c r="CK20" s="238">
        <v>0</v>
      </c>
      <c r="CL20" s="238">
        <v>0</v>
      </c>
      <c r="CM20" s="238">
        <v>0</v>
      </c>
      <c r="CN20" s="238">
        <v>0</v>
      </c>
      <c r="CO20" s="238">
        <v>0</v>
      </c>
      <c r="CP20" s="238">
        <v>0</v>
      </c>
      <c r="CQ20" s="238">
        <v>0</v>
      </c>
      <c r="CR20" s="238">
        <v>0</v>
      </c>
      <c r="CS20" s="238">
        <v>0</v>
      </c>
      <c r="CT20" s="238">
        <v>0</v>
      </c>
      <c r="CU20" s="238">
        <v>0</v>
      </c>
      <c r="CV20" s="238">
        <v>0</v>
      </c>
      <c r="CW20" s="238">
        <v>0</v>
      </c>
      <c r="CX20" s="238">
        <v>0</v>
      </c>
      <c r="CY20" s="238">
        <v>0</v>
      </c>
      <c r="CZ20" s="238">
        <v>0</v>
      </c>
      <c r="DA20" s="238">
        <v>0</v>
      </c>
      <c r="DB20" s="238">
        <v>0</v>
      </c>
      <c r="DC20" s="238">
        <v>0</v>
      </c>
      <c r="DD20" s="238">
        <v>0</v>
      </c>
      <c r="DE20" s="238">
        <v>0</v>
      </c>
      <c r="DF20" s="238">
        <v>0</v>
      </c>
      <c r="DG20" s="238">
        <v>0</v>
      </c>
      <c r="DH20" s="238">
        <v>0</v>
      </c>
      <c r="DI20" s="238">
        <v>0</v>
      </c>
      <c r="DJ20" s="238">
        <v>0</v>
      </c>
      <c r="DK20" s="238">
        <v>0</v>
      </c>
      <c r="DL20" s="238">
        <v>0</v>
      </c>
      <c r="DM20" s="238">
        <v>0</v>
      </c>
      <c r="DN20" s="238">
        <v>0</v>
      </c>
      <c r="DO20" s="238">
        <v>0</v>
      </c>
      <c r="DP20" s="238">
        <v>0</v>
      </c>
      <c r="DQ20" s="238">
        <v>0</v>
      </c>
      <c r="DR20" s="238">
        <v>0</v>
      </c>
      <c r="DS20" s="238">
        <v>0</v>
      </c>
      <c r="DT20" s="238">
        <v>0</v>
      </c>
      <c r="DU20" s="238">
        <v>0</v>
      </c>
      <c r="DV20" s="238">
        <v>0</v>
      </c>
    </row>
    <row r="21" spans="1:126" ht="44">
      <c r="A21" s="239" t="s">
        <v>232</v>
      </c>
      <c r="B21" s="237" t="s">
        <v>233</v>
      </c>
      <c r="C21" s="237" t="s">
        <v>35</v>
      </c>
      <c r="D21" s="245">
        <f t="shared" si="10"/>
        <v>0</v>
      </c>
      <c r="E21" s="245">
        <f t="shared" si="11"/>
        <v>0</v>
      </c>
      <c r="F21" s="245">
        <f t="shared" si="12"/>
        <v>0</v>
      </c>
      <c r="G21" s="238">
        <f>G27</f>
        <v>0</v>
      </c>
      <c r="H21" s="238">
        <f t="shared" ref="H21:AP21" si="13">H27</f>
        <v>0</v>
      </c>
      <c r="I21" s="238">
        <f t="shared" si="13"/>
        <v>0</v>
      </c>
      <c r="J21" s="238">
        <f t="shared" si="13"/>
        <v>0</v>
      </c>
      <c r="K21" s="238">
        <f t="shared" si="13"/>
        <v>0</v>
      </c>
      <c r="L21" s="238">
        <f t="shared" si="13"/>
        <v>0</v>
      </c>
      <c r="M21" s="238">
        <f t="shared" si="13"/>
        <v>0</v>
      </c>
      <c r="N21" s="238">
        <f t="shared" si="13"/>
        <v>0</v>
      </c>
      <c r="O21" s="238">
        <f t="shared" si="13"/>
        <v>0</v>
      </c>
      <c r="P21" s="238">
        <f t="shared" si="13"/>
        <v>0</v>
      </c>
      <c r="Q21" s="238">
        <f t="shared" si="13"/>
        <v>0</v>
      </c>
      <c r="R21" s="238">
        <f t="shared" si="13"/>
        <v>0</v>
      </c>
      <c r="S21" s="238">
        <f t="shared" si="13"/>
        <v>0</v>
      </c>
      <c r="T21" s="238">
        <f t="shared" si="13"/>
        <v>0</v>
      </c>
      <c r="U21" s="238">
        <f t="shared" si="13"/>
        <v>0</v>
      </c>
      <c r="V21" s="238">
        <f t="shared" si="13"/>
        <v>0</v>
      </c>
      <c r="W21" s="238">
        <f t="shared" si="13"/>
        <v>0</v>
      </c>
      <c r="X21" s="238">
        <f t="shared" si="13"/>
        <v>0</v>
      </c>
      <c r="Y21" s="238">
        <f t="shared" si="13"/>
        <v>0</v>
      </c>
      <c r="Z21" s="238">
        <f t="shared" si="13"/>
        <v>0</v>
      </c>
      <c r="AA21" s="238">
        <f t="shared" si="13"/>
        <v>0</v>
      </c>
      <c r="AB21" s="238">
        <f t="shared" si="13"/>
        <v>0</v>
      </c>
      <c r="AC21" s="238">
        <f t="shared" si="13"/>
        <v>0</v>
      </c>
      <c r="AD21" s="238">
        <f t="shared" si="13"/>
        <v>0</v>
      </c>
      <c r="AE21" s="238">
        <f t="shared" si="13"/>
        <v>0</v>
      </c>
      <c r="AF21" s="238">
        <f t="shared" si="13"/>
        <v>0</v>
      </c>
      <c r="AG21" s="238">
        <f t="shared" si="13"/>
        <v>0</v>
      </c>
      <c r="AH21" s="238">
        <f t="shared" si="13"/>
        <v>0</v>
      </c>
      <c r="AI21" s="238">
        <f t="shared" si="13"/>
        <v>0</v>
      </c>
      <c r="AJ21" s="238">
        <f t="shared" si="13"/>
        <v>0</v>
      </c>
      <c r="AK21" s="238">
        <f t="shared" si="13"/>
        <v>0</v>
      </c>
      <c r="AL21" s="238">
        <f t="shared" si="13"/>
        <v>0</v>
      </c>
      <c r="AM21" s="238">
        <f t="shared" si="13"/>
        <v>0</v>
      </c>
      <c r="AN21" s="238">
        <f t="shared" si="13"/>
        <v>0</v>
      </c>
      <c r="AO21" s="238">
        <f t="shared" si="13"/>
        <v>0</v>
      </c>
      <c r="AP21" s="238">
        <f t="shared" si="13"/>
        <v>0</v>
      </c>
      <c r="AQ21" s="238">
        <f>AQ27</f>
        <v>10000</v>
      </c>
      <c r="AR21" s="238">
        <f t="shared" ref="AR21:BZ21" si="14">AR27</f>
        <v>10000</v>
      </c>
      <c r="AS21" s="238">
        <f t="shared" si="14"/>
        <v>10000</v>
      </c>
      <c r="AT21" s="238">
        <f t="shared" si="14"/>
        <v>10000</v>
      </c>
      <c r="AU21" s="238">
        <f t="shared" si="14"/>
        <v>10000</v>
      </c>
      <c r="AV21" s="238">
        <f t="shared" si="14"/>
        <v>10000</v>
      </c>
      <c r="AW21" s="238">
        <f t="shared" si="14"/>
        <v>10000</v>
      </c>
      <c r="AX21" s="238">
        <f t="shared" si="14"/>
        <v>10000</v>
      </c>
      <c r="AY21" s="238">
        <f t="shared" si="14"/>
        <v>10000</v>
      </c>
      <c r="AZ21" s="238">
        <f t="shared" si="14"/>
        <v>10000</v>
      </c>
      <c r="BA21" s="238">
        <f t="shared" si="14"/>
        <v>10000</v>
      </c>
      <c r="BB21" s="238">
        <f t="shared" si="14"/>
        <v>10000</v>
      </c>
      <c r="BC21" s="238">
        <f t="shared" si="14"/>
        <v>10000</v>
      </c>
      <c r="BD21" s="238">
        <f t="shared" si="14"/>
        <v>10000</v>
      </c>
      <c r="BE21" s="238">
        <f t="shared" si="14"/>
        <v>10000</v>
      </c>
      <c r="BF21" s="238">
        <f t="shared" si="14"/>
        <v>10000</v>
      </c>
      <c r="BG21" s="238">
        <f t="shared" si="14"/>
        <v>10000</v>
      </c>
      <c r="BH21" s="238">
        <f t="shared" si="14"/>
        <v>10000</v>
      </c>
      <c r="BI21" s="238">
        <f t="shared" si="14"/>
        <v>10000</v>
      </c>
      <c r="BJ21" s="238">
        <f t="shared" si="14"/>
        <v>10000</v>
      </c>
      <c r="BK21" s="238">
        <f t="shared" si="14"/>
        <v>10000</v>
      </c>
      <c r="BL21" s="238">
        <f t="shared" si="14"/>
        <v>10000</v>
      </c>
      <c r="BM21" s="238">
        <f t="shared" si="14"/>
        <v>10000</v>
      </c>
      <c r="BN21" s="238">
        <f t="shared" si="14"/>
        <v>10000</v>
      </c>
      <c r="BO21" s="238">
        <f t="shared" si="14"/>
        <v>10000</v>
      </c>
      <c r="BP21" s="238">
        <f t="shared" si="14"/>
        <v>10000</v>
      </c>
      <c r="BQ21" s="238">
        <f t="shared" si="14"/>
        <v>10000</v>
      </c>
      <c r="BR21" s="238">
        <f t="shared" si="14"/>
        <v>10000</v>
      </c>
      <c r="BS21" s="238">
        <f t="shared" si="14"/>
        <v>10000</v>
      </c>
      <c r="BT21" s="238">
        <f t="shared" si="14"/>
        <v>10000</v>
      </c>
      <c r="BU21" s="238">
        <f t="shared" si="14"/>
        <v>10000</v>
      </c>
      <c r="BV21" s="238">
        <f t="shared" si="14"/>
        <v>10000</v>
      </c>
      <c r="BW21" s="238">
        <f t="shared" si="14"/>
        <v>10000</v>
      </c>
      <c r="BX21" s="238">
        <f t="shared" si="14"/>
        <v>10000</v>
      </c>
      <c r="BY21" s="238">
        <f t="shared" si="14"/>
        <v>10000</v>
      </c>
      <c r="BZ21" s="238">
        <f t="shared" si="14"/>
        <v>10000</v>
      </c>
      <c r="CA21" s="238">
        <f>CA27</f>
        <v>10000</v>
      </c>
      <c r="CB21" s="238">
        <f t="shared" ref="CB21:DJ21" si="15">CB27</f>
        <v>10000</v>
      </c>
      <c r="CC21" s="238">
        <f t="shared" si="15"/>
        <v>10000</v>
      </c>
      <c r="CD21" s="238">
        <f t="shared" si="15"/>
        <v>10000</v>
      </c>
      <c r="CE21" s="238">
        <f t="shared" si="15"/>
        <v>10000</v>
      </c>
      <c r="CF21" s="238">
        <f t="shared" si="15"/>
        <v>10000</v>
      </c>
      <c r="CG21" s="238">
        <f t="shared" si="15"/>
        <v>10000</v>
      </c>
      <c r="CH21" s="238">
        <f t="shared" si="15"/>
        <v>10000</v>
      </c>
      <c r="CI21" s="238">
        <f t="shared" si="15"/>
        <v>10000</v>
      </c>
      <c r="CJ21" s="238">
        <f t="shared" si="15"/>
        <v>10000</v>
      </c>
      <c r="CK21" s="238">
        <f t="shared" si="15"/>
        <v>10000</v>
      </c>
      <c r="CL21" s="238">
        <f t="shared" si="15"/>
        <v>10000</v>
      </c>
      <c r="CM21" s="238">
        <f t="shared" si="15"/>
        <v>10000</v>
      </c>
      <c r="CN21" s="238">
        <f t="shared" si="15"/>
        <v>10000</v>
      </c>
      <c r="CO21" s="238">
        <f t="shared" si="15"/>
        <v>10000</v>
      </c>
      <c r="CP21" s="238">
        <f t="shared" si="15"/>
        <v>10000</v>
      </c>
      <c r="CQ21" s="238">
        <f t="shared" si="15"/>
        <v>10000</v>
      </c>
      <c r="CR21" s="238">
        <f t="shared" si="15"/>
        <v>10000</v>
      </c>
      <c r="CS21" s="238">
        <f t="shared" si="15"/>
        <v>10000</v>
      </c>
      <c r="CT21" s="238">
        <f t="shared" si="15"/>
        <v>10000</v>
      </c>
      <c r="CU21" s="238">
        <f t="shared" si="15"/>
        <v>10000</v>
      </c>
      <c r="CV21" s="238">
        <f t="shared" si="15"/>
        <v>10000</v>
      </c>
      <c r="CW21" s="238">
        <f t="shared" si="15"/>
        <v>10000</v>
      </c>
      <c r="CX21" s="238">
        <f t="shared" si="15"/>
        <v>10000</v>
      </c>
      <c r="CY21" s="238">
        <f t="shared" si="15"/>
        <v>10000</v>
      </c>
      <c r="CZ21" s="238">
        <f t="shared" si="15"/>
        <v>10000</v>
      </c>
      <c r="DA21" s="238">
        <f t="shared" si="15"/>
        <v>10000</v>
      </c>
      <c r="DB21" s="238">
        <f t="shared" si="15"/>
        <v>10000</v>
      </c>
      <c r="DC21" s="238">
        <f t="shared" si="15"/>
        <v>10000</v>
      </c>
      <c r="DD21" s="238">
        <f t="shared" si="15"/>
        <v>10000</v>
      </c>
      <c r="DE21" s="238">
        <f t="shared" si="15"/>
        <v>10000</v>
      </c>
      <c r="DF21" s="238">
        <f t="shared" si="15"/>
        <v>10000</v>
      </c>
      <c r="DG21" s="238">
        <f t="shared" si="15"/>
        <v>10000</v>
      </c>
      <c r="DH21" s="238">
        <f t="shared" si="15"/>
        <v>10000</v>
      </c>
      <c r="DI21" s="238">
        <f t="shared" si="15"/>
        <v>10000</v>
      </c>
      <c r="DJ21" s="238">
        <f t="shared" si="15"/>
        <v>10000</v>
      </c>
      <c r="DK21" s="238">
        <f>DK27</f>
        <v>10000</v>
      </c>
      <c r="DL21" s="238">
        <f t="shared" ref="DL21:DV21" si="16">DL27</f>
        <v>10000</v>
      </c>
      <c r="DM21" s="238">
        <f t="shared" si="16"/>
        <v>10000</v>
      </c>
      <c r="DN21" s="238">
        <f t="shared" si="16"/>
        <v>10000</v>
      </c>
      <c r="DO21" s="238">
        <f t="shared" si="16"/>
        <v>10000</v>
      </c>
      <c r="DP21" s="238">
        <f t="shared" si="16"/>
        <v>10000</v>
      </c>
      <c r="DQ21" s="238">
        <f t="shared" si="16"/>
        <v>10000</v>
      </c>
      <c r="DR21" s="238">
        <f t="shared" si="16"/>
        <v>10000</v>
      </c>
      <c r="DS21" s="238">
        <f t="shared" si="16"/>
        <v>10000</v>
      </c>
      <c r="DT21" s="238">
        <f t="shared" si="16"/>
        <v>10000</v>
      </c>
      <c r="DU21" s="238">
        <f t="shared" si="16"/>
        <v>10000</v>
      </c>
      <c r="DV21" s="238">
        <f t="shared" si="16"/>
        <v>10000</v>
      </c>
    </row>
    <row r="22" spans="1:126" ht="34">
      <c r="A22" s="236" t="s">
        <v>234</v>
      </c>
      <c r="B22" s="237" t="s">
        <v>235</v>
      </c>
      <c r="C22" s="237" t="s">
        <v>35</v>
      </c>
      <c r="D22" s="245">
        <f t="shared" si="10"/>
        <v>0</v>
      </c>
      <c r="E22" s="245">
        <f t="shared" si="11"/>
        <v>0</v>
      </c>
      <c r="F22" s="245">
        <f t="shared" si="12"/>
        <v>0</v>
      </c>
      <c r="G22" s="238">
        <v>0</v>
      </c>
      <c r="H22" s="238">
        <v>0</v>
      </c>
      <c r="I22" s="238">
        <v>0</v>
      </c>
      <c r="J22" s="238">
        <v>0</v>
      </c>
      <c r="K22" s="238">
        <v>0</v>
      </c>
      <c r="L22" s="238">
        <v>0</v>
      </c>
      <c r="M22" s="238">
        <v>0</v>
      </c>
      <c r="N22" s="238">
        <v>0</v>
      </c>
      <c r="O22" s="238">
        <v>0</v>
      </c>
      <c r="P22" s="238">
        <v>0</v>
      </c>
      <c r="Q22" s="238">
        <v>0</v>
      </c>
      <c r="R22" s="238">
        <v>0</v>
      </c>
      <c r="S22" s="238">
        <v>0</v>
      </c>
      <c r="T22" s="238">
        <v>0</v>
      </c>
      <c r="U22" s="238">
        <v>0</v>
      </c>
      <c r="V22" s="238">
        <v>0</v>
      </c>
      <c r="W22" s="238">
        <v>0</v>
      </c>
      <c r="X22" s="238">
        <v>0</v>
      </c>
      <c r="Y22" s="238">
        <v>0</v>
      </c>
      <c r="Z22" s="238">
        <v>0</v>
      </c>
      <c r="AA22" s="238">
        <v>0</v>
      </c>
      <c r="AB22" s="238">
        <v>0</v>
      </c>
      <c r="AC22" s="238">
        <v>0</v>
      </c>
      <c r="AD22" s="238">
        <v>0</v>
      </c>
      <c r="AE22" s="238">
        <v>0</v>
      </c>
      <c r="AF22" s="238">
        <v>0</v>
      </c>
      <c r="AG22" s="238">
        <v>0</v>
      </c>
      <c r="AH22" s="238">
        <v>0</v>
      </c>
      <c r="AI22" s="238">
        <v>0</v>
      </c>
      <c r="AJ22" s="238">
        <v>0</v>
      </c>
      <c r="AK22" s="238">
        <v>0</v>
      </c>
      <c r="AL22" s="238">
        <v>0</v>
      </c>
      <c r="AM22" s="238">
        <v>0</v>
      </c>
      <c r="AN22" s="238">
        <v>0</v>
      </c>
      <c r="AO22" s="238">
        <v>0</v>
      </c>
      <c r="AP22" s="238">
        <v>0</v>
      </c>
      <c r="AQ22" s="238">
        <v>0</v>
      </c>
      <c r="AR22" s="238">
        <v>0</v>
      </c>
      <c r="AS22" s="238">
        <v>0</v>
      </c>
      <c r="AT22" s="238">
        <v>0</v>
      </c>
      <c r="AU22" s="238">
        <v>0</v>
      </c>
      <c r="AV22" s="238">
        <v>0</v>
      </c>
      <c r="AW22" s="238">
        <v>0</v>
      </c>
      <c r="AX22" s="238">
        <v>0</v>
      </c>
      <c r="AY22" s="238">
        <v>0</v>
      </c>
      <c r="AZ22" s="238">
        <v>0</v>
      </c>
      <c r="BA22" s="238">
        <v>0</v>
      </c>
      <c r="BB22" s="238">
        <v>0</v>
      </c>
      <c r="BC22" s="238">
        <v>0</v>
      </c>
      <c r="BD22" s="238">
        <v>0</v>
      </c>
      <c r="BE22" s="238">
        <v>0</v>
      </c>
      <c r="BF22" s="238">
        <v>0</v>
      </c>
      <c r="BG22" s="238">
        <v>0</v>
      </c>
      <c r="BH22" s="238">
        <v>0</v>
      </c>
      <c r="BI22" s="238">
        <v>0</v>
      </c>
      <c r="BJ22" s="238">
        <v>0</v>
      </c>
      <c r="BK22" s="238">
        <v>0</v>
      </c>
      <c r="BL22" s="238">
        <v>0</v>
      </c>
      <c r="BM22" s="238">
        <v>0</v>
      </c>
      <c r="BN22" s="238">
        <v>0</v>
      </c>
      <c r="BO22" s="238">
        <v>0</v>
      </c>
      <c r="BP22" s="238">
        <v>0</v>
      </c>
      <c r="BQ22" s="238">
        <v>0</v>
      </c>
      <c r="BR22" s="238">
        <v>0</v>
      </c>
      <c r="BS22" s="238">
        <v>0</v>
      </c>
      <c r="BT22" s="238">
        <v>0</v>
      </c>
      <c r="BU22" s="238">
        <v>0</v>
      </c>
      <c r="BV22" s="238">
        <v>0</v>
      </c>
      <c r="BW22" s="238">
        <v>0</v>
      </c>
      <c r="BX22" s="238">
        <v>0</v>
      </c>
      <c r="BY22" s="238">
        <v>0</v>
      </c>
      <c r="BZ22" s="238">
        <v>0</v>
      </c>
      <c r="CA22" s="238">
        <v>0</v>
      </c>
      <c r="CB22" s="238">
        <v>0</v>
      </c>
      <c r="CC22" s="238">
        <v>0</v>
      </c>
      <c r="CD22" s="238">
        <v>0</v>
      </c>
      <c r="CE22" s="238">
        <v>0</v>
      </c>
      <c r="CF22" s="238">
        <v>0</v>
      </c>
      <c r="CG22" s="238">
        <v>0</v>
      </c>
      <c r="CH22" s="238">
        <v>0</v>
      </c>
      <c r="CI22" s="238">
        <v>0</v>
      </c>
      <c r="CJ22" s="238">
        <v>0</v>
      </c>
      <c r="CK22" s="238">
        <v>0</v>
      </c>
      <c r="CL22" s="238">
        <v>0</v>
      </c>
      <c r="CM22" s="238">
        <v>0</v>
      </c>
      <c r="CN22" s="238">
        <v>0</v>
      </c>
      <c r="CO22" s="238">
        <v>0</v>
      </c>
      <c r="CP22" s="238">
        <v>0</v>
      </c>
      <c r="CQ22" s="238">
        <v>0</v>
      </c>
      <c r="CR22" s="238">
        <v>0</v>
      </c>
      <c r="CS22" s="238">
        <v>0</v>
      </c>
      <c r="CT22" s="238">
        <v>0</v>
      </c>
      <c r="CU22" s="238">
        <v>0</v>
      </c>
      <c r="CV22" s="238">
        <v>0</v>
      </c>
      <c r="CW22" s="238">
        <v>0</v>
      </c>
      <c r="CX22" s="238">
        <v>0</v>
      </c>
      <c r="CY22" s="238">
        <v>0</v>
      </c>
      <c r="CZ22" s="238">
        <v>0</v>
      </c>
      <c r="DA22" s="238">
        <v>0</v>
      </c>
      <c r="DB22" s="238">
        <v>0</v>
      </c>
      <c r="DC22" s="238">
        <v>0</v>
      </c>
      <c r="DD22" s="238">
        <v>0</v>
      </c>
      <c r="DE22" s="238">
        <v>0</v>
      </c>
      <c r="DF22" s="238">
        <v>0</v>
      </c>
      <c r="DG22" s="238">
        <v>0</v>
      </c>
      <c r="DH22" s="238">
        <v>0</v>
      </c>
      <c r="DI22" s="238">
        <v>0</v>
      </c>
      <c r="DJ22" s="238">
        <v>0</v>
      </c>
      <c r="DK22" s="238">
        <v>0</v>
      </c>
      <c r="DL22" s="238">
        <v>0</v>
      </c>
      <c r="DM22" s="238">
        <v>0</v>
      </c>
      <c r="DN22" s="238">
        <v>0</v>
      </c>
      <c r="DO22" s="238">
        <v>0</v>
      </c>
      <c r="DP22" s="238">
        <v>0</v>
      </c>
      <c r="DQ22" s="238">
        <v>0</v>
      </c>
      <c r="DR22" s="238">
        <v>0</v>
      </c>
      <c r="DS22" s="238">
        <v>0</v>
      </c>
      <c r="DT22" s="238">
        <v>0</v>
      </c>
      <c r="DU22" s="238">
        <v>0</v>
      </c>
      <c r="DV22" s="238">
        <v>0</v>
      </c>
    </row>
    <row r="23" spans="1:126" ht="23">
      <c r="A23" s="241" t="s">
        <v>236</v>
      </c>
      <c r="B23" s="242" t="s">
        <v>237</v>
      </c>
      <c r="C23" s="242" t="s">
        <v>35</v>
      </c>
      <c r="D23" s="246">
        <f t="shared" si="10"/>
        <v>89738169514188.031</v>
      </c>
      <c r="E23" s="246">
        <f t="shared" si="11"/>
        <v>1005091766927766.8</v>
      </c>
      <c r="F23" s="246">
        <f t="shared" si="12"/>
        <v>1021655524697237.8</v>
      </c>
      <c r="G23" s="244">
        <f>SUM(G17:G22)</f>
        <v>91278535241.475464</v>
      </c>
      <c r="H23" s="244">
        <f t="shared" ref="H23:AP23" si="17">SUM(H17:H22)</f>
        <v>184923056488.27005</v>
      </c>
      <c r="I23" s="244">
        <f t="shared" si="17"/>
        <v>280997948965.24225</v>
      </c>
      <c r="J23" s="244">
        <f t="shared" si="17"/>
        <v>379569425107.79108</v>
      </c>
      <c r="K23" s="244">
        <f t="shared" si="17"/>
        <v>480705578174.07935</v>
      </c>
      <c r="L23" s="244">
        <f t="shared" si="17"/>
        <v>584476437469.71582</v>
      </c>
      <c r="M23" s="244">
        <f t="shared" si="17"/>
        <v>690954025234.24951</v>
      </c>
      <c r="N23" s="244">
        <f t="shared" si="17"/>
        <v>800212415240.35547</v>
      </c>
      <c r="O23" s="244">
        <f t="shared" si="17"/>
        <v>912327793158.17126</v>
      </c>
      <c r="P23" s="244">
        <f t="shared" si="17"/>
        <v>1027378518738.8657</v>
      </c>
      <c r="Q23" s="244">
        <f t="shared" si="17"/>
        <v>1145445189873.1992</v>
      </c>
      <c r="R23" s="244">
        <f t="shared" si="17"/>
        <v>83159900590496.625</v>
      </c>
      <c r="S23" s="244">
        <f t="shared" si="17"/>
        <v>83243222736049.953</v>
      </c>
      <c r="T23" s="244">
        <f t="shared" si="17"/>
        <v>83328743485575.562</v>
      </c>
      <c r="U23" s="244">
        <f t="shared" si="17"/>
        <v>83416522643892.609</v>
      </c>
      <c r="V23" s="244">
        <f t="shared" si="17"/>
        <v>83506621712245.625</v>
      </c>
      <c r="W23" s="244">
        <f t="shared" si="17"/>
        <v>83599103938059.906</v>
      </c>
      <c r="X23" s="244">
        <f t="shared" si="17"/>
        <v>83694034366193</v>
      </c>
      <c r="Y23" s="244">
        <f t="shared" si="17"/>
        <v>83791479891727.938</v>
      </c>
      <c r="Z23" s="244">
        <f t="shared" si="17"/>
        <v>83891509314355.516</v>
      </c>
      <c r="AA23" s="244">
        <f t="shared" si="17"/>
        <v>83994193394394.219</v>
      </c>
      <c r="AB23" s="244">
        <f t="shared" si="17"/>
        <v>84099604910497.984</v>
      </c>
      <c r="AC23" s="244">
        <f t="shared" si="17"/>
        <v>84207818719103.594</v>
      </c>
      <c r="AD23" s="244">
        <f t="shared" si="17"/>
        <v>84318911815670.828</v>
      </c>
      <c r="AE23" s="244">
        <f t="shared" si="17"/>
        <v>84432963387770.594</v>
      </c>
      <c r="AF23" s="244">
        <f t="shared" si="17"/>
        <v>84550054910077.531</v>
      </c>
      <c r="AG23" s="244">
        <f t="shared" si="17"/>
        <v>84670270181325.641</v>
      </c>
      <c r="AH23" s="244">
        <f t="shared" si="17"/>
        <v>84793695403287.172</v>
      </c>
      <c r="AI23" s="244">
        <f t="shared" si="17"/>
        <v>84920419251836.828</v>
      </c>
      <c r="AJ23" s="244">
        <f t="shared" si="17"/>
        <v>85050532950165.469</v>
      </c>
      <c r="AK23" s="244">
        <f t="shared" si="17"/>
        <v>85184130344209.219</v>
      </c>
      <c r="AL23" s="244">
        <f t="shared" si="17"/>
        <v>85321307980362.203</v>
      </c>
      <c r="AM23" s="244">
        <f t="shared" si="17"/>
        <v>85462165185542.953</v>
      </c>
      <c r="AN23" s="244">
        <f t="shared" si="17"/>
        <v>85606804149687.125</v>
      </c>
      <c r="AO23" s="244">
        <f t="shared" si="17"/>
        <v>85755330010740.859</v>
      </c>
      <c r="AP23" s="244">
        <f t="shared" si="17"/>
        <v>85907850942232.031</v>
      </c>
      <c r="AQ23" s="244">
        <f>SUM(AQ17:AQ22)</f>
        <v>156627301266.52051</v>
      </c>
      <c r="AR23" s="244">
        <f t="shared" ref="AR23:BZ23" si="18">SUM(AR17:AR22)</f>
        <v>317475480423.55518</v>
      </c>
      <c r="AS23" s="244">
        <f t="shared" si="18"/>
        <v>482662380154.08807</v>
      </c>
      <c r="AT23" s="244">
        <f t="shared" si="18"/>
        <v>652309246409.73999</v>
      </c>
      <c r="AU23" s="244">
        <f t="shared" si="18"/>
        <v>826540840111.57178</v>
      </c>
      <c r="AV23" s="244">
        <f t="shared" si="18"/>
        <v>1005485541943.3517</v>
      </c>
      <c r="AW23" s="244">
        <f t="shared" si="18"/>
        <v>1189275460332.6504</v>
      </c>
      <c r="AX23" s="244">
        <f t="shared" si="18"/>
        <v>1378046542718.0955</v>
      </c>
      <c r="AY23" s="244">
        <f t="shared" si="18"/>
        <v>1571938690204.1812</v>
      </c>
      <c r="AZ23" s="244">
        <f t="shared" si="18"/>
        <v>1771095875708.1826</v>
      </c>
      <c r="BA23" s="244">
        <f t="shared" si="18"/>
        <v>1975666265706.9844</v>
      </c>
      <c r="BB23" s="244">
        <f t="shared" si="18"/>
        <v>2185802345694.9888</v>
      </c>
      <c r="BC23" s="244">
        <f t="shared" si="18"/>
        <v>2401661039467.7344</v>
      </c>
      <c r="BD23" s="244">
        <f t="shared" si="18"/>
        <v>2623403872349.4282</v>
      </c>
      <c r="BE23" s="244">
        <f t="shared" si="18"/>
        <v>2851197078486.2749</v>
      </c>
      <c r="BF23" s="244">
        <f t="shared" si="18"/>
        <v>3085211752331.2959</v>
      </c>
      <c r="BG23" s="244">
        <f t="shared" si="18"/>
        <v>3325623994450.2363</v>
      </c>
      <c r="BH23" s="244">
        <f t="shared" si="18"/>
        <v>3572615061782.2129</v>
      </c>
      <c r="BI23" s="244">
        <f t="shared" si="18"/>
        <v>3826371522492.915</v>
      </c>
      <c r="BJ23" s="244">
        <f t="shared" si="18"/>
        <v>4087085415562.4761</v>
      </c>
      <c r="BK23" s="244">
        <f t="shared" si="18"/>
        <v>4354954415254.5635</v>
      </c>
      <c r="BL23" s="244">
        <f t="shared" si="18"/>
        <v>4630182000617.8086</v>
      </c>
      <c r="BM23" s="244">
        <f t="shared" si="18"/>
        <v>4912977630175.4189</v>
      </c>
      <c r="BN23" s="244">
        <f t="shared" si="18"/>
        <v>5203556921963.6709</v>
      </c>
      <c r="BO23" s="244">
        <f t="shared" si="18"/>
        <v>5502141829085.0107</v>
      </c>
      <c r="BP23" s="244">
        <f t="shared" si="18"/>
        <v>5808960860946.6533</v>
      </c>
      <c r="BQ23" s="244">
        <f t="shared" si="18"/>
        <v>6124249250360.918</v>
      </c>
      <c r="BR23" s="244">
        <f t="shared" si="18"/>
        <v>6448249166689.0342</v>
      </c>
      <c r="BS23" s="244">
        <f t="shared" si="18"/>
        <v>6781209925215.834</v>
      </c>
      <c r="BT23" s="244">
        <f t="shared" si="18"/>
        <v>7123388202948.6064</v>
      </c>
      <c r="BU23" s="244">
        <f t="shared" si="18"/>
        <v>7475048261039.416</v>
      </c>
      <c r="BV23" s="244">
        <f t="shared" si="18"/>
        <v>7836462174036.4365</v>
      </c>
      <c r="BW23" s="244">
        <f t="shared" si="18"/>
        <v>8207910066176.2578</v>
      </c>
      <c r="BX23" s="244">
        <f t="shared" si="18"/>
        <v>8589680354935.7588</v>
      </c>
      <c r="BY23" s="244">
        <f t="shared" si="18"/>
        <v>8982070002068.9746</v>
      </c>
      <c r="BZ23" s="244">
        <f t="shared" si="18"/>
        <v>9385384772361.4395</v>
      </c>
      <c r="CA23" s="244">
        <f>SUM(CA17:CA22)</f>
        <v>9799939490341.7402</v>
      </c>
      <c r="CB23" s="244">
        <f t="shared" ref="CB23:DJ23" si="19">SUM(CB17:CB22)</f>
        <v>10226058345197.537</v>
      </c>
      <c r="CC23" s="244">
        <f t="shared" si="19"/>
        <v>10664075144151.043</v>
      </c>
      <c r="CD23" s="244">
        <f t="shared" si="19"/>
        <v>11114333614556.893</v>
      </c>
      <c r="CE23" s="244">
        <f t="shared" si="19"/>
        <v>11577187704993.631</v>
      </c>
      <c r="CF23" s="244">
        <f t="shared" si="19"/>
        <v>12053001895628.461</v>
      </c>
      <c r="CG23" s="244">
        <f t="shared" si="19"/>
        <v>12542151518143.711</v>
      </c>
      <c r="CH23" s="244">
        <f t="shared" si="19"/>
        <v>13045023085522.461</v>
      </c>
      <c r="CI23" s="244">
        <f t="shared" si="19"/>
        <v>13562014632000.125</v>
      </c>
      <c r="CJ23" s="244">
        <f t="shared" si="19"/>
        <v>14093536063498.348</v>
      </c>
      <c r="CK23" s="244">
        <f t="shared" si="19"/>
        <v>14640009518867.529</v>
      </c>
      <c r="CL23" s="244">
        <f t="shared" si="19"/>
        <v>15201869742274.465</v>
      </c>
      <c r="CM23" s="244">
        <f t="shared" si="19"/>
        <v>15779564457082.168</v>
      </c>
      <c r="CN23" s="244">
        <f t="shared" si="19"/>
        <v>16373554791579.791</v>
      </c>
      <c r="CO23" s="244">
        <f t="shared" si="19"/>
        <v>16984315656931.791</v>
      </c>
      <c r="CP23" s="244">
        <f t="shared" si="19"/>
        <v>17612336177727.039</v>
      </c>
      <c r="CQ23" s="244">
        <f t="shared" si="19"/>
        <v>18258120125520.52</v>
      </c>
      <c r="CR23" s="244">
        <f t="shared" si="19"/>
        <v>18922186365772.555</v>
      </c>
      <c r="CS23" s="244">
        <f t="shared" si="19"/>
        <v>19605069318603.215</v>
      </c>
      <c r="CT23" s="244">
        <f t="shared" si="19"/>
        <v>20307319433792.609</v>
      </c>
      <c r="CU23" s="244">
        <f t="shared" si="19"/>
        <v>21029503680471.348</v>
      </c>
      <c r="CV23" s="244">
        <f t="shared" si="19"/>
        <v>21772206051959.301</v>
      </c>
      <c r="CW23" s="244">
        <f t="shared" si="19"/>
        <v>22536028086225.219</v>
      </c>
      <c r="CX23" s="244">
        <f t="shared" si="19"/>
        <v>23321589402454.562</v>
      </c>
      <c r="CY23" s="244">
        <f t="shared" si="19"/>
        <v>24129528244228.199</v>
      </c>
      <c r="CZ23" s="244">
        <f t="shared" si="19"/>
        <v>24960502079830.367</v>
      </c>
      <c r="DA23" s="244">
        <f t="shared" si="19"/>
        <v>25815188160220.629</v>
      </c>
      <c r="DB23" s="244">
        <f t="shared" si="19"/>
        <v>26694284135221.219</v>
      </c>
      <c r="DC23" s="244">
        <f t="shared" si="19"/>
        <v>27598508678488.605</v>
      </c>
      <c r="DD23" s="244">
        <f t="shared" si="19"/>
        <v>28528602131855.852</v>
      </c>
      <c r="DE23" s="244">
        <f t="shared" si="19"/>
        <v>29485327169650.812</v>
      </c>
      <c r="DF23" s="244">
        <f t="shared" si="19"/>
        <v>30469469483614.215</v>
      </c>
      <c r="DG23" s="244">
        <f t="shared" si="19"/>
        <v>31481838489061.199</v>
      </c>
      <c r="DH23" s="244">
        <f t="shared" si="19"/>
        <v>32523268052950.168</v>
      </c>
      <c r="DI23" s="244">
        <f t="shared" si="19"/>
        <v>33594617244543.613</v>
      </c>
      <c r="DJ23" s="244">
        <f t="shared" si="19"/>
        <v>34696771109367.07</v>
      </c>
      <c r="DK23" s="244">
        <f>SUM(DK17:DK22)</f>
        <v>35830641457194.578</v>
      </c>
      <c r="DL23" s="244">
        <f t="shared" ref="DL23:DV23" si="20">SUM(DL17:DL22)</f>
        <v>36997167714811.828</v>
      </c>
      <c r="DM23" s="244">
        <f t="shared" si="20"/>
        <v>38197317744331.859</v>
      </c>
      <c r="DN23" s="244">
        <f t="shared" si="20"/>
        <v>39432088727862.477</v>
      </c>
      <c r="DO23" s="244">
        <f t="shared" si="20"/>
        <v>40702508069349.578</v>
      </c>
      <c r="DP23" s="244">
        <f t="shared" si="20"/>
        <v>42009634324446.703</v>
      </c>
      <c r="DQ23" s="244">
        <f t="shared" si="20"/>
        <v>43354558159287.562</v>
      </c>
      <c r="DR23" s="244">
        <f t="shared" si="20"/>
        <v>44738403339066.055</v>
      </c>
      <c r="DS23" s="244">
        <f t="shared" si="20"/>
        <v>46162327747356.672</v>
      </c>
      <c r="DT23" s="244">
        <f t="shared" si="20"/>
        <v>47627524437137.406</v>
      </c>
      <c r="DU23" s="244">
        <f t="shared" si="20"/>
        <v>49135222714507.656</v>
      </c>
      <c r="DV23" s="244">
        <f t="shared" si="20"/>
        <v>50686689256124.797</v>
      </c>
    </row>
    <row r="24" spans="1:126">
      <c r="A24" s="247" t="s">
        <v>238</v>
      </c>
      <c r="B24" s="248" t="s">
        <v>239</v>
      </c>
      <c r="C24" s="248" t="s">
        <v>35</v>
      </c>
      <c r="D24" s="249">
        <f>D15+D23</f>
        <v>125258169514188.03</v>
      </c>
      <c r="E24" s="249">
        <f>E15+E23</f>
        <v>1040611766927766.8</v>
      </c>
      <c r="F24" s="249">
        <f>F15+F23</f>
        <v>1057175524697237.8</v>
      </c>
      <c r="G24" s="250">
        <f>G15+G23</f>
        <v>3051278535241.4756</v>
      </c>
      <c r="H24" s="250">
        <f t="shared" ref="H24:AP24" si="21">H15+H23</f>
        <v>3144923056488.27</v>
      </c>
      <c r="I24" s="250">
        <f t="shared" si="21"/>
        <v>3240997948965.2422</v>
      </c>
      <c r="J24" s="250">
        <f>J15+J23</f>
        <v>3339569425107.791</v>
      </c>
      <c r="K24" s="250">
        <f t="shared" si="21"/>
        <v>3440705578174.0791</v>
      </c>
      <c r="L24" s="250">
        <f t="shared" si="21"/>
        <v>3544476437469.7158</v>
      </c>
      <c r="M24" s="250">
        <f t="shared" si="21"/>
        <v>3650954025234.2495</v>
      </c>
      <c r="N24" s="250">
        <f t="shared" si="21"/>
        <v>3760212415240.3555</v>
      </c>
      <c r="O24" s="250">
        <f t="shared" si="21"/>
        <v>3872327793158.1714</v>
      </c>
      <c r="P24" s="250">
        <f t="shared" si="21"/>
        <v>3987378518738.8657</v>
      </c>
      <c r="Q24" s="250">
        <f t="shared" si="21"/>
        <v>4105445189873.1992</v>
      </c>
      <c r="R24" s="250">
        <f t="shared" si="21"/>
        <v>86119900590496.625</v>
      </c>
      <c r="S24" s="250">
        <f t="shared" si="21"/>
        <v>86203222736049.953</v>
      </c>
      <c r="T24" s="250">
        <f t="shared" si="21"/>
        <v>86288743485575.562</v>
      </c>
      <c r="U24" s="250">
        <f t="shared" si="21"/>
        <v>86376522643892.609</v>
      </c>
      <c r="V24" s="250">
        <f t="shared" si="21"/>
        <v>86466621712245.625</v>
      </c>
      <c r="W24" s="250">
        <f>W15+W23</f>
        <v>86559103938059.906</v>
      </c>
      <c r="X24" s="250">
        <f t="shared" si="21"/>
        <v>86654034366193</v>
      </c>
      <c r="Y24" s="250">
        <f t="shared" si="21"/>
        <v>86751479891727.938</v>
      </c>
      <c r="Z24" s="250">
        <f t="shared" si="21"/>
        <v>86851509314355.516</v>
      </c>
      <c r="AA24" s="250">
        <f t="shared" si="21"/>
        <v>86954193394394.219</v>
      </c>
      <c r="AB24" s="250">
        <f t="shared" si="21"/>
        <v>87059604910497.984</v>
      </c>
      <c r="AC24" s="250">
        <f t="shared" si="21"/>
        <v>87167818719103.594</v>
      </c>
      <c r="AD24" s="250">
        <f t="shared" si="21"/>
        <v>87278911815670.828</v>
      </c>
      <c r="AE24" s="250">
        <f t="shared" si="21"/>
        <v>87392963387770.594</v>
      </c>
      <c r="AF24" s="250">
        <f t="shared" si="21"/>
        <v>87510054910077.531</v>
      </c>
      <c r="AG24" s="250">
        <f t="shared" si="21"/>
        <v>87630270181325.641</v>
      </c>
      <c r="AH24" s="250">
        <f t="shared" si="21"/>
        <v>87753695403287.172</v>
      </c>
      <c r="AI24" s="250">
        <f t="shared" si="21"/>
        <v>87880419251836.828</v>
      </c>
      <c r="AJ24" s="250">
        <f t="shared" si="21"/>
        <v>88010532950165.469</v>
      </c>
      <c r="AK24" s="250">
        <f t="shared" si="21"/>
        <v>88144130344209.219</v>
      </c>
      <c r="AL24" s="250">
        <f t="shared" si="21"/>
        <v>88281307980362.203</v>
      </c>
      <c r="AM24" s="250">
        <f t="shared" si="21"/>
        <v>88422165185542.953</v>
      </c>
      <c r="AN24" s="250">
        <f t="shared" si="21"/>
        <v>88566804149687.125</v>
      </c>
      <c r="AO24" s="250">
        <f t="shared" si="21"/>
        <v>88715330010740.859</v>
      </c>
      <c r="AP24" s="250">
        <f t="shared" si="21"/>
        <v>88867850942232.031</v>
      </c>
      <c r="AQ24" s="250">
        <f>AQ15+AQ23</f>
        <v>3116627301266.5205</v>
      </c>
      <c r="AR24" s="250">
        <f t="shared" ref="AR24:AS24" si="22">AR15+AR23</f>
        <v>3277475480423.5552</v>
      </c>
      <c r="AS24" s="250">
        <f t="shared" si="22"/>
        <v>3442662380154.0879</v>
      </c>
      <c r="AT24" s="250">
        <f>AT15+AT23</f>
        <v>3612309246409.7402</v>
      </c>
      <c r="AU24" s="250">
        <f t="shared" ref="AU24:BF24" si="23">AU15+AU23</f>
        <v>3786540840111.5718</v>
      </c>
      <c r="AV24" s="250">
        <f t="shared" si="23"/>
        <v>3965485541943.3516</v>
      </c>
      <c r="AW24" s="250">
        <f t="shared" si="23"/>
        <v>4149275460332.6504</v>
      </c>
      <c r="AX24" s="250">
        <f t="shared" si="23"/>
        <v>4338046542718.0957</v>
      </c>
      <c r="AY24" s="250">
        <f t="shared" si="23"/>
        <v>4531938690204.1816</v>
      </c>
      <c r="AZ24" s="250">
        <f t="shared" si="23"/>
        <v>4731095875708.1826</v>
      </c>
      <c r="BA24" s="250">
        <f t="shared" si="23"/>
        <v>4935666265706.9844</v>
      </c>
      <c r="BB24" s="250">
        <f t="shared" si="23"/>
        <v>5145802345694.9883</v>
      </c>
      <c r="BC24" s="250">
        <f t="shared" si="23"/>
        <v>5361661039467.7344</v>
      </c>
      <c r="BD24" s="250">
        <f t="shared" si="23"/>
        <v>5583403872349.4277</v>
      </c>
      <c r="BE24" s="250">
        <f t="shared" si="23"/>
        <v>5811197078486.2754</v>
      </c>
      <c r="BF24" s="250">
        <f t="shared" si="23"/>
        <v>6045211752331.2959</v>
      </c>
      <c r="BG24" s="250">
        <f>BG15+BG23</f>
        <v>6285623994450.2363</v>
      </c>
      <c r="BH24" s="250">
        <f t="shared" ref="BH24:BZ24" si="24">BH15+BH23</f>
        <v>6532615061782.2129</v>
      </c>
      <c r="BI24" s="250">
        <f t="shared" si="24"/>
        <v>6786371522492.915</v>
      </c>
      <c r="BJ24" s="250">
        <f t="shared" si="24"/>
        <v>7047085415562.4766</v>
      </c>
      <c r="BK24" s="250">
        <f t="shared" si="24"/>
        <v>7314954415254.5635</v>
      </c>
      <c r="BL24" s="250">
        <f t="shared" si="24"/>
        <v>7590182000617.8086</v>
      </c>
      <c r="BM24" s="250">
        <f t="shared" si="24"/>
        <v>7872977630175.4189</v>
      </c>
      <c r="BN24" s="250">
        <f t="shared" si="24"/>
        <v>8163556921963.6709</v>
      </c>
      <c r="BO24" s="250">
        <f t="shared" si="24"/>
        <v>8462141829085.0107</v>
      </c>
      <c r="BP24" s="250">
        <f t="shared" si="24"/>
        <v>8768960860946.6533</v>
      </c>
      <c r="BQ24" s="250">
        <f t="shared" si="24"/>
        <v>9084249250360.918</v>
      </c>
      <c r="BR24" s="250">
        <f t="shared" si="24"/>
        <v>9408249166689.0352</v>
      </c>
      <c r="BS24" s="250">
        <f t="shared" si="24"/>
        <v>9741209925215.834</v>
      </c>
      <c r="BT24" s="250">
        <f t="shared" si="24"/>
        <v>10083388202948.605</v>
      </c>
      <c r="BU24" s="250">
        <f t="shared" si="24"/>
        <v>10435048261039.416</v>
      </c>
      <c r="BV24" s="250">
        <f t="shared" si="24"/>
        <v>10796462174036.438</v>
      </c>
      <c r="BW24" s="250">
        <f t="shared" si="24"/>
        <v>11167910066176.258</v>
      </c>
      <c r="BX24" s="250">
        <f t="shared" si="24"/>
        <v>11549680354935.758</v>
      </c>
      <c r="BY24" s="250">
        <f t="shared" si="24"/>
        <v>11942070002068.975</v>
      </c>
      <c r="BZ24" s="250">
        <f t="shared" si="24"/>
        <v>12345384772361.439</v>
      </c>
      <c r="CA24" s="250">
        <f>CA15+CA23</f>
        <v>12759939490341.74</v>
      </c>
      <c r="CB24" s="250">
        <f t="shared" ref="CB24:CC24" si="25">CB15+CB23</f>
        <v>13186058345197.537</v>
      </c>
      <c r="CC24" s="250">
        <f t="shared" si="25"/>
        <v>13624075144151.043</v>
      </c>
      <c r="CD24" s="250">
        <f>CD15+CD23</f>
        <v>14074333614556.893</v>
      </c>
      <c r="CE24" s="250">
        <f t="shared" ref="CE24:CP24" si="26">CE15+CE23</f>
        <v>14537187704993.631</v>
      </c>
      <c r="CF24" s="250">
        <f t="shared" si="26"/>
        <v>15013001895628.461</v>
      </c>
      <c r="CG24" s="250">
        <f t="shared" si="26"/>
        <v>15502151518143.711</v>
      </c>
      <c r="CH24" s="250">
        <f t="shared" si="26"/>
        <v>16005023085522.461</v>
      </c>
      <c r="CI24" s="250">
        <f t="shared" si="26"/>
        <v>16522014632000.125</v>
      </c>
      <c r="CJ24" s="250">
        <f t="shared" si="26"/>
        <v>17053536063498.348</v>
      </c>
      <c r="CK24" s="250">
        <f t="shared" si="26"/>
        <v>17600009518867.531</v>
      </c>
      <c r="CL24" s="250">
        <f t="shared" si="26"/>
        <v>18161869742274.465</v>
      </c>
      <c r="CM24" s="250">
        <f t="shared" si="26"/>
        <v>18739564457082.168</v>
      </c>
      <c r="CN24" s="250">
        <f t="shared" si="26"/>
        <v>19333554791579.789</v>
      </c>
      <c r="CO24" s="250">
        <f t="shared" si="26"/>
        <v>19944315656931.789</v>
      </c>
      <c r="CP24" s="250">
        <f t="shared" si="26"/>
        <v>20572336177727.039</v>
      </c>
      <c r="CQ24" s="250">
        <f>CQ15+CQ23</f>
        <v>21218120125520.52</v>
      </c>
      <c r="CR24" s="250">
        <f t="shared" ref="CR24:DJ24" si="27">CR15+CR23</f>
        <v>21882186365772.555</v>
      </c>
      <c r="CS24" s="250">
        <f t="shared" si="27"/>
        <v>22565069318603.215</v>
      </c>
      <c r="CT24" s="250">
        <f t="shared" si="27"/>
        <v>23267319433792.609</v>
      </c>
      <c r="CU24" s="250">
        <f t="shared" si="27"/>
        <v>23989503680471.348</v>
      </c>
      <c r="CV24" s="250">
        <f t="shared" si="27"/>
        <v>24732206051959.301</v>
      </c>
      <c r="CW24" s="250">
        <f t="shared" si="27"/>
        <v>25496028086225.219</v>
      </c>
      <c r="CX24" s="250">
        <f t="shared" si="27"/>
        <v>26281589402454.562</v>
      </c>
      <c r="CY24" s="250">
        <f t="shared" si="27"/>
        <v>27089528244228.199</v>
      </c>
      <c r="CZ24" s="250">
        <f t="shared" si="27"/>
        <v>27920502079830.367</v>
      </c>
      <c r="DA24" s="250">
        <f t="shared" si="27"/>
        <v>28775188160220.629</v>
      </c>
      <c r="DB24" s="250">
        <f t="shared" si="27"/>
        <v>29654284135221.219</v>
      </c>
      <c r="DC24" s="250">
        <f t="shared" si="27"/>
        <v>30558508678488.605</v>
      </c>
      <c r="DD24" s="250">
        <f t="shared" si="27"/>
        <v>31488602131855.852</v>
      </c>
      <c r="DE24" s="250">
        <f t="shared" si="27"/>
        <v>32445327169650.812</v>
      </c>
      <c r="DF24" s="250">
        <f t="shared" si="27"/>
        <v>33429469483614.215</v>
      </c>
      <c r="DG24" s="250">
        <f t="shared" si="27"/>
        <v>34441838489061.199</v>
      </c>
      <c r="DH24" s="250">
        <f t="shared" si="27"/>
        <v>35483268052950.172</v>
      </c>
      <c r="DI24" s="250">
        <f t="shared" si="27"/>
        <v>36554617244543.609</v>
      </c>
      <c r="DJ24" s="250">
        <f t="shared" si="27"/>
        <v>37656771109367.07</v>
      </c>
      <c r="DK24" s="250">
        <f>DK15+DK23</f>
        <v>38790641457194.578</v>
      </c>
      <c r="DL24" s="250">
        <f t="shared" ref="DL24:DM24" si="28">DL15+DL23</f>
        <v>39957167714811.828</v>
      </c>
      <c r="DM24" s="250">
        <f t="shared" si="28"/>
        <v>41157317744331.859</v>
      </c>
      <c r="DN24" s="250">
        <f>DN15+DN23</f>
        <v>42392088727862.477</v>
      </c>
      <c r="DO24" s="250">
        <f t="shared" ref="DO24:DV24" si="29">DO15+DO23</f>
        <v>43662508069349.578</v>
      </c>
      <c r="DP24" s="250">
        <f t="shared" si="29"/>
        <v>44969634324446.703</v>
      </c>
      <c r="DQ24" s="250">
        <f t="shared" si="29"/>
        <v>46314558159287.562</v>
      </c>
      <c r="DR24" s="250">
        <f t="shared" si="29"/>
        <v>47698403339066.055</v>
      </c>
      <c r="DS24" s="250">
        <f t="shared" si="29"/>
        <v>49122327747356.672</v>
      </c>
      <c r="DT24" s="250">
        <f t="shared" si="29"/>
        <v>50587524437137.406</v>
      </c>
      <c r="DU24" s="250">
        <f t="shared" si="29"/>
        <v>52095222714507.656</v>
      </c>
      <c r="DV24" s="250">
        <f t="shared" si="29"/>
        <v>53646689256124.797</v>
      </c>
    </row>
    <row r="25" spans="1:126">
      <c r="A25" s="378" t="s">
        <v>240</v>
      </c>
      <c r="B25" s="379"/>
      <c r="C25" s="379"/>
      <c r="D25" s="379"/>
      <c r="E25" s="379"/>
      <c r="F25" s="380"/>
      <c r="G25" s="238"/>
      <c r="H25" s="238"/>
      <c r="I25" s="238"/>
      <c r="J25" s="238"/>
      <c r="K25" s="238"/>
      <c r="L25" s="238"/>
      <c r="M25" s="238"/>
      <c r="N25" s="238"/>
      <c r="O25" s="238"/>
      <c r="P25" s="238"/>
      <c r="Q25" s="238"/>
      <c r="R25" s="238"/>
      <c r="S25" s="238"/>
      <c r="T25" s="238"/>
      <c r="U25" s="238"/>
      <c r="V25" s="238"/>
      <c r="W25" s="238"/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238"/>
      <c r="AI25" s="238"/>
      <c r="AJ25" s="238"/>
      <c r="AK25" s="238"/>
      <c r="AL25" s="238"/>
      <c r="AM25" s="238"/>
      <c r="AN25" s="238"/>
      <c r="AO25" s="238"/>
      <c r="AP25" s="238"/>
      <c r="AQ25" s="238"/>
      <c r="AR25" s="238"/>
      <c r="AS25" s="238"/>
      <c r="AT25" s="238"/>
      <c r="AU25" s="238"/>
      <c r="AV25" s="238"/>
      <c r="AW25" s="238"/>
      <c r="AX25" s="238"/>
      <c r="AY25" s="238"/>
      <c r="AZ25" s="238"/>
      <c r="BA25" s="238"/>
      <c r="BB25" s="238"/>
      <c r="BC25" s="238"/>
      <c r="BD25" s="238"/>
      <c r="BE25" s="238"/>
      <c r="BF25" s="238"/>
      <c r="BG25" s="238"/>
      <c r="BH25" s="238"/>
      <c r="BI25" s="238"/>
      <c r="BJ25" s="238"/>
      <c r="BK25" s="238"/>
      <c r="BL25" s="238"/>
      <c r="BM25" s="238"/>
      <c r="BN25" s="238"/>
      <c r="BO25" s="238"/>
      <c r="BP25" s="238"/>
      <c r="BQ25" s="238"/>
      <c r="BR25" s="238"/>
      <c r="BS25" s="238"/>
      <c r="BT25" s="238"/>
      <c r="BU25" s="238"/>
      <c r="BV25" s="238"/>
      <c r="BW25" s="238"/>
      <c r="BX25" s="238"/>
      <c r="BY25" s="238"/>
      <c r="BZ25" s="238"/>
      <c r="CA25" s="238"/>
      <c r="CB25" s="238"/>
      <c r="CC25" s="238"/>
      <c r="CD25" s="238"/>
      <c r="CE25" s="238"/>
      <c r="CF25" s="238"/>
      <c r="CG25" s="238"/>
      <c r="CH25" s="238"/>
      <c r="CI25" s="238"/>
      <c r="CJ25" s="238"/>
      <c r="CK25" s="238"/>
      <c r="CL25" s="238"/>
      <c r="CM25" s="238"/>
      <c r="CN25" s="238"/>
      <c r="CO25" s="238"/>
      <c r="CP25" s="238"/>
      <c r="CQ25" s="238"/>
      <c r="CR25" s="238"/>
      <c r="CS25" s="238"/>
      <c r="CT25" s="238"/>
      <c r="CU25" s="238"/>
      <c r="CV25" s="238"/>
      <c r="CW25" s="238"/>
      <c r="CX25" s="238"/>
      <c r="CY25" s="238"/>
      <c r="CZ25" s="238"/>
      <c r="DA25" s="238"/>
      <c r="DB25" s="238"/>
      <c r="DC25" s="238"/>
      <c r="DD25" s="238"/>
      <c r="DE25" s="238"/>
      <c r="DF25" s="238"/>
      <c r="DG25" s="238"/>
      <c r="DH25" s="238"/>
      <c r="DI25" s="238"/>
      <c r="DJ25" s="238"/>
      <c r="DK25" s="238"/>
      <c r="DL25" s="238"/>
      <c r="DM25" s="238"/>
      <c r="DN25" s="238"/>
      <c r="DO25" s="238"/>
      <c r="DP25" s="238"/>
      <c r="DQ25" s="238"/>
      <c r="DR25" s="238"/>
      <c r="DS25" s="238"/>
      <c r="DT25" s="238"/>
      <c r="DU25" s="238"/>
      <c r="DV25" s="238"/>
    </row>
    <row r="26" spans="1:126">
      <c r="A26" s="372" t="s">
        <v>241</v>
      </c>
      <c r="B26" s="373"/>
      <c r="C26" s="373"/>
      <c r="D26" s="373"/>
      <c r="E26" s="373"/>
      <c r="F26" s="374"/>
      <c r="G26" s="238"/>
      <c r="H26" s="238"/>
      <c r="I26" s="238"/>
      <c r="J26" s="238"/>
      <c r="K26" s="238"/>
      <c r="L26" s="238"/>
      <c r="M26" s="238"/>
      <c r="N26" s="238"/>
      <c r="O26" s="238"/>
      <c r="P26" s="238"/>
      <c r="Q26" s="238"/>
      <c r="R26" s="238"/>
      <c r="S26" s="238"/>
      <c r="T26" s="238"/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  <c r="AK26" s="238"/>
      <c r="AL26" s="238"/>
      <c r="AM26" s="238"/>
      <c r="AN26" s="238"/>
      <c r="AO26" s="238"/>
      <c r="AP26" s="238"/>
      <c r="AQ26" s="238"/>
      <c r="AR26" s="238"/>
      <c r="AS26" s="238"/>
      <c r="AT26" s="238"/>
      <c r="AU26" s="238"/>
      <c r="AV26" s="238"/>
      <c r="AW26" s="238"/>
      <c r="AX26" s="238"/>
      <c r="AY26" s="238"/>
      <c r="AZ26" s="238"/>
      <c r="BA26" s="238"/>
      <c r="BB26" s="238"/>
      <c r="BC26" s="238"/>
      <c r="BD26" s="238"/>
      <c r="BE26" s="238"/>
      <c r="BF26" s="238"/>
      <c r="BG26" s="238"/>
      <c r="BH26" s="238"/>
      <c r="BI26" s="238"/>
      <c r="BJ26" s="238"/>
      <c r="BK26" s="238"/>
      <c r="BL26" s="238"/>
      <c r="BM26" s="238"/>
      <c r="BN26" s="238"/>
      <c r="BO26" s="238"/>
      <c r="BP26" s="238"/>
      <c r="BQ26" s="238"/>
      <c r="BR26" s="238"/>
      <c r="BS26" s="238"/>
      <c r="BT26" s="238"/>
      <c r="BU26" s="238"/>
      <c r="BV26" s="238"/>
      <c r="BW26" s="238"/>
      <c r="BX26" s="238"/>
      <c r="BY26" s="238"/>
      <c r="BZ26" s="238"/>
      <c r="CA26" s="238"/>
      <c r="CB26" s="238"/>
      <c r="CC26" s="238"/>
      <c r="CD26" s="238"/>
      <c r="CE26" s="238"/>
      <c r="CF26" s="238"/>
      <c r="CG26" s="238"/>
      <c r="CH26" s="238"/>
      <c r="CI26" s="238"/>
      <c r="CJ26" s="238"/>
      <c r="CK26" s="238"/>
      <c r="CL26" s="238"/>
      <c r="CM26" s="238"/>
      <c r="CN26" s="238"/>
      <c r="CO26" s="238"/>
      <c r="CP26" s="238"/>
      <c r="CQ26" s="238"/>
      <c r="CR26" s="238"/>
      <c r="CS26" s="238"/>
      <c r="CT26" s="238"/>
      <c r="CU26" s="238"/>
      <c r="CV26" s="238"/>
      <c r="CW26" s="238"/>
      <c r="CX26" s="238"/>
      <c r="CY26" s="238"/>
      <c r="CZ26" s="238"/>
      <c r="DA26" s="238"/>
      <c r="DB26" s="238"/>
      <c r="DC26" s="238"/>
      <c r="DD26" s="238"/>
      <c r="DE26" s="238"/>
      <c r="DF26" s="238"/>
      <c r="DG26" s="238"/>
      <c r="DH26" s="238"/>
      <c r="DI26" s="238"/>
      <c r="DJ26" s="238"/>
      <c r="DK26" s="238"/>
      <c r="DL26" s="238"/>
      <c r="DM26" s="238"/>
      <c r="DN26" s="238"/>
      <c r="DO26" s="238"/>
      <c r="DP26" s="238"/>
      <c r="DQ26" s="238"/>
      <c r="DR26" s="238"/>
      <c r="DS26" s="238"/>
      <c r="DT26" s="238"/>
      <c r="DU26" s="238"/>
      <c r="DV26" s="238"/>
    </row>
    <row r="27" spans="1:126" ht="77">
      <c r="A27" s="239" t="s">
        <v>242</v>
      </c>
      <c r="B27" s="237" t="s">
        <v>243</v>
      </c>
      <c r="C27" s="237" t="s">
        <v>35</v>
      </c>
      <c r="D27" s="237">
        <v>10000</v>
      </c>
      <c r="E27" s="237">
        <v>10000</v>
      </c>
      <c r="F27" s="237">
        <v>10000</v>
      </c>
      <c r="G27" s="238">
        <v>0</v>
      </c>
      <c r="H27" s="238">
        <v>0</v>
      </c>
      <c r="I27" s="238">
        <v>0</v>
      </c>
      <c r="J27" s="238">
        <v>0</v>
      </c>
      <c r="K27" s="238">
        <v>0</v>
      </c>
      <c r="L27" s="238">
        <v>0</v>
      </c>
      <c r="M27" s="238">
        <v>0</v>
      </c>
      <c r="N27" s="238">
        <v>0</v>
      </c>
      <c r="O27" s="238">
        <v>0</v>
      </c>
      <c r="P27" s="238">
        <v>0</v>
      </c>
      <c r="Q27" s="238">
        <v>0</v>
      </c>
      <c r="R27" s="238">
        <v>0</v>
      </c>
      <c r="S27" s="238">
        <v>0</v>
      </c>
      <c r="T27" s="238">
        <v>0</v>
      </c>
      <c r="U27" s="238">
        <v>0</v>
      </c>
      <c r="V27" s="238">
        <v>0</v>
      </c>
      <c r="W27" s="238">
        <v>0</v>
      </c>
      <c r="X27" s="238">
        <v>0</v>
      </c>
      <c r="Y27" s="238">
        <v>0</v>
      </c>
      <c r="Z27" s="238">
        <v>0</v>
      </c>
      <c r="AA27" s="238">
        <v>0</v>
      </c>
      <c r="AB27" s="238">
        <v>0</v>
      </c>
      <c r="AC27" s="238">
        <v>0</v>
      </c>
      <c r="AD27" s="238">
        <v>0</v>
      </c>
      <c r="AE27" s="238">
        <v>0</v>
      </c>
      <c r="AF27" s="238">
        <v>0</v>
      </c>
      <c r="AG27" s="238">
        <v>0</v>
      </c>
      <c r="AH27" s="238">
        <v>0</v>
      </c>
      <c r="AI27" s="238">
        <v>0</v>
      </c>
      <c r="AJ27" s="238">
        <v>0</v>
      </c>
      <c r="AK27" s="238">
        <v>0</v>
      </c>
      <c r="AL27" s="238">
        <v>0</v>
      </c>
      <c r="AM27" s="238">
        <v>0</v>
      </c>
      <c r="AN27" s="238">
        <v>0</v>
      </c>
      <c r="AO27" s="238">
        <v>0</v>
      </c>
      <c r="AP27" s="238">
        <v>0</v>
      </c>
      <c r="AQ27" s="238">
        <v>10000</v>
      </c>
      <c r="AR27" s="238">
        <v>10000</v>
      </c>
      <c r="AS27" s="238">
        <v>10000</v>
      </c>
      <c r="AT27" s="238">
        <v>10000</v>
      </c>
      <c r="AU27" s="238">
        <v>10000</v>
      </c>
      <c r="AV27" s="238">
        <v>10000</v>
      </c>
      <c r="AW27" s="238">
        <v>10000</v>
      </c>
      <c r="AX27" s="238">
        <v>10000</v>
      </c>
      <c r="AY27" s="238">
        <v>10000</v>
      </c>
      <c r="AZ27" s="238">
        <v>10000</v>
      </c>
      <c r="BA27" s="238">
        <v>10000</v>
      </c>
      <c r="BB27" s="238">
        <v>10000</v>
      </c>
      <c r="BC27" s="238">
        <v>10000</v>
      </c>
      <c r="BD27" s="238">
        <v>10000</v>
      </c>
      <c r="BE27" s="238">
        <v>10000</v>
      </c>
      <c r="BF27" s="238">
        <v>10000</v>
      </c>
      <c r="BG27" s="238">
        <v>10000</v>
      </c>
      <c r="BH27" s="238">
        <v>10000</v>
      </c>
      <c r="BI27" s="238">
        <v>10000</v>
      </c>
      <c r="BJ27" s="238">
        <v>10000</v>
      </c>
      <c r="BK27" s="238">
        <v>10000</v>
      </c>
      <c r="BL27" s="238">
        <v>10000</v>
      </c>
      <c r="BM27" s="238">
        <v>10000</v>
      </c>
      <c r="BN27" s="238">
        <v>10000</v>
      </c>
      <c r="BO27" s="238">
        <v>10000</v>
      </c>
      <c r="BP27" s="238">
        <v>10000</v>
      </c>
      <c r="BQ27" s="238">
        <v>10000</v>
      </c>
      <c r="BR27" s="238">
        <v>10000</v>
      </c>
      <c r="BS27" s="238">
        <v>10000</v>
      </c>
      <c r="BT27" s="238">
        <v>10000</v>
      </c>
      <c r="BU27" s="238">
        <v>10000</v>
      </c>
      <c r="BV27" s="238">
        <v>10000</v>
      </c>
      <c r="BW27" s="238">
        <v>10000</v>
      </c>
      <c r="BX27" s="238">
        <v>10000</v>
      </c>
      <c r="BY27" s="238">
        <v>10000</v>
      </c>
      <c r="BZ27" s="238">
        <v>10000</v>
      </c>
      <c r="CA27" s="238">
        <v>10000</v>
      </c>
      <c r="CB27" s="238">
        <v>10000</v>
      </c>
      <c r="CC27" s="238">
        <v>10000</v>
      </c>
      <c r="CD27" s="238">
        <v>10000</v>
      </c>
      <c r="CE27" s="238">
        <v>10000</v>
      </c>
      <c r="CF27" s="238">
        <v>10000</v>
      </c>
      <c r="CG27" s="238">
        <v>10000</v>
      </c>
      <c r="CH27" s="238">
        <v>10000</v>
      </c>
      <c r="CI27" s="238">
        <v>10000</v>
      </c>
      <c r="CJ27" s="238">
        <v>10000</v>
      </c>
      <c r="CK27" s="238">
        <v>10000</v>
      </c>
      <c r="CL27" s="238">
        <v>10000</v>
      </c>
      <c r="CM27" s="238">
        <v>10000</v>
      </c>
      <c r="CN27" s="238">
        <v>10000</v>
      </c>
      <c r="CO27" s="238">
        <v>10000</v>
      </c>
      <c r="CP27" s="238">
        <v>10000</v>
      </c>
      <c r="CQ27" s="238">
        <v>10000</v>
      </c>
      <c r="CR27" s="238">
        <v>10000</v>
      </c>
      <c r="CS27" s="238">
        <v>10000</v>
      </c>
      <c r="CT27" s="238">
        <v>10000</v>
      </c>
      <c r="CU27" s="238">
        <v>10000</v>
      </c>
      <c r="CV27" s="238">
        <v>10000</v>
      </c>
      <c r="CW27" s="238">
        <v>10000</v>
      </c>
      <c r="CX27" s="238">
        <v>10000</v>
      </c>
      <c r="CY27" s="238">
        <v>10000</v>
      </c>
      <c r="CZ27" s="238">
        <v>10000</v>
      </c>
      <c r="DA27" s="238">
        <v>10000</v>
      </c>
      <c r="DB27" s="238">
        <v>10000</v>
      </c>
      <c r="DC27" s="238">
        <v>10000</v>
      </c>
      <c r="DD27" s="238">
        <v>10000</v>
      </c>
      <c r="DE27" s="238">
        <v>10000</v>
      </c>
      <c r="DF27" s="238">
        <v>10000</v>
      </c>
      <c r="DG27" s="238">
        <v>10000</v>
      </c>
      <c r="DH27" s="238">
        <v>10000</v>
      </c>
      <c r="DI27" s="238">
        <v>10000</v>
      </c>
      <c r="DJ27" s="238">
        <v>10000</v>
      </c>
      <c r="DK27" s="238">
        <v>10000</v>
      </c>
      <c r="DL27" s="238">
        <v>10000</v>
      </c>
      <c r="DM27" s="238">
        <v>10000</v>
      </c>
      <c r="DN27" s="238">
        <v>10000</v>
      </c>
      <c r="DO27" s="238">
        <v>10000</v>
      </c>
      <c r="DP27" s="238">
        <v>10000</v>
      </c>
      <c r="DQ27" s="238">
        <v>10000</v>
      </c>
      <c r="DR27" s="238">
        <v>10000</v>
      </c>
      <c r="DS27" s="238">
        <v>10000</v>
      </c>
      <c r="DT27" s="238">
        <v>10000</v>
      </c>
      <c r="DU27" s="238">
        <v>10000</v>
      </c>
      <c r="DV27" s="238">
        <v>10000</v>
      </c>
    </row>
    <row r="28" spans="1:126" ht="44">
      <c r="A28" s="239" t="s">
        <v>244</v>
      </c>
      <c r="B28" s="237" t="s">
        <v>245</v>
      </c>
      <c r="C28" s="237" t="s">
        <v>35</v>
      </c>
      <c r="D28" s="237">
        <f t="shared" ref="D28:D32" si="30">SUM(G28:R28)</f>
        <v>0</v>
      </c>
      <c r="E28" s="237">
        <f t="shared" ref="E28:E32" si="31">SUM(S28:AD28)</f>
        <v>0</v>
      </c>
      <c r="F28" s="237">
        <f t="shared" ref="F28:F32" si="32">SUM(AE28:AP28)</f>
        <v>0</v>
      </c>
      <c r="G28" s="238">
        <v>0</v>
      </c>
      <c r="H28" s="238">
        <v>0</v>
      </c>
      <c r="I28" s="238">
        <v>0</v>
      </c>
      <c r="J28" s="238">
        <v>0</v>
      </c>
      <c r="K28" s="238">
        <v>0</v>
      </c>
      <c r="L28" s="238">
        <v>0</v>
      </c>
      <c r="M28" s="238">
        <v>0</v>
      </c>
      <c r="N28" s="238">
        <v>0</v>
      </c>
      <c r="O28" s="238">
        <v>0</v>
      </c>
      <c r="P28" s="238">
        <v>0</v>
      </c>
      <c r="Q28" s="238">
        <v>0</v>
      </c>
      <c r="R28" s="238">
        <v>0</v>
      </c>
      <c r="S28" s="238">
        <v>0</v>
      </c>
      <c r="T28" s="238">
        <v>0</v>
      </c>
      <c r="U28" s="238">
        <v>0</v>
      </c>
      <c r="V28" s="238">
        <v>0</v>
      </c>
      <c r="W28" s="238">
        <v>0</v>
      </c>
      <c r="X28" s="238">
        <v>0</v>
      </c>
      <c r="Y28" s="238">
        <v>0</v>
      </c>
      <c r="Z28" s="238">
        <v>0</v>
      </c>
      <c r="AA28" s="238">
        <v>0</v>
      </c>
      <c r="AB28" s="238">
        <v>0</v>
      </c>
      <c r="AC28" s="238">
        <v>0</v>
      </c>
      <c r="AD28" s="238">
        <v>0</v>
      </c>
      <c r="AE28" s="238">
        <v>0</v>
      </c>
      <c r="AF28" s="238">
        <v>0</v>
      </c>
      <c r="AG28" s="238">
        <v>0</v>
      </c>
      <c r="AH28" s="238">
        <v>0</v>
      </c>
      <c r="AI28" s="238">
        <v>0</v>
      </c>
      <c r="AJ28" s="238">
        <v>0</v>
      </c>
      <c r="AK28" s="238">
        <v>0</v>
      </c>
      <c r="AL28" s="238">
        <v>0</v>
      </c>
      <c r="AM28" s="238">
        <v>0</v>
      </c>
      <c r="AN28" s="238">
        <v>0</v>
      </c>
      <c r="AO28" s="238">
        <v>0</v>
      </c>
      <c r="AP28" s="238">
        <v>0</v>
      </c>
      <c r="AQ28" s="238">
        <v>0</v>
      </c>
      <c r="AR28" s="238">
        <v>0</v>
      </c>
      <c r="AS28" s="238">
        <v>0</v>
      </c>
      <c r="AT28" s="238">
        <v>0</v>
      </c>
      <c r="AU28" s="238">
        <v>0</v>
      </c>
      <c r="AV28" s="238">
        <v>0</v>
      </c>
      <c r="AW28" s="238">
        <v>0</v>
      </c>
      <c r="AX28" s="238">
        <v>0</v>
      </c>
      <c r="AY28" s="238">
        <v>0</v>
      </c>
      <c r="AZ28" s="238">
        <v>0</v>
      </c>
      <c r="BA28" s="238">
        <v>0</v>
      </c>
      <c r="BB28" s="238">
        <v>0</v>
      </c>
      <c r="BC28" s="238">
        <v>0</v>
      </c>
      <c r="BD28" s="238">
        <v>0</v>
      </c>
      <c r="BE28" s="238">
        <v>0</v>
      </c>
      <c r="BF28" s="238">
        <v>0</v>
      </c>
      <c r="BG28" s="238">
        <v>0</v>
      </c>
      <c r="BH28" s="238">
        <v>0</v>
      </c>
      <c r="BI28" s="238">
        <v>0</v>
      </c>
      <c r="BJ28" s="238">
        <v>0</v>
      </c>
      <c r="BK28" s="238">
        <v>0</v>
      </c>
      <c r="BL28" s="238">
        <v>0</v>
      </c>
      <c r="BM28" s="238">
        <v>0</v>
      </c>
      <c r="BN28" s="238">
        <v>0</v>
      </c>
      <c r="BO28" s="238">
        <v>0</v>
      </c>
      <c r="BP28" s="238">
        <v>0</v>
      </c>
      <c r="BQ28" s="238">
        <v>0</v>
      </c>
      <c r="BR28" s="238">
        <v>0</v>
      </c>
      <c r="BS28" s="238">
        <v>0</v>
      </c>
      <c r="BT28" s="238">
        <v>0</v>
      </c>
      <c r="BU28" s="238">
        <v>0</v>
      </c>
      <c r="BV28" s="238">
        <v>0</v>
      </c>
      <c r="BW28" s="238">
        <v>0</v>
      </c>
      <c r="BX28" s="238">
        <v>0</v>
      </c>
      <c r="BY28" s="238">
        <v>0</v>
      </c>
      <c r="BZ28" s="238">
        <v>0</v>
      </c>
      <c r="CA28" s="238">
        <v>0</v>
      </c>
      <c r="CB28" s="238">
        <v>0</v>
      </c>
      <c r="CC28" s="238">
        <v>0</v>
      </c>
      <c r="CD28" s="238">
        <v>0</v>
      </c>
      <c r="CE28" s="238">
        <v>0</v>
      </c>
      <c r="CF28" s="238">
        <v>0</v>
      </c>
      <c r="CG28" s="238">
        <v>0</v>
      </c>
      <c r="CH28" s="238">
        <v>0</v>
      </c>
      <c r="CI28" s="238">
        <v>0</v>
      </c>
      <c r="CJ28" s="238">
        <v>0</v>
      </c>
      <c r="CK28" s="238">
        <v>0</v>
      </c>
      <c r="CL28" s="238">
        <v>0</v>
      </c>
      <c r="CM28" s="238">
        <v>0</v>
      </c>
      <c r="CN28" s="238">
        <v>0</v>
      </c>
      <c r="CO28" s="238">
        <v>0</v>
      </c>
      <c r="CP28" s="238">
        <v>0</v>
      </c>
      <c r="CQ28" s="238">
        <v>0</v>
      </c>
      <c r="CR28" s="238">
        <v>0</v>
      </c>
      <c r="CS28" s="238">
        <v>0</v>
      </c>
      <c r="CT28" s="238">
        <v>0</v>
      </c>
      <c r="CU28" s="238">
        <v>0</v>
      </c>
      <c r="CV28" s="238">
        <v>0</v>
      </c>
      <c r="CW28" s="238">
        <v>0</v>
      </c>
      <c r="CX28" s="238">
        <v>0</v>
      </c>
      <c r="CY28" s="238">
        <v>0</v>
      </c>
      <c r="CZ28" s="238">
        <v>0</v>
      </c>
      <c r="DA28" s="238">
        <v>0</v>
      </c>
      <c r="DB28" s="238">
        <v>0</v>
      </c>
      <c r="DC28" s="238">
        <v>0</v>
      </c>
      <c r="DD28" s="238">
        <v>0</v>
      </c>
      <c r="DE28" s="238">
        <v>0</v>
      </c>
      <c r="DF28" s="238">
        <v>0</v>
      </c>
      <c r="DG28" s="238">
        <v>0</v>
      </c>
      <c r="DH28" s="238">
        <v>0</v>
      </c>
      <c r="DI28" s="238">
        <v>0</v>
      </c>
      <c r="DJ28" s="238">
        <v>0</v>
      </c>
      <c r="DK28" s="238">
        <v>0</v>
      </c>
      <c r="DL28" s="238">
        <v>0</v>
      </c>
      <c r="DM28" s="238">
        <v>0</v>
      </c>
      <c r="DN28" s="238">
        <v>0</v>
      </c>
      <c r="DO28" s="238">
        <v>0</v>
      </c>
      <c r="DP28" s="238">
        <v>0</v>
      </c>
      <c r="DQ28" s="238">
        <v>0</v>
      </c>
      <c r="DR28" s="238">
        <v>0</v>
      </c>
      <c r="DS28" s="238">
        <v>0</v>
      </c>
      <c r="DT28" s="238">
        <v>0</v>
      </c>
      <c r="DU28" s="238">
        <v>0</v>
      </c>
      <c r="DV28" s="238">
        <v>0</v>
      </c>
    </row>
    <row r="29" spans="1:126" ht="33">
      <c r="A29" s="239" t="s">
        <v>246</v>
      </c>
      <c r="B29" s="237" t="s">
        <v>247</v>
      </c>
      <c r="C29" s="237" t="s">
        <v>35</v>
      </c>
      <c r="D29" s="237">
        <f t="shared" si="30"/>
        <v>0</v>
      </c>
      <c r="E29" s="237">
        <f t="shared" si="31"/>
        <v>0</v>
      </c>
      <c r="F29" s="237">
        <f t="shared" si="32"/>
        <v>0</v>
      </c>
      <c r="G29" s="238">
        <v>0</v>
      </c>
      <c r="H29" s="238">
        <v>0</v>
      </c>
      <c r="I29" s="238">
        <v>0</v>
      </c>
      <c r="J29" s="238">
        <v>0</v>
      </c>
      <c r="K29" s="238">
        <v>0</v>
      </c>
      <c r="L29" s="238">
        <v>0</v>
      </c>
      <c r="M29" s="238">
        <v>0</v>
      </c>
      <c r="N29" s="238">
        <v>0</v>
      </c>
      <c r="O29" s="238">
        <v>0</v>
      </c>
      <c r="P29" s="238">
        <v>0</v>
      </c>
      <c r="Q29" s="238">
        <v>0</v>
      </c>
      <c r="R29" s="238">
        <v>0</v>
      </c>
      <c r="S29" s="238">
        <v>0</v>
      </c>
      <c r="T29" s="238">
        <v>0</v>
      </c>
      <c r="U29" s="238">
        <v>0</v>
      </c>
      <c r="V29" s="238">
        <v>0</v>
      </c>
      <c r="W29" s="238">
        <v>0</v>
      </c>
      <c r="X29" s="238">
        <v>0</v>
      </c>
      <c r="Y29" s="238">
        <v>0</v>
      </c>
      <c r="Z29" s="238">
        <v>0</v>
      </c>
      <c r="AA29" s="238">
        <v>0</v>
      </c>
      <c r="AB29" s="238">
        <v>0</v>
      </c>
      <c r="AC29" s="238">
        <v>0</v>
      </c>
      <c r="AD29" s="238">
        <v>0</v>
      </c>
      <c r="AE29" s="238">
        <v>0</v>
      </c>
      <c r="AF29" s="238">
        <v>0</v>
      </c>
      <c r="AG29" s="238">
        <v>0</v>
      </c>
      <c r="AH29" s="238">
        <v>0</v>
      </c>
      <c r="AI29" s="238">
        <v>0</v>
      </c>
      <c r="AJ29" s="238">
        <v>0</v>
      </c>
      <c r="AK29" s="238">
        <v>0</v>
      </c>
      <c r="AL29" s="238">
        <v>0</v>
      </c>
      <c r="AM29" s="238">
        <v>0</v>
      </c>
      <c r="AN29" s="238">
        <v>0</v>
      </c>
      <c r="AO29" s="238">
        <v>0</v>
      </c>
      <c r="AP29" s="238">
        <v>0</v>
      </c>
      <c r="AQ29" s="238">
        <v>0</v>
      </c>
      <c r="AR29" s="238">
        <v>0</v>
      </c>
      <c r="AS29" s="238">
        <v>0</v>
      </c>
      <c r="AT29" s="238">
        <v>0</v>
      </c>
      <c r="AU29" s="238">
        <v>0</v>
      </c>
      <c r="AV29" s="238">
        <v>0</v>
      </c>
      <c r="AW29" s="238">
        <v>0</v>
      </c>
      <c r="AX29" s="238">
        <v>0</v>
      </c>
      <c r="AY29" s="238">
        <v>0</v>
      </c>
      <c r="AZ29" s="238">
        <v>0</v>
      </c>
      <c r="BA29" s="238">
        <v>0</v>
      </c>
      <c r="BB29" s="238">
        <v>0</v>
      </c>
      <c r="BC29" s="238">
        <v>0</v>
      </c>
      <c r="BD29" s="238">
        <v>0</v>
      </c>
      <c r="BE29" s="238">
        <v>0</v>
      </c>
      <c r="BF29" s="238">
        <v>0</v>
      </c>
      <c r="BG29" s="238">
        <v>0</v>
      </c>
      <c r="BH29" s="238">
        <v>0</v>
      </c>
      <c r="BI29" s="238">
        <v>0</v>
      </c>
      <c r="BJ29" s="238">
        <v>0</v>
      </c>
      <c r="BK29" s="238">
        <v>0</v>
      </c>
      <c r="BL29" s="238">
        <v>0</v>
      </c>
      <c r="BM29" s="238">
        <v>0</v>
      </c>
      <c r="BN29" s="238">
        <v>0</v>
      </c>
      <c r="BO29" s="238">
        <v>0</v>
      </c>
      <c r="BP29" s="238">
        <v>0</v>
      </c>
      <c r="BQ29" s="238">
        <v>0</v>
      </c>
      <c r="BR29" s="238">
        <v>0</v>
      </c>
      <c r="BS29" s="238">
        <v>0</v>
      </c>
      <c r="BT29" s="238">
        <v>0</v>
      </c>
      <c r="BU29" s="238">
        <v>0</v>
      </c>
      <c r="BV29" s="238">
        <v>0</v>
      </c>
      <c r="BW29" s="238">
        <v>0</v>
      </c>
      <c r="BX29" s="238">
        <v>0</v>
      </c>
      <c r="BY29" s="238">
        <v>0</v>
      </c>
      <c r="BZ29" s="238">
        <v>0</v>
      </c>
      <c r="CA29" s="238">
        <v>0</v>
      </c>
      <c r="CB29" s="238">
        <v>0</v>
      </c>
      <c r="CC29" s="238">
        <v>0</v>
      </c>
      <c r="CD29" s="238">
        <v>0</v>
      </c>
      <c r="CE29" s="238">
        <v>0</v>
      </c>
      <c r="CF29" s="238">
        <v>0</v>
      </c>
      <c r="CG29" s="238">
        <v>0</v>
      </c>
      <c r="CH29" s="238">
        <v>0</v>
      </c>
      <c r="CI29" s="238">
        <v>0</v>
      </c>
      <c r="CJ29" s="238">
        <v>0</v>
      </c>
      <c r="CK29" s="238">
        <v>0</v>
      </c>
      <c r="CL29" s="238">
        <v>0</v>
      </c>
      <c r="CM29" s="238">
        <v>0</v>
      </c>
      <c r="CN29" s="238">
        <v>0</v>
      </c>
      <c r="CO29" s="238">
        <v>0</v>
      </c>
      <c r="CP29" s="238">
        <v>0</v>
      </c>
      <c r="CQ29" s="238">
        <v>0</v>
      </c>
      <c r="CR29" s="238">
        <v>0</v>
      </c>
      <c r="CS29" s="238">
        <v>0</v>
      </c>
      <c r="CT29" s="238">
        <v>0</v>
      </c>
      <c r="CU29" s="238">
        <v>0</v>
      </c>
      <c r="CV29" s="238">
        <v>0</v>
      </c>
      <c r="CW29" s="238">
        <v>0</v>
      </c>
      <c r="CX29" s="238">
        <v>0</v>
      </c>
      <c r="CY29" s="238">
        <v>0</v>
      </c>
      <c r="CZ29" s="238">
        <v>0</v>
      </c>
      <c r="DA29" s="238">
        <v>0</v>
      </c>
      <c r="DB29" s="238">
        <v>0</v>
      </c>
      <c r="DC29" s="238">
        <v>0</v>
      </c>
      <c r="DD29" s="238">
        <v>0</v>
      </c>
      <c r="DE29" s="238">
        <v>0</v>
      </c>
      <c r="DF29" s="238">
        <v>0</v>
      </c>
      <c r="DG29" s="238">
        <v>0</v>
      </c>
      <c r="DH29" s="238">
        <v>0</v>
      </c>
      <c r="DI29" s="238">
        <v>0</v>
      </c>
      <c r="DJ29" s="238">
        <v>0</v>
      </c>
      <c r="DK29" s="238">
        <v>0</v>
      </c>
      <c r="DL29" s="238">
        <v>0</v>
      </c>
      <c r="DM29" s="238">
        <v>0</v>
      </c>
      <c r="DN29" s="238">
        <v>0</v>
      </c>
      <c r="DO29" s="238">
        <v>0</v>
      </c>
      <c r="DP29" s="238">
        <v>0</v>
      </c>
      <c r="DQ29" s="238">
        <v>0</v>
      </c>
      <c r="DR29" s="238">
        <v>0</v>
      </c>
      <c r="DS29" s="238">
        <v>0</v>
      </c>
      <c r="DT29" s="238">
        <v>0</v>
      </c>
      <c r="DU29" s="238">
        <v>0</v>
      </c>
      <c r="DV29" s="238">
        <v>0</v>
      </c>
    </row>
    <row r="30" spans="1:126" ht="33">
      <c r="A30" s="239" t="s">
        <v>248</v>
      </c>
      <c r="B30" s="237" t="s">
        <v>249</v>
      </c>
      <c r="C30" s="237" t="s">
        <v>35</v>
      </c>
      <c r="D30" s="237">
        <f t="shared" si="30"/>
        <v>0</v>
      </c>
      <c r="E30" s="237">
        <f t="shared" si="31"/>
        <v>0</v>
      </c>
      <c r="F30" s="237">
        <f t="shared" si="32"/>
        <v>0</v>
      </c>
      <c r="G30" s="238">
        <v>0</v>
      </c>
      <c r="H30" s="238">
        <v>0</v>
      </c>
      <c r="I30" s="238">
        <v>0</v>
      </c>
      <c r="J30" s="238">
        <v>0</v>
      </c>
      <c r="K30" s="238">
        <v>0</v>
      </c>
      <c r="L30" s="238">
        <v>0</v>
      </c>
      <c r="M30" s="238">
        <v>0</v>
      </c>
      <c r="N30" s="238">
        <v>0</v>
      </c>
      <c r="O30" s="238">
        <v>0</v>
      </c>
      <c r="P30" s="238">
        <v>0</v>
      </c>
      <c r="Q30" s="238">
        <v>0</v>
      </c>
      <c r="R30" s="238">
        <v>0</v>
      </c>
      <c r="S30" s="238">
        <v>0</v>
      </c>
      <c r="T30" s="238">
        <v>0</v>
      </c>
      <c r="U30" s="238">
        <v>0</v>
      </c>
      <c r="V30" s="238">
        <v>0</v>
      </c>
      <c r="W30" s="238">
        <v>0</v>
      </c>
      <c r="X30" s="238">
        <v>0</v>
      </c>
      <c r="Y30" s="238">
        <v>0</v>
      </c>
      <c r="Z30" s="238">
        <v>0</v>
      </c>
      <c r="AA30" s="238">
        <v>0</v>
      </c>
      <c r="AB30" s="238">
        <v>0</v>
      </c>
      <c r="AC30" s="238">
        <v>0</v>
      </c>
      <c r="AD30" s="238">
        <v>0</v>
      </c>
      <c r="AE30" s="238">
        <v>0</v>
      </c>
      <c r="AF30" s="238">
        <v>0</v>
      </c>
      <c r="AG30" s="238">
        <v>0</v>
      </c>
      <c r="AH30" s="238">
        <v>0</v>
      </c>
      <c r="AI30" s="238">
        <v>0</v>
      </c>
      <c r="AJ30" s="238">
        <v>0</v>
      </c>
      <c r="AK30" s="238">
        <v>0</v>
      </c>
      <c r="AL30" s="238">
        <v>0</v>
      </c>
      <c r="AM30" s="238">
        <v>0</v>
      </c>
      <c r="AN30" s="238">
        <v>0</v>
      </c>
      <c r="AO30" s="238">
        <v>0</v>
      </c>
      <c r="AP30" s="238">
        <v>0</v>
      </c>
      <c r="AQ30" s="238">
        <v>0</v>
      </c>
      <c r="AR30" s="238">
        <v>0</v>
      </c>
      <c r="AS30" s="238">
        <v>0</v>
      </c>
      <c r="AT30" s="238">
        <v>0</v>
      </c>
      <c r="AU30" s="238">
        <v>0</v>
      </c>
      <c r="AV30" s="238">
        <v>0</v>
      </c>
      <c r="AW30" s="238">
        <v>0</v>
      </c>
      <c r="AX30" s="238">
        <v>0</v>
      </c>
      <c r="AY30" s="238">
        <v>0</v>
      </c>
      <c r="AZ30" s="238">
        <v>0</v>
      </c>
      <c r="BA30" s="238">
        <v>0</v>
      </c>
      <c r="BB30" s="238">
        <v>0</v>
      </c>
      <c r="BC30" s="238">
        <v>0</v>
      </c>
      <c r="BD30" s="238">
        <v>0</v>
      </c>
      <c r="BE30" s="238">
        <v>0</v>
      </c>
      <c r="BF30" s="238">
        <v>0</v>
      </c>
      <c r="BG30" s="238">
        <v>0</v>
      </c>
      <c r="BH30" s="238">
        <v>0</v>
      </c>
      <c r="BI30" s="238">
        <v>0</v>
      </c>
      <c r="BJ30" s="238">
        <v>0</v>
      </c>
      <c r="BK30" s="238">
        <v>0</v>
      </c>
      <c r="BL30" s="238">
        <v>0</v>
      </c>
      <c r="BM30" s="238">
        <v>0</v>
      </c>
      <c r="BN30" s="238">
        <v>0</v>
      </c>
      <c r="BO30" s="238">
        <v>0</v>
      </c>
      <c r="BP30" s="238">
        <v>0</v>
      </c>
      <c r="BQ30" s="238">
        <v>0</v>
      </c>
      <c r="BR30" s="238">
        <v>0</v>
      </c>
      <c r="BS30" s="238">
        <v>0</v>
      </c>
      <c r="BT30" s="238">
        <v>0</v>
      </c>
      <c r="BU30" s="238">
        <v>0</v>
      </c>
      <c r="BV30" s="238">
        <v>0</v>
      </c>
      <c r="BW30" s="238">
        <v>0</v>
      </c>
      <c r="BX30" s="238">
        <v>0</v>
      </c>
      <c r="BY30" s="238">
        <v>0</v>
      </c>
      <c r="BZ30" s="238">
        <v>0</v>
      </c>
      <c r="CA30" s="238">
        <v>0</v>
      </c>
      <c r="CB30" s="238">
        <v>0</v>
      </c>
      <c r="CC30" s="238">
        <v>0</v>
      </c>
      <c r="CD30" s="238">
        <v>0</v>
      </c>
      <c r="CE30" s="238">
        <v>0</v>
      </c>
      <c r="CF30" s="238">
        <v>0</v>
      </c>
      <c r="CG30" s="238">
        <v>0</v>
      </c>
      <c r="CH30" s="238">
        <v>0</v>
      </c>
      <c r="CI30" s="238">
        <v>0</v>
      </c>
      <c r="CJ30" s="238">
        <v>0</v>
      </c>
      <c r="CK30" s="238">
        <v>0</v>
      </c>
      <c r="CL30" s="238">
        <v>0</v>
      </c>
      <c r="CM30" s="238">
        <v>0</v>
      </c>
      <c r="CN30" s="238">
        <v>0</v>
      </c>
      <c r="CO30" s="238">
        <v>0</v>
      </c>
      <c r="CP30" s="238">
        <v>0</v>
      </c>
      <c r="CQ30" s="238">
        <v>0</v>
      </c>
      <c r="CR30" s="238">
        <v>0</v>
      </c>
      <c r="CS30" s="238">
        <v>0</v>
      </c>
      <c r="CT30" s="238">
        <v>0</v>
      </c>
      <c r="CU30" s="238">
        <v>0</v>
      </c>
      <c r="CV30" s="238">
        <v>0</v>
      </c>
      <c r="CW30" s="238">
        <v>0</v>
      </c>
      <c r="CX30" s="238">
        <v>0</v>
      </c>
      <c r="CY30" s="238">
        <v>0</v>
      </c>
      <c r="CZ30" s="238">
        <v>0</v>
      </c>
      <c r="DA30" s="238">
        <v>0</v>
      </c>
      <c r="DB30" s="238">
        <v>0</v>
      </c>
      <c r="DC30" s="238">
        <v>0</v>
      </c>
      <c r="DD30" s="238">
        <v>0</v>
      </c>
      <c r="DE30" s="238">
        <v>0</v>
      </c>
      <c r="DF30" s="238">
        <v>0</v>
      </c>
      <c r="DG30" s="238">
        <v>0</v>
      </c>
      <c r="DH30" s="238">
        <v>0</v>
      </c>
      <c r="DI30" s="238">
        <v>0</v>
      </c>
      <c r="DJ30" s="238">
        <v>0</v>
      </c>
      <c r="DK30" s="238">
        <v>0</v>
      </c>
      <c r="DL30" s="238">
        <v>0</v>
      </c>
      <c r="DM30" s="238">
        <v>0</v>
      </c>
      <c r="DN30" s="238">
        <v>0</v>
      </c>
      <c r="DO30" s="238">
        <v>0</v>
      </c>
      <c r="DP30" s="238">
        <v>0</v>
      </c>
      <c r="DQ30" s="238">
        <v>0</v>
      </c>
      <c r="DR30" s="238">
        <v>0</v>
      </c>
      <c r="DS30" s="238">
        <v>0</v>
      </c>
      <c r="DT30" s="238">
        <v>0</v>
      </c>
      <c r="DU30" s="238">
        <v>0</v>
      </c>
      <c r="DV30" s="238">
        <v>0</v>
      </c>
    </row>
    <row r="31" spans="1:126" ht="22">
      <c r="A31" s="239" t="s">
        <v>250</v>
      </c>
      <c r="B31" s="237" t="s">
        <v>251</v>
      </c>
      <c r="C31" s="237" t="s">
        <v>35</v>
      </c>
      <c r="D31" s="237">
        <f t="shared" si="30"/>
        <v>35520000000000</v>
      </c>
      <c r="E31" s="237">
        <f t="shared" si="31"/>
        <v>35520000000000</v>
      </c>
      <c r="F31" s="237">
        <f t="shared" si="32"/>
        <v>35520000000000</v>
      </c>
      <c r="G31" s="238">
        <f>'Амортизация, до'!I18</f>
        <v>2960000000000</v>
      </c>
      <c r="H31" s="238">
        <f>'Амортизация, до'!J18</f>
        <v>2960000000000</v>
      </c>
      <c r="I31" s="238">
        <f>'Амортизация, до'!K18</f>
        <v>2960000000000</v>
      </c>
      <c r="J31" s="238">
        <f>'Амортизация, до'!L18</f>
        <v>2960000000000</v>
      </c>
      <c r="K31" s="238">
        <f>'Амортизация, до'!M18</f>
        <v>2960000000000</v>
      </c>
      <c r="L31" s="238">
        <f>'Амортизация, до'!N18</f>
        <v>2960000000000</v>
      </c>
      <c r="M31" s="238">
        <f>'Амортизация, до'!O18</f>
        <v>2960000000000</v>
      </c>
      <c r="N31" s="238">
        <f>'Амортизация, до'!P18</f>
        <v>2960000000000</v>
      </c>
      <c r="O31" s="238">
        <f>'Амортизация, до'!Q18</f>
        <v>2960000000000</v>
      </c>
      <c r="P31" s="238">
        <f>'Амортизация, до'!R18</f>
        <v>2960000000000</v>
      </c>
      <c r="Q31" s="238">
        <f>'Амортизация, до'!S18</f>
        <v>2960000000000</v>
      </c>
      <c r="R31" s="238">
        <f>'Амортизация, до'!T18</f>
        <v>2960000000000</v>
      </c>
      <c r="S31" s="238">
        <f>'Амортизация, до'!U18</f>
        <v>2960000000000</v>
      </c>
      <c r="T31" s="238">
        <f>'Амортизация, до'!V18</f>
        <v>2960000000000</v>
      </c>
      <c r="U31" s="238">
        <f>'Амортизация, до'!W18</f>
        <v>2960000000000</v>
      </c>
      <c r="V31" s="238">
        <f>'Амортизация, до'!X18</f>
        <v>2960000000000</v>
      </c>
      <c r="W31" s="238">
        <f>'Амортизация, до'!Y18</f>
        <v>2960000000000</v>
      </c>
      <c r="X31" s="238">
        <f>'Амортизация, до'!Z18</f>
        <v>2960000000000</v>
      </c>
      <c r="Y31" s="238">
        <f>'Амортизация, до'!AA18</f>
        <v>2960000000000</v>
      </c>
      <c r="Z31" s="238">
        <f>'Амортизация, до'!AB18</f>
        <v>2960000000000</v>
      </c>
      <c r="AA31" s="238">
        <f>'Амортизация, до'!AC18</f>
        <v>2960000000000</v>
      </c>
      <c r="AB31" s="238">
        <f>'Амортизация, до'!AD18</f>
        <v>2960000000000</v>
      </c>
      <c r="AC31" s="238">
        <f>'Амортизация, до'!AE18</f>
        <v>2960000000000</v>
      </c>
      <c r="AD31" s="238">
        <f>'Амортизация, до'!AF18</f>
        <v>2960000000000</v>
      </c>
      <c r="AE31" s="238">
        <f>'Амортизация, до'!AG18</f>
        <v>2960000000000</v>
      </c>
      <c r="AF31" s="238">
        <f>'Амортизация, до'!AH18</f>
        <v>2960000000000</v>
      </c>
      <c r="AG31" s="238">
        <f>'Амортизация, до'!AI18</f>
        <v>2960000000000</v>
      </c>
      <c r="AH31" s="238">
        <f>'Амортизация, до'!AJ18</f>
        <v>2960000000000</v>
      </c>
      <c r="AI31" s="238">
        <f>'Амортизация, до'!AK18</f>
        <v>2960000000000</v>
      </c>
      <c r="AJ31" s="238">
        <f>'Амортизация, до'!AL18</f>
        <v>2960000000000</v>
      </c>
      <c r="AK31" s="238">
        <f>'Амортизация, до'!AM18</f>
        <v>2960000000000</v>
      </c>
      <c r="AL31" s="238">
        <f>'Амортизация, до'!AN18</f>
        <v>2960000000000</v>
      </c>
      <c r="AM31" s="238">
        <f>'Амортизация, до'!AO18</f>
        <v>2960000000000</v>
      </c>
      <c r="AN31" s="238">
        <f>'Амортизация, до'!AP18</f>
        <v>2960000000000</v>
      </c>
      <c r="AO31" s="238">
        <f>'Амортизация, до'!AQ18</f>
        <v>2960000000000</v>
      </c>
      <c r="AP31" s="238">
        <f>'Амортизация, до'!AR18</f>
        <v>2960000000000</v>
      </c>
      <c r="AQ31" s="238">
        <f>'Амортизация, до'!AS18</f>
        <v>2960000000000</v>
      </c>
      <c r="AR31" s="238">
        <f>'Амортизация, до'!AT18</f>
        <v>2960000000000</v>
      </c>
      <c r="AS31" s="238">
        <f>'Амортизация, до'!AU18</f>
        <v>2960000000000</v>
      </c>
      <c r="AT31" s="238">
        <f>'Амортизация, до'!AV18</f>
        <v>2960000000000</v>
      </c>
      <c r="AU31" s="238">
        <f>'Амортизация, до'!AW18</f>
        <v>2960000000000</v>
      </c>
      <c r="AV31" s="238">
        <f>'Амортизация, до'!AX18</f>
        <v>2960000000000</v>
      </c>
      <c r="AW31" s="238">
        <f>'Амортизация, до'!AY18</f>
        <v>2960000000000</v>
      </c>
      <c r="AX31" s="238">
        <f>'Амортизация, до'!AZ18</f>
        <v>2960000000000</v>
      </c>
      <c r="AY31" s="238">
        <f>'Амортизация, до'!BA18</f>
        <v>2960000000000</v>
      </c>
      <c r="AZ31" s="238">
        <f>'Амортизация, до'!BB18</f>
        <v>2960000000000</v>
      </c>
      <c r="BA31" s="238">
        <f>'Амортизация, до'!BC18</f>
        <v>2960000000000</v>
      </c>
      <c r="BB31" s="238">
        <f>'Амортизация, до'!BD18</f>
        <v>2960000000000</v>
      </c>
      <c r="BC31" s="238">
        <f>'Амортизация, до'!BE18</f>
        <v>2960000000000</v>
      </c>
      <c r="BD31" s="238">
        <f>'Амортизация, до'!BF18</f>
        <v>2960000000000</v>
      </c>
      <c r="BE31" s="238">
        <f>'Амортизация, до'!BG18</f>
        <v>2960000000000</v>
      </c>
      <c r="BF31" s="238">
        <f>'Амортизация, до'!BH18</f>
        <v>2960000000000</v>
      </c>
      <c r="BG31" s="238">
        <f>'Амортизация, до'!BI18</f>
        <v>2960000000000</v>
      </c>
      <c r="BH31" s="238">
        <f>'Амортизация, до'!BJ18</f>
        <v>2960000000000</v>
      </c>
      <c r="BI31" s="238">
        <f>'Амортизация, до'!BK18</f>
        <v>2960000000000</v>
      </c>
      <c r="BJ31" s="238">
        <f>'Амортизация, до'!BL18</f>
        <v>2960000000000</v>
      </c>
      <c r="BK31" s="238">
        <f>'Амортизация, до'!BM18</f>
        <v>2960000000000</v>
      </c>
      <c r="BL31" s="238">
        <f>'Амортизация, до'!BN18</f>
        <v>2960000000000</v>
      </c>
      <c r="BM31" s="238">
        <f>'Амортизация, до'!BO18</f>
        <v>2960000000000</v>
      </c>
      <c r="BN31" s="238">
        <f>'Амортизация, до'!BP18</f>
        <v>2960000000000</v>
      </c>
      <c r="BO31" s="238">
        <f>'Амортизация, до'!BQ18</f>
        <v>2960000000000</v>
      </c>
      <c r="BP31" s="238">
        <f>'Амортизация, до'!BR18</f>
        <v>2960000000000</v>
      </c>
      <c r="BQ31" s="238">
        <f>'Амортизация, до'!BS18</f>
        <v>2960000000000</v>
      </c>
      <c r="BR31" s="238">
        <f>'Амортизация, до'!BT18</f>
        <v>2960000000000</v>
      </c>
      <c r="BS31" s="238">
        <f>'Амортизация, до'!BU18</f>
        <v>2960000000000</v>
      </c>
      <c r="BT31" s="238">
        <f>'Амортизация, до'!BV18</f>
        <v>2960000000000</v>
      </c>
      <c r="BU31" s="238">
        <f>'Амортизация, до'!BW18</f>
        <v>2960000000000</v>
      </c>
      <c r="BV31" s="238">
        <f>'Амортизация, до'!BX18</f>
        <v>2960000000000</v>
      </c>
      <c r="BW31" s="238">
        <f>'Амортизация, до'!BY18</f>
        <v>2960000000000</v>
      </c>
      <c r="BX31" s="238">
        <f>'Амортизация, до'!BZ18</f>
        <v>2960000000000</v>
      </c>
      <c r="BY31" s="238">
        <f>'Амортизация, до'!CA18</f>
        <v>2960000000000</v>
      </c>
      <c r="BZ31" s="238">
        <f>'Амортизация, до'!CB18</f>
        <v>2960000000000</v>
      </c>
      <c r="CA31" s="238">
        <f>'Амортизация, до'!CC18</f>
        <v>2960000000000</v>
      </c>
      <c r="CB31" s="238">
        <f>'Амортизация, до'!CD18</f>
        <v>2960000000000</v>
      </c>
      <c r="CC31" s="238">
        <f>'Амортизация, до'!CE18</f>
        <v>2960000000000</v>
      </c>
      <c r="CD31" s="238">
        <f>'Амортизация, до'!CF18</f>
        <v>2960000000000</v>
      </c>
      <c r="CE31" s="238">
        <f>'Амортизация, до'!CG18</f>
        <v>2960000000000</v>
      </c>
      <c r="CF31" s="238">
        <f>'Амортизация, до'!CH18</f>
        <v>2960000000000</v>
      </c>
      <c r="CG31" s="238">
        <f>'Амортизация, до'!CI18</f>
        <v>2960000000000</v>
      </c>
      <c r="CH31" s="238">
        <f>'Амортизация, до'!CJ18</f>
        <v>2960000000000</v>
      </c>
      <c r="CI31" s="238">
        <f>'Амортизация, до'!CK18</f>
        <v>2960000000000</v>
      </c>
      <c r="CJ31" s="238">
        <f>'Амортизация, до'!CL18</f>
        <v>2960000000000</v>
      </c>
      <c r="CK31" s="238">
        <f>'Амортизация, до'!CM18</f>
        <v>2960000000000</v>
      </c>
      <c r="CL31" s="238">
        <f>'Амортизация, до'!CN18</f>
        <v>2960000000000</v>
      </c>
      <c r="CM31" s="238">
        <f>'Амортизация, до'!CO18</f>
        <v>2960000000000</v>
      </c>
      <c r="CN31" s="238">
        <f>'Амортизация, до'!CP18</f>
        <v>2960000000000</v>
      </c>
      <c r="CO31" s="238">
        <f>'Амортизация, до'!CQ18</f>
        <v>2960000000000</v>
      </c>
      <c r="CP31" s="238">
        <f>'Амортизация, до'!CR18</f>
        <v>2960000000000</v>
      </c>
      <c r="CQ31" s="238">
        <f>'Амортизация, до'!CS18</f>
        <v>2960000000000</v>
      </c>
      <c r="CR31" s="238">
        <f>'Амортизация, до'!CT18</f>
        <v>2960000000000</v>
      </c>
      <c r="CS31" s="238">
        <f>'Амортизация, до'!CU18</f>
        <v>2960000000000</v>
      </c>
      <c r="CT31" s="238">
        <f>'Амортизация, до'!CV18</f>
        <v>2960000000000</v>
      </c>
      <c r="CU31" s="238">
        <f>'Амортизация, до'!CW18</f>
        <v>2960000000000</v>
      </c>
      <c r="CV31" s="238">
        <f>'Амортизация, до'!CX18</f>
        <v>2960000000000</v>
      </c>
      <c r="CW31" s="238">
        <f>'Амортизация, до'!CY18</f>
        <v>2960000000000</v>
      </c>
      <c r="CX31" s="238">
        <f>'Амортизация, до'!CZ18</f>
        <v>2960000000000</v>
      </c>
      <c r="CY31" s="238">
        <f>'Амортизация, до'!DA18</f>
        <v>2960000000000</v>
      </c>
      <c r="CZ31" s="238">
        <f>'Амортизация, до'!DB18</f>
        <v>2960000000000</v>
      </c>
      <c r="DA31" s="238">
        <f>'Амортизация, до'!DC18</f>
        <v>2960000000000</v>
      </c>
      <c r="DB31" s="238">
        <f>'Амортизация, до'!DD18</f>
        <v>2960000000000</v>
      </c>
      <c r="DC31" s="238">
        <f>'Амортизация, до'!DE18</f>
        <v>2960000000000</v>
      </c>
      <c r="DD31" s="238">
        <f>'Амортизация, до'!DF18</f>
        <v>2960000000000</v>
      </c>
      <c r="DE31" s="238">
        <f>'Амортизация, до'!DG18</f>
        <v>2960000000000</v>
      </c>
      <c r="DF31" s="238">
        <f>'Амортизация, до'!DH18</f>
        <v>2960000000000</v>
      </c>
      <c r="DG31" s="238">
        <f>'Амортизация, до'!DI18</f>
        <v>2960000000000</v>
      </c>
      <c r="DH31" s="238">
        <f>'Амортизация, до'!DJ18</f>
        <v>2960000000000</v>
      </c>
      <c r="DI31" s="238">
        <f>'Амортизация, до'!DK18</f>
        <v>2960000000000</v>
      </c>
      <c r="DJ31" s="238">
        <f>'Амортизация, до'!DL18</f>
        <v>2960000000000</v>
      </c>
      <c r="DK31" s="238">
        <f>'Амортизация, до'!DM18</f>
        <v>2960000000000</v>
      </c>
      <c r="DL31" s="238">
        <f>'Амортизация, до'!DN18</f>
        <v>2960000000000</v>
      </c>
      <c r="DM31" s="238">
        <f>'Амортизация, до'!DO18</f>
        <v>2960000000000</v>
      </c>
      <c r="DN31" s="238">
        <f>'Амортизация, до'!DP18</f>
        <v>2960000000000</v>
      </c>
      <c r="DO31" s="238">
        <f>'Амортизация, до'!DQ18</f>
        <v>2960000000000</v>
      </c>
      <c r="DP31" s="238">
        <f>'Амортизация, до'!DR18</f>
        <v>2960000000000</v>
      </c>
      <c r="DQ31" s="238">
        <f>'Амортизация, до'!DS18</f>
        <v>2960000000000</v>
      </c>
      <c r="DR31" s="238">
        <f>'Амортизация, до'!DT18</f>
        <v>2960000000000</v>
      </c>
      <c r="DS31" s="238">
        <f>'Амортизация, до'!DU18</f>
        <v>2960000000000</v>
      </c>
      <c r="DT31" s="238">
        <f>'Амортизация, до'!DV18</f>
        <v>2960000000000</v>
      </c>
      <c r="DU31" s="238">
        <f>'Амортизация, до'!DW18</f>
        <v>2960000000000</v>
      </c>
      <c r="DV31" s="238">
        <f>'Амортизация, до'!DX18</f>
        <v>2960000000000</v>
      </c>
    </row>
    <row r="32" spans="1:126" ht="44">
      <c r="A32" s="239" t="s">
        <v>252</v>
      </c>
      <c r="B32" s="237" t="s">
        <v>253</v>
      </c>
      <c r="C32" s="237" t="s">
        <v>35</v>
      </c>
      <c r="D32" s="245">
        <f t="shared" si="30"/>
        <v>89738169514188.031</v>
      </c>
      <c r="E32" s="245">
        <f t="shared" si="31"/>
        <v>1005091766927766.8</v>
      </c>
      <c r="F32" s="237">
        <f t="shared" si="32"/>
        <v>1021655524697237.8</v>
      </c>
      <c r="G32" s="238">
        <f>'Отчет о фин. рез до'!E21</f>
        <v>91278535241.475464</v>
      </c>
      <c r="H32" s="238">
        <f>'Отчет о фин. рез до'!F21</f>
        <v>184923056488.27005</v>
      </c>
      <c r="I32" s="238">
        <f>'Отчет о фин. рез до'!G21</f>
        <v>280997948965.24225</v>
      </c>
      <c r="J32" s="238">
        <f>'Отчет о фин. рез до'!H21</f>
        <v>379569425107.79108</v>
      </c>
      <c r="K32" s="238">
        <f>'Отчет о фин. рез до'!I21</f>
        <v>480705578174.07935</v>
      </c>
      <c r="L32" s="238">
        <f>'Отчет о фин. рез до'!J21</f>
        <v>584476437469.71582</v>
      </c>
      <c r="M32" s="238">
        <f>'Отчет о фин. рез до'!K21</f>
        <v>690954025234.24951</v>
      </c>
      <c r="N32" s="238">
        <f>'Отчет о фин. рез до'!L21</f>
        <v>800212415240.35547</v>
      </c>
      <c r="O32" s="238">
        <f>'Отчет о фин. рез до'!M21</f>
        <v>912327793158.17126</v>
      </c>
      <c r="P32" s="238">
        <f>'Отчет о фин. рез до'!N21</f>
        <v>1027378518738.8657</v>
      </c>
      <c r="Q32" s="238">
        <f>'Отчет о фин. рез до'!O21</f>
        <v>1145445189873.1992</v>
      </c>
      <c r="R32" s="238">
        <f>'Отчет о фин. рез до'!P21</f>
        <v>83159900590496.625</v>
      </c>
      <c r="S32" s="238">
        <f>'Отчет о фин. рез до'!Q21</f>
        <v>83243222736049.953</v>
      </c>
      <c r="T32" s="238">
        <f>'Отчет о фин. рез до'!R21</f>
        <v>83328743485575.562</v>
      </c>
      <c r="U32" s="238">
        <f>'Отчет о фин. рез до'!S21</f>
        <v>83416522643892.609</v>
      </c>
      <c r="V32" s="238">
        <f>'Отчет о фин. рез до'!T21</f>
        <v>83506621712245.625</v>
      </c>
      <c r="W32" s="238">
        <f>'Отчет о фин. рез до'!U21</f>
        <v>83599103938059.906</v>
      </c>
      <c r="X32" s="238">
        <f>'Отчет о фин. рез до'!V21</f>
        <v>83694034366193</v>
      </c>
      <c r="Y32" s="238">
        <f>'Отчет о фин. рез до'!W21</f>
        <v>83791479891727.938</v>
      </c>
      <c r="Z32" s="238">
        <f>'Отчет о фин. рез до'!X21</f>
        <v>83891509314355.516</v>
      </c>
      <c r="AA32" s="238">
        <f>'Отчет о фин. рез до'!Y21</f>
        <v>83994193394394.219</v>
      </c>
      <c r="AB32" s="238">
        <f>'Отчет о фин. рез до'!Z21</f>
        <v>84099604910497.984</v>
      </c>
      <c r="AC32" s="238">
        <f>'Отчет о фин. рез до'!AA21</f>
        <v>84207818719103.594</v>
      </c>
      <c r="AD32" s="238">
        <f>'Отчет о фин. рез до'!AB21</f>
        <v>84318911815670.828</v>
      </c>
      <c r="AE32" s="238">
        <f>'Отчет о фин. рез до'!AC21</f>
        <v>84432963387770.594</v>
      </c>
      <c r="AF32" s="238">
        <f>'Отчет о фин. рез до'!AD21</f>
        <v>84550054910077.531</v>
      </c>
      <c r="AG32" s="238">
        <f>'Отчет о фин. рез до'!AE21</f>
        <v>84670270181325.641</v>
      </c>
      <c r="AH32" s="238">
        <f>'Отчет о фин. рез до'!AF21</f>
        <v>84793695403287.172</v>
      </c>
      <c r="AI32" s="238">
        <f>'Отчет о фин. рез до'!AG21</f>
        <v>84920419251836.828</v>
      </c>
      <c r="AJ32" s="238">
        <f>'Отчет о фин. рез до'!AH21</f>
        <v>85050532950165.469</v>
      </c>
      <c r="AK32" s="238">
        <f>'Отчет о фин. рез до'!AI21</f>
        <v>85184130344209.219</v>
      </c>
      <c r="AL32" s="238">
        <f>'Отчет о фин. рез до'!AJ21</f>
        <v>85321307980362.203</v>
      </c>
      <c r="AM32" s="238">
        <f>'Отчет о фин. рез до'!AK21</f>
        <v>85462165185542.953</v>
      </c>
      <c r="AN32" s="238">
        <f>'Отчет о фин. рез до'!AL21</f>
        <v>85606804149687.125</v>
      </c>
      <c r="AO32" s="238">
        <f>'Отчет о фин. рез до'!AM21</f>
        <v>85755330010740.859</v>
      </c>
      <c r="AP32" s="238">
        <f>'Отчет о фин. рез до'!AN21</f>
        <v>85907850942232.031</v>
      </c>
      <c r="AQ32" s="238">
        <f>'Отчет о фин. рез до'!AO21</f>
        <v>156627291266.52051</v>
      </c>
      <c r="AR32" s="238">
        <f>'Отчет о фин. рез до'!AP21</f>
        <v>317475470423.55518</v>
      </c>
      <c r="AS32" s="238">
        <f>'Отчет о фин. рез до'!AQ21</f>
        <v>482662370154.08807</v>
      </c>
      <c r="AT32" s="238">
        <f>'Отчет о фин. рез до'!AR21</f>
        <v>652309236409.73999</v>
      </c>
      <c r="AU32" s="238">
        <f>'Отчет о фин. рез до'!AS21</f>
        <v>826540830111.57178</v>
      </c>
      <c r="AV32" s="238">
        <f>'Отчет о фин. рез до'!AT21</f>
        <v>1005485531943.3517</v>
      </c>
      <c r="AW32" s="238">
        <f>'Отчет о фин. рез до'!AU21</f>
        <v>1189275450332.6504</v>
      </c>
      <c r="AX32" s="238">
        <f>'Отчет о фин. рез до'!AV21</f>
        <v>1378046532718.0955</v>
      </c>
      <c r="AY32" s="238">
        <f>'Отчет о фин. рез до'!AW21</f>
        <v>1571938680204.1812</v>
      </c>
      <c r="AZ32" s="238">
        <f>'Отчет о фин. рез до'!AX21</f>
        <v>1771095865708.1826</v>
      </c>
      <c r="BA32" s="238">
        <f>'Отчет о фин. рез до'!AY21</f>
        <v>1975666255706.9844</v>
      </c>
      <c r="BB32" s="238">
        <f>'Отчет о фин. рез до'!AZ21</f>
        <v>2185802335694.9888</v>
      </c>
      <c r="BC32" s="238">
        <f>'Отчет о фин. рез до'!BA21</f>
        <v>2401661029467.7344</v>
      </c>
      <c r="BD32" s="238">
        <f>'Отчет о фин. рез до'!BB21</f>
        <v>2623403862349.4282</v>
      </c>
      <c r="BE32" s="238">
        <f>'Отчет о фин. рез до'!BC21</f>
        <v>2851197068486.2749</v>
      </c>
      <c r="BF32" s="238">
        <f>'Отчет о фин. рез до'!BD21</f>
        <v>3085211742331.2959</v>
      </c>
      <c r="BG32" s="238">
        <f>'Отчет о фин. рез до'!BE21</f>
        <v>3325623984450.2363</v>
      </c>
      <c r="BH32" s="238">
        <f>'Отчет о фин. рез до'!BF21</f>
        <v>3572615051782.2129</v>
      </c>
      <c r="BI32" s="238">
        <f>'Отчет о фин. рез до'!BG21</f>
        <v>3826371512492.915</v>
      </c>
      <c r="BJ32" s="238">
        <f>'Отчет о фин. рез до'!BH21</f>
        <v>4087085405562.4761</v>
      </c>
      <c r="BK32" s="238">
        <f>'Отчет о фин. рез до'!BI21</f>
        <v>4354954405254.5635</v>
      </c>
      <c r="BL32" s="238">
        <f>'Отчет о фин. рез до'!BJ21</f>
        <v>4630181990617.8086</v>
      </c>
      <c r="BM32" s="238">
        <f>'Отчет о фин. рез до'!BK21</f>
        <v>4912977620175.4189</v>
      </c>
      <c r="BN32" s="238">
        <f>'Отчет о фин. рез до'!BL21</f>
        <v>5203556911963.6709</v>
      </c>
      <c r="BO32" s="238">
        <f>'Отчет о фин. рез до'!BM21</f>
        <v>5502141819085.0107</v>
      </c>
      <c r="BP32" s="238">
        <f>'Отчет о фин. рез до'!BN21</f>
        <v>5808960850946.6533</v>
      </c>
      <c r="BQ32" s="238">
        <f>'Отчет о фин. рез до'!BO21</f>
        <v>6124249240360.918</v>
      </c>
      <c r="BR32" s="238">
        <f>'Отчет о фин. рез до'!BP21</f>
        <v>6448249156689.0342</v>
      </c>
      <c r="BS32" s="238">
        <f>'Отчет о фин. рез до'!BQ21</f>
        <v>6781209915215.834</v>
      </c>
      <c r="BT32" s="238">
        <f>'Отчет о фин. рез до'!BR21</f>
        <v>7123388192948.6064</v>
      </c>
      <c r="BU32" s="238">
        <f>'Отчет о фин. рез до'!BS21</f>
        <v>7475048251039.416</v>
      </c>
      <c r="BV32" s="238">
        <f>'Отчет о фин. рез до'!BT21</f>
        <v>7836462164036.4365</v>
      </c>
      <c r="BW32" s="238">
        <f>'Отчет о фин. рез до'!BU21</f>
        <v>8207910056176.2578</v>
      </c>
      <c r="BX32" s="238">
        <f>'Отчет о фин. рез до'!BV21</f>
        <v>8589680344935.7588</v>
      </c>
      <c r="BY32" s="238">
        <f>'Отчет о фин. рез до'!BW21</f>
        <v>8982069992068.9746</v>
      </c>
      <c r="BZ32" s="238">
        <f>'Отчет о фин. рез до'!BX21</f>
        <v>9385384762361.4395</v>
      </c>
      <c r="CA32" s="238">
        <f>'Отчет о фин. рез до'!BY21</f>
        <v>9799939480341.7402</v>
      </c>
      <c r="CB32" s="238">
        <f>'Отчет о фин. рез до'!BZ21</f>
        <v>10226058335197.537</v>
      </c>
      <c r="CC32" s="238">
        <f>'Отчет о фин. рез до'!CA21</f>
        <v>10664075134151.043</v>
      </c>
      <c r="CD32" s="238">
        <f>'Отчет о фин. рез до'!CB21</f>
        <v>11114333604556.893</v>
      </c>
      <c r="CE32" s="238">
        <f>'Отчет о фин. рез до'!CC21</f>
        <v>11577187694993.631</v>
      </c>
      <c r="CF32" s="238">
        <f>'Отчет о фин. рез до'!CD21</f>
        <v>12053001885628.461</v>
      </c>
      <c r="CG32" s="238">
        <f>'Отчет о фин. рез до'!CE21</f>
        <v>12542151508143.711</v>
      </c>
      <c r="CH32" s="238">
        <f>'Отчет о фин. рез до'!CF21</f>
        <v>13045023075522.461</v>
      </c>
      <c r="CI32" s="238">
        <f>'Отчет о фин. рез до'!CG21</f>
        <v>13562014622000.125</v>
      </c>
      <c r="CJ32" s="238">
        <f>'Отчет о фин. рез до'!CH21</f>
        <v>14093536053498.348</v>
      </c>
      <c r="CK32" s="238">
        <f>'Отчет о фин. рез до'!CI21</f>
        <v>14640009508867.529</v>
      </c>
      <c r="CL32" s="238">
        <f>'Отчет о фин. рез до'!CJ21</f>
        <v>15201869732274.465</v>
      </c>
      <c r="CM32" s="238">
        <f>'Отчет о фин. рез до'!CK21</f>
        <v>15779564447082.168</v>
      </c>
      <c r="CN32" s="238">
        <f>'Отчет о фин. рез до'!CL21</f>
        <v>16373554781579.791</v>
      </c>
      <c r="CO32" s="238">
        <f>'Отчет о фин. рез до'!CM21</f>
        <v>16984315646931.791</v>
      </c>
      <c r="CP32" s="238">
        <f>'Отчет о фин. рез до'!CN21</f>
        <v>17612336167727.039</v>
      </c>
      <c r="CQ32" s="238">
        <f>'Отчет о фин. рез до'!CO21</f>
        <v>18258120115520.52</v>
      </c>
      <c r="CR32" s="238">
        <f>'Отчет о фин. рез до'!CP21</f>
        <v>18922186355772.555</v>
      </c>
      <c r="CS32" s="238">
        <f>'Отчет о фин. рез до'!CQ21</f>
        <v>19605069308603.215</v>
      </c>
      <c r="CT32" s="238">
        <f>'Отчет о фин. рез до'!CR21</f>
        <v>20307319423792.609</v>
      </c>
      <c r="CU32" s="238">
        <f>'Отчет о фин. рез до'!CS21</f>
        <v>21029503670471.348</v>
      </c>
      <c r="CV32" s="238">
        <f>'Отчет о фин. рез до'!CT21</f>
        <v>21772206041959.301</v>
      </c>
      <c r="CW32" s="238">
        <f>'Отчет о фин. рез до'!CU21</f>
        <v>22536028076225.219</v>
      </c>
      <c r="CX32" s="238">
        <f>'Отчет о фин. рез до'!CV21</f>
        <v>23321589392454.562</v>
      </c>
      <c r="CY32" s="238">
        <f>'Отчет о фин. рез до'!CW21</f>
        <v>24129528234228.199</v>
      </c>
      <c r="CZ32" s="238">
        <f>'Отчет о фин. рез до'!CX21</f>
        <v>24960502069830.367</v>
      </c>
      <c r="DA32" s="238">
        <f>'Отчет о фин. рез до'!CY21</f>
        <v>25815188150220.629</v>
      </c>
      <c r="DB32" s="238">
        <f>'Отчет о фин. рез до'!CZ21</f>
        <v>26694284125221.219</v>
      </c>
      <c r="DC32" s="238">
        <f>'Отчет о фин. рез до'!DA21</f>
        <v>27598508668488.605</v>
      </c>
      <c r="DD32" s="238">
        <f>'Отчет о фин. рез до'!DB21</f>
        <v>28528602121855.852</v>
      </c>
      <c r="DE32" s="238">
        <f>'Отчет о фин. рез до'!DC21</f>
        <v>29485327159650.812</v>
      </c>
      <c r="DF32" s="238">
        <f>'Отчет о фин. рез до'!DD21</f>
        <v>30469469473614.215</v>
      </c>
      <c r="DG32" s="238">
        <f>'Отчет о фин. рез до'!DE21</f>
        <v>31481838479061.199</v>
      </c>
      <c r="DH32" s="238">
        <f>'Отчет о фин. рез до'!DF21</f>
        <v>32523268042950.168</v>
      </c>
      <c r="DI32" s="238">
        <f>'Отчет о фин. рез до'!DG21</f>
        <v>33594617234543.613</v>
      </c>
      <c r="DJ32" s="238">
        <f>'Отчет о фин. рез до'!DH21</f>
        <v>34696771099367.07</v>
      </c>
      <c r="DK32" s="238">
        <f>'Отчет о фин. рез до'!DI21</f>
        <v>35830641447194.578</v>
      </c>
      <c r="DL32" s="238">
        <f>'Отчет о фин. рез до'!DJ21</f>
        <v>36997167704811.828</v>
      </c>
      <c r="DM32" s="238">
        <f>'Отчет о фин. рез до'!DK21</f>
        <v>38197317734331.859</v>
      </c>
      <c r="DN32" s="238">
        <f>'Отчет о фин. рез до'!DL21</f>
        <v>39432088717862.477</v>
      </c>
      <c r="DO32" s="238">
        <f>'Отчет о фин. рез до'!DM21</f>
        <v>40702508059349.578</v>
      </c>
      <c r="DP32" s="238">
        <f>'Отчет о фин. рез до'!DN21</f>
        <v>42009634314446.703</v>
      </c>
      <c r="DQ32" s="238">
        <f>'Отчет о фин. рез до'!DO21</f>
        <v>43354558149287.562</v>
      </c>
      <c r="DR32" s="238">
        <f>'Отчет о фин. рез до'!DP21</f>
        <v>44738403329066.055</v>
      </c>
      <c r="DS32" s="238">
        <f>'Отчет о фин. рез до'!DQ21</f>
        <v>46162327737356.672</v>
      </c>
      <c r="DT32" s="238">
        <f>'Отчет о фин. рез до'!DR21</f>
        <v>47627524427137.406</v>
      </c>
      <c r="DU32" s="238">
        <f>'Отчет о фин. рез до'!DS21</f>
        <v>49135222704507.656</v>
      </c>
      <c r="DV32" s="238">
        <f>'Отчет о фин. рез до'!DT21</f>
        <v>50686689246124.797</v>
      </c>
    </row>
    <row r="33" spans="1:126" ht="22">
      <c r="A33" s="251" t="s">
        <v>254</v>
      </c>
      <c r="B33" s="242" t="s">
        <v>255</v>
      </c>
      <c r="C33" s="242" t="s">
        <v>35</v>
      </c>
      <c r="D33" s="252">
        <f>SUM(D27:D32)</f>
        <v>125258169524188.03</v>
      </c>
      <c r="E33" s="252">
        <f>SUM(E27:E32)</f>
        <v>1040611766937766.8</v>
      </c>
      <c r="F33" s="252">
        <f>SUM(F27:F32)</f>
        <v>1057175524707237.8</v>
      </c>
      <c r="G33" s="244">
        <f>SUM(G27:G32)</f>
        <v>3051278535241.4756</v>
      </c>
      <c r="H33" s="244">
        <f t="shared" ref="H33:AP33" si="33">SUM(H27:H32)</f>
        <v>3144923056488.27</v>
      </c>
      <c r="I33" s="244">
        <f t="shared" si="33"/>
        <v>3240997948965.2422</v>
      </c>
      <c r="J33" s="244">
        <f t="shared" si="33"/>
        <v>3339569425107.791</v>
      </c>
      <c r="K33" s="244">
        <f t="shared" si="33"/>
        <v>3440705578174.0791</v>
      </c>
      <c r="L33" s="244">
        <f t="shared" si="33"/>
        <v>3544476437469.7158</v>
      </c>
      <c r="M33" s="244">
        <f t="shared" si="33"/>
        <v>3650954025234.2495</v>
      </c>
      <c r="N33" s="244">
        <f t="shared" si="33"/>
        <v>3760212415240.3555</v>
      </c>
      <c r="O33" s="244">
        <f t="shared" si="33"/>
        <v>3872327793158.1714</v>
      </c>
      <c r="P33" s="244">
        <f t="shared" si="33"/>
        <v>3987378518738.8657</v>
      </c>
      <c r="Q33" s="244">
        <f t="shared" si="33"/>
        <v>4105445189873.1992</v>
      </c>
      <c r="R33" s="244">
        <f t="shared" si="33"/>
        <v>86119900590496.625</v>
      </c>
      <c r="S33" s="244">
        <f t="shared" si="33"/>
        <v>86203222736049.953</v>
      </c>
      <c r="T33" s="244">
        <f t="shared" si="33"/>
        <v>86288743485575.562</v>
      </c>
      <c r="U33" s="244">
        <f t="shared" si="33"/>
        <v>86376522643892.609</v>
      </c>
      <c r="V33" s="244">
        <f t="shared" si="33"/>
        <v>86466621712245.625</v>
      </c>
      <c r="W33" s="244">
        <f t="shared" si="33"/>
        <v>86559103938059.906</v>
      </c>
      <c r="X33" s="244">
        <f t="shared" si="33"/>
        <v>86654034366193</v>
      </c>
      <c r="Y33" s="244">
        <f t="shared" si="33"/>
        <v>86751479891727.938</v>
      </c>
      <c r="Z33" s="244">
        <f t="shared" si="33"/>
        <v>86851509314355.516</v>
      </c>
      <c r="AA33" s="244">
        <f t="shared" si="33"/>
        <v>86954193394394.219</v>
      </c>
      <c r="AB33" s="244">
        <f t="shared" si="33"/>
        <v>87059604910497.984</v>
      </c>
      <c r="AC33" s="244">
        <f t="shared" si="33"/>
        <v>87167818719103.594</v>
      </c>
      <c r="AD33" s="244">
        <f t="shared" si="33"/>
        <v>87278911815670.828</v>
      </c>
      <c r="AE33" s="244">
        <f t="shared" si="33"/>
        <v>87392963387770.594</v>
      </c>
      <c r="AF33" s="244">
        <f t="shared" si="33"/>
        <v>87510054910077.531</v>
      </c>
      <c r="AG33" s="244">
        <f t="shared" si="33"/>
        <v>87630270181325.641</v>
      </c>
      <c r="AH33" s="244">
        <f t="shared" si="33"/>
        <v>87753695403287.172</v>
      </c>
      <c r="AI33" s="244">
        <f t="shared" si="33"/>
        <v>87880419251836.828</v>
      </c>
      <c r="AJ33" s="244">
        <f t="shared" si="33"/>
        <v>88010532950165.469</v>
      </c>
      <c r="AK33" s="244">
        <f t="shared" si="33"/>
        <v>88144130344209.219</v>
      </c>
      <c r="AL33" s="244">
        <f t="shared" si="33"/>
        <v>88281307980362.203</v>
      </c>
      <c r="AM33" s="244">
        <f t="shared" si="33"/>
        <v>88422165185542.953</v>
      </c>
      <c r="AN33" s="244">
        <f t="shared" si="33"/>
        <v>88566804149687.125</v>
      </c>
      <c r="AO33" s="244">
        <f t="shared" si="33"/>
        <v>88715330010740.859</v>
      </c>
      <c r="AP33" s="244">
        <f t="shared" si="33"/>
        <v>88867850942232.031</v>
      </c>
      <c r="AQ33" s="244">
        <f>SUM(AQ27:AQ32)</f>
        <v>3116627301266.5205</v>
      </c>
      <c r="AR33" s="244">
        <f t="shared" ref="AR33:BZ33" si="34">SUM(AR27:AR32)</f>
        <v>3277475480423.5552</v>
      </c>
      <c r="AS33" s="244">
        <f t="shared" si="34"/>
        <v>3442662380154.0879</v>
      </c>
      <c r="AT33" s="244">
        <f t="shared" si="34"/>
        <v>3612309246409.7402</v>
      </c>
      <c r="AU33" s="244">
        <f t="shared" si="34"/>
        <v>3786540840111.5718</v>
      </c>
      <c r="AV33" s="244">
        <f t="shared" si="34"/>
        <v>3965485541943.3516</v>
      </c>
      <c r="AW33" s="244">
        <f t="shared" si="34"/>
        <v>4149275460332.6504</v>
      </c>
      <c r="AX33" s="244">
        <f t="shared" si="34"/>
        <v>4338046542718.0957</v>
      </c>
      <c r="AY33" s="244">
        <f t="shared" si="34"/>
        <v>4531938690204.1816</v>
      </c>
      <c r="AZ33" s="244">
        <f t="shared" si="34"/>
        <v>4731095875708.1826</v>
      </c>
      <c r="BA33" s="244">
        <f t="shared" si="34"/>
        <v>4935666265706.9844</v>
      </c>
      <c r="BB33" s="244">
        <f t="shared" si="34"/>
        <v>5145802345694.9883</v>
      </c>
      <c r="BC33" s="244">
        <f t="shared" si="34"/>
        <v>5361661039467.7344</v>
      </c>
      <c r="BD33" s="244">
        <f t="shared" si="34"/>
        <v>5583403872349.4277</v>
      </c>
      <c r="BE33" s="244">
        <f t="shared" si="34"/>
        <v>5811197078486.2754</v>
      </c>
      <c r="BF33" s="244">
        <f t="shared" si="34"/>
        <v>6045211752331.2959</v>
      </c>
      <c r="BG33" s="244">
        <f t="shared" si="34"/>
        <v>6285623994450.2363</v>
      </c>
      <c r="BH33" s="244">
        <f t="shared" si="34"/>
        <v>6532615061782.2129</v>
      </c>
      <c r="BI33" s="244">
        <f t="shared" si="34"/>
        <v>6786371522492.915</v>
      </c>
      <c r="BJ33" s="244">
        <f t="shared" si="34"/>
        <v>7047085415562.4766</v>
      </c>
      <c r="BK33" s="244">
        <f t="shared" si="34"/>
        <v>7314954415254.5635</v>
      </c>
      <c r="BL33" s="244">
        <f t="shared" si="34"/>
        <v>7590182000617.8086</v>
      </c>
      <c r="BM33" s="244">
        <f t="shared" si="34"/>
        <v>7872977630175.4189</v>
      </c>
      <c r="BN33" s="244">
        <f t="shared" si="34"/>
        <v>8163556921963.6709</v>
      </c>
      <c r="BO33" s="244">
        <f t="shared" si="34"/>
        <v>8462141829085.0107</v>
      </c>
      <c r="BP33" s="244">
        <f t="shared" si="34"/>
        <v>8768960860946.6533</v>
      </c>
      <c r="BQ33" s="244">
        <f t="shared" si="34"/>
        <v>9084249250360.918</v>
      </c>
      <c r="BR33" s="244">
        <f t="shared" si="34"/>
        <v>9408249166689.0352</v>
      </c>
      <c r="BS33" s="244">
        <f t="shared" si="34"/>
        <v>9741209925215.834</v>
      </c>
      <c r="BT33" s="244">
        <f t="shared" si="34"/>
        <v>10083388202948.605</v>
      </c>
      <c r="BU33" s="244">
        <f t="shared" si="34"/>
        <v>10435048261039.416</v>
      </c>
      <c r="BV33" s="244">
        <f t="shared" si="34"/>
        <v>10796462174036.438</v>
      </c>
      <c r="BW33" s="244">
        <f t="shared" si="34"/>
        <v>11167910066176.258</v>
      </c>
      <c r="BX33" s="244">
        <f t="shared" si="34"/>
        <v>11549680354935.758</v>
      </c>
      <c r="BY33" s="244">
        <f t="shared" si="34"/>
        <v>11942070002068.975</v>
      </c>
      <c r="BZ33" s="244">
        <f t="shared" si="34"/>
        <v>12345384772361.439</v>
      </c>
      <c r="CA33" s="244">
        <f>SUM(CA27:CA32)</f>
        <v>12759939490341.74</v>
      </c>
      <c r="CB33" s="244">
        <f t="shared" ref="CB33:DJ33" si="35">SUM(CB27:CB32)</f>
        <v>13186058345197.537</v>
      </c>
      <c r="CC33" s="244">
        <f t="shared" si="35"/>
        <v>13624075144151.043</v>
      </c>
      <c r="CD33" s="244">
        <f t="shared" si="35"/>
        <v>14074333614556.893</v>
      </c>
      <c r="CE33" s="244">
        <f t="shared" si="35"/>
        <v>14537187704993.631</v>
      </c>
      <c r="CF33" s="244">
        <f t="shared" si="35"/>
        <v>15013001895628.461</v>
      </c>
      <c r="CG33" s="244">
        <f t="shared" si="35"/>
        <v>15502151518143.711</v>
      </c>
      <c r="CH33" s="244">
        <f t="shared" si="35"/>
        <v>16005023085522.461</v>
      </c>
      <c r="CI33" s="244">
        <f t="shared" si="35"/>
        <v>16522014632000.125</v>
      </c>
      <c r="CJ33" s="244">
        <f t="shared" si="35"/>
        <v>17053536063498.348</v>
      </c>
      <c r="CK33" s="244">
        <f t="shared" si="35"/>
        <v>17600009518867.531</v>
      </c>
      <c r="CL33" s="244">
        <f t="shared" si="35"/>
        <v>18161869742274.465</v>
      </c>
      <c r="CM33" s="244">
        <f t="shared" si="35"/>
        <v>18739564457082.168</v>
      </c>
      <c r="CN33" s="244">
        <f t="shared" si="35"/>
        <v>19333554791579.789</v>
      </c>
      <c r="CO33" s="244">
        <f t="shared" si="35"/>
        <v>19944315656931.789</v>
      </c>
      <c r="CP33" s="244">
        <f t="shared" si="35"/>
        <v>20572336177727.039</v>
      </c>
      <c r="CQ33" s="244">
        <f t="shared" si="35"/>
        <v>21218120125520.52</v>
      </c>
      <c r="CR33" s="244">
        <f t="shared" si="35"/>
        <v>21882186365772.555</v>
      </c>
      <c r="CS33" s="244">
        <f t="shared" si="35"/>
        <v>22565069318603.215</v>
      </c>
      <c r="CT33" s="244">
        <f t="shared" si="35"/>
        <v>23267319433792.609</v>
      </c>
      <c r="CU33" s="244">
        <f t="shared" si="35"/>
        <v>23989503680471.348</v>
      </c>
      <c r="CV33" s="244">
        <f t="shared" si="35"/>
        <v>24732206051959.301</v>
      </c>
      <c r="CW33" s="244">
        <f t="shared" si="35"/>
        <v>25496028086225.219</v>
      </c>
      <c r="CX33" s="244">
        <f t="shared" si="35"/>
        <v>26281589402454.562</v>
      </c>
      <c r="CY33" s="244">
        <f t="shared" si="35"/>
        <v>27089528244228.199</v>
      </c>
      <c r="CZ33" s="244">
        <f t="shared" si="35"/>
        <v>27920502079830.367</v>
      </c>
      <c r="DA33" s="244">
        <f t="shared" si="35"/>
        <v>28775188160220.629</v>
      </c>
      <c r="DB33" s="244">
        <f t="shared" si="35"/>
        <v>29654284135221.219</v>
      </c>
      <c r="DC33" s="244">
        <f t="shared" si="35"/>
        <v>30558508678488.605</v>
      </c>
      <c r="DD33" s="244">
        <f t="shared" si="35"/>
        <v>31488602131855.852</v>
      </c>
      <c r="DE33" s="244">
        <f t="shared" si="35"/>
        <v>32445327169650.812</v>
      </c>
      <c r="DF33" s="244">
        <f t="shared" si="35"/>
        <v>33429469483614.215</v>
      </c>
      <c r="DG33" s="244">
        <f t="shared" si="35"/>
        <v>34441838489061.199</v>
      </c>
      <c r="DH33" s="244">
        <f t="shared" si="35"/>
        <v>35483268052950.172</v>
      </c>
      <c r="DI33" s="244">
        <f t="shared" si="35"/>
        <v>36554617244543.609</v>
      </c>
      <c r="DJ33" s="244">
        <f t="shared" si="35"/>
        <v>37656771109367.07</v>
      </c>
      <c r="DK33" s="244">
        <f>SUM(DK27:DK32)</f>
        <v>38790641457194.578</v>
      </c>
      <c r="DL33" s="244">
        <f t="shared" ref="DL33:DV33" si="36">SUM(DL27:DL32)</f>
        <v>39957167714811.828</v>
      </c>
      <c r="DM33" s="244">
        <f t="shared" si="36"/>
        <v>41157317744331.859</v>
      </c>
      <c r="DN33" s="244">
        <f t="shared" si="36"/>
        <v>42392088727862.477</v>
      </c>
      <c r="DO33" s="244">
        <f t="shared" si="36"/>
        <v>43662508069349.578</v>
      </c>
      <c r="DP33" s="244">
        <f t="shared" si="36"/>
        <v>44969634324446.703</v>
      </c>
      <c r="DQ33" s="244">
        <f t="shared" si="36"/>
        <v>46314558159287.562</v>
      </c>
      <c r="DR33" s="244">
        <f t="shared" si="36"/>
        <v>47698403339066.055</v>
      </c>
      <c r="DS33" s="244">
        <f t="shared" si="36"/>
        <v>49122327747356.672</v>
      </c>
      <c r="DT33" s="244">
        <f t="shared" si="36"/>
        <v>50587524437137.406</v>
      </c>
      <c r="DU33" s="244">
        <f t="shared" si="36"/>
        <v>52095222714507.656</v>
      </c>
      <c r="DV33" s="244">
        <f t="shared" si="36"/>
        <v>53646689256124.797</v>
      </c>
    </row>
    <row r="34" spans="1:126">
      <c r="A34" s="372" t="s">
        <v>256</v>
      </c>
      <c r="B34" s="373"/>
      <c r="C34" s="373"/>
      <c r="D34" s="373"/>
      <c r="E34" s="373"/>
      <c r="F34" s="374"/>
      <c r="G34" s="238"/>
      <c r="H34" s="238"/>
      <c r="I34" s="238"/>
      <c r="J34" s="238"/>
      <c r="K34" s="238"/>
      <c r="L34" s="238"/>
      <c r="M34" s="238"/>
      <c r="N34" s="238"/>
      <c r="O34" s="238"/>
      <c r="P34" s="238"/>
      <c r="Q34" s="238"/>
      <c r="R34" s="238"/>
      <c r="S34" s="238"/>
      <c r="T34" s="238"/>
      <c r="U34" s="238"/>
      <c r="V34" s="238"/>
      <c r="W34" s="238"/>
      <c r="X34" s="238"/>
      <c r="Y34" s="238"/>
      <c r="Z34" s="238"/>
      <c r="AA34" s="238"/>
      <c r="AB34" s="238"/>
      <c r="AC34" s="238"/>
      <c r="AD34" s="238"/>
      <c r="AE34" s="238"/>
      <c r="AF34" s="238"/>
      <c r="AG34" s="238"/>
      <c r="AH34" s="238"/>
      <c r="AI34" s="238"/>
      <c r="AJ34" s="238"/>
      <c r="AK34" s="238"/>
      <c r="AL34" s="238"/>
      <c r="AM34" s="238"/>
      <c r="AN34" s="238"/>
      <c r="AO34" s="238"/>
      <c r="AP34" s="238"/>
      <c r="AQ34" s="238"/>
      <c r="AR34" s="238"/>
      <c r="AS34" s="238"/>
      <c r="AT34" s="238"/>
      <c r="AU34" s="238"/>
      <c r="AV34" s="238"/>
      <c r="AW34" s="238"/>
      <c r="AX34" s="238"/>
      <c r="AY34" s="238"/>
      <c r="AZ34" s="238"/>
      <c r="BA34" s="238"/>
      <c r="BB34" s="238"/>
      <c r="BC34" s="238"/>
      <c r="BD34" s="238"/>
      <c r="BE34" s="238"/>
      <c r="BF34" s="238"/>
      <c r="BG34" s="238"/>
      <c r="BH34" s="238"/>
      <c r="BI34" s="238"/>
      <c r="BJ34" s="238"/>
      <c r="BK34" s="238"/>
      <c r="BL34" s="238"/>
      <c r="BM34" s="238"/>
      <c r="BN34" s="238"/>
      <c r="BO34" s="238"/>
      <c r="BP34" s="238"/>
      <c r="BQ34" s="238"/>
      <c r="BR34" s="238"/>
      <c r="BS34" s="238"/>
      <c r="BT34" s="238"/>
      <c r="BU34" s="238"/>
      <c r="BV34" s="238"/>
      <c r="BW34" s="238"/>
      <c r="BX34" s="238"/>
      <c r="BY34" s="238"/>
      <c r="BZ34" s="238"/>
      <c r="CA34" s="238"/>
      <c r="CB34" s="238"/>
      <c r="CC34" s="238"/>
      <c r="CD34" s="238"/>
      <c r="CE34" s="238"/>
      <c r="CF34" s="238"/>
      <c r="CG34" s="238"/>
      <c r="CH34" s="238"/>
      <c r="CI34" s="238"/>
      <c r="CJ34" s="238"/>
      <c r="CK34" s="238"/>
      <c r="CL34" s="238"/>
      <c r="CM34" s="238"/>
      <c r="CN34" s="238"/>
      <c r="CO34" s="238"/>
      <c r="CP34" s="238"/>
      <c r="CQ34" s="238"/>
      <c r="CR34" s="238"/>
      <c r="CS34" s="238"/>
      <c r="CT34" s="238"/>
      <c r="CU34" s="238"/>
      <c r="CV34" s="238"/>
      <c r="CW34" s="238"/>
      <c r="CX34" s="238"/>
      <c r="CY34" s="238"/>
      <c r="CZ34" s="238"/>
      <c r="DA34" s="238"/>
      <c r="DB34" s="238"/>
      <c r="DC34" s="238"/>
      <c r="DD34" s="238"/>
      <c r="DE34" s="238"/>
      <c r="DF34" s="238"/>
      <c r="DG34" s="238"/>
      <c r="DH34" s="238"/>
      <c r="DI34" s="238"/>
      <c r="DJ34" s="238"/>
      <c r="DK34" s="238"/>
      <c r="DL34" s="238"/>
      <c r="DM34" s="238"/>
      <c r="DN34" s="238"/>
      <c r="DO34" s="238"/>
      <c r="DP34" s="238"/>
      <c r="DQ34" s="238"/>
      <c r="DR34" s="238"/>
      <c r="DS34" s="238"/>
      <c r="DT34" s="238"/>
      <c r="DU34" s="238"/>
      <c r="DV34" s="238"/>
    </row>
    <row r="35" spans="1:126">
      <c r="A35" s="253" t="s">
        <v>12</v>
      </c>
      <c r="B35" s="237" t="s">
        <v>257</v>
      </c>
      <c r="C35" s="237" t="s">
        <v>35</v>
      </c>
      <c r="D35" s="237">
        <f t="shared" ref="D35:D38" si="37">SUM(G35:R35)</f>
        <v>0</v>
      </c>
      <c r="E35" s="237">
        <f t="shared" ref="E35:E38" si="38">SUM(S35:AD35)</f>
        <v>0</v>
      </c>
      <c r="F35" s="237">
        <f t="shared" ref="F35:F38" si="39">SUM(AE35:AP35)</f>
        <v>0</v>
      </c>
      <c r="G35" s="238">
        <v>0</v>
      </c>
      <c r="H35" s="238">
        <v>0</v>
      </c>
      <c r="I35" s="238">
        <v>0</v>
      </c>
      <c r="J35" s="238">
        <v>0</v>
      </c>
      <c r="K35" s="238">
        <v>0</v>
      </c>
      <c r="L35" s="238">
        <v>0</v>
      </c>
      <c r="M35" s="238">
        <v>0</v>
      </c>
      <c r="N35" s="238">
        <v>0</v>
      </c>
      <c r="O35" s="238">
        <v>0</v>
      </c>
      <c r="P35" s="238">
        <v>0</v>
      </c>
      <c r="Q35" s="238">
        <v>0</v>
      </c>
      <c r="R35" s="238">
        <v>0</v>
      </c>
      <c r="S35" s="238">
        <v>0</v>
      </c>
      <c r="T35" s="238">
        <v>0</v>
      </c>
      <c r="U35" s="238">
        <v>0</v>
      </c>
      <c r="V35" s="238">
        <v>0</v>
      </c>
      <c r="W35" s="238">
        <v>0</v>
      </c>
      <c r="X35" s="238">
        <v>0</v>
      </c>
      <c r="Y35" s="238">
        <v>0</v>
      </c>
      <c r="Z35" s="238">
        <v>0</v>
      </c>
      <c r="AA35" s="238">
        <v>0</v>
      </c>
      <c r="AB35" s="238">
        <v>0</v>
      </c>
      <c r="AC35" s="238">
        <v>0</v>
      </c>
      <c r="AD35" s="238">
        <v>0</v>
      </c>
      <c r="AE35" s="238">
        <v>0</v>
      </c>
      <c r="AF35" s="238">
        <v>0</v>
      </c>
      <c r="AG35" s="238">
        <v>0</v>
      </c>
      <c r="AH35" s="238">
        <v>0</v>
      </c>
      <c r="AI35" s="238">
        <v>0</v>
      </c>
      <c r="AJ35" s="238">
        <v>0</v>
      </c>
      <c r="AK35" s="238">
        <v>0</v>
      </c>
      <c r="AL35" s="238">
        <v>0</v>
      </c>
      <c r="AM35" s="238">
        <v>0</v>
      </c>
      <c r="AN35" s="238">
        <v>0</v>
      </c>
      <c r="AO35" s="238">
        <v>0</v>
      </c>
      <c r="AP35" s="238">
        <v>0</v>
      </c>
      <c r="AQ35" s="238">
        <v>0</v>
      </c>
      <c r="AR35" s="238">
        <v>0</v>
      </c>
      <c r="AS35" s="238">
        <v>0</v>
      </c>
      <c r="AT35" s="238">
        <v>0</v>
      </c>
      <c r="AU35" s="238">
        <v>0</v>
      </c>
      <c r="AV35" s="238">
        <v>0</v>
      </c>
      <c r="AW35" s="238">
        <v>0</v>
      </c>
      <c r="AX35" s="238">
        <v>0</v>
      </c>
      <c r="AY35" s="238">
        <v>0</v>
      </c>
      <c r="AZ35" s="238">
        <v>0</v>
      </c>
      <c r="BA35" s="238">
        <v>0</v>
      </c>
      <c r="BB35" s="238">
        <v>0</v>
      </c>
      <c r="BC35" s="238">
        <v>0</v>
      </c>
      <c r="BD35" s="238">
        <v>0</v>
      </c>
      <c r="BE35" s="238">
        <v>0</v>
      </c>
      <c r="BF35" s="238">
        <v>0</v>
      </c>
      <c r="BG35" s="238">
        <v>0</v>
      </c>
      <c r="BH35" s="238">
        <v>0</v>
      </c>
      <c r="BI35" s="238">
        <v>0</v>
      </c>
      <c r="BJ35" s="238">
        <v>0</v>
      </c>
      <c r="BK35" s="238">
        <v>0</v>
      </c>
      <c r="BL35" s="238">
        <v>0</v>
      </c>
      <c r="BM35" s="238">
        <v>0</v>
      </c>
      <c r="BN35" s="238">
        <v>0</v>
      </c>
      <c r="BO35" s="238">
        <v>0</v>
      </c>
      <c r="BP35" s="238">
        <v>0</v>
      </c>
      <c r="BQ35" s="238">
        <v>0</v>
      </c>
      <c r="BR35" s="238">
        <v>0</v>
      </c>
      <c r="BS35" s="238">
        <v>0</v>
      </c>
      <c r="BT35" s="238">
        <v>0</v>
      </c>
      <c r="BU35" s="238">
        <v>0</v>
      </c>
      <c r="BV35" s="238">
        <v>0</v>
      </c>
      <c r="BW35" s="238">
        <v>0</v>
      </c>
      <c r="BX35" s="238">
        <v>0</v>
      </c>
      <c r="BY35" s="238">
        <v>0</v>
      </c>
      <c r="BZ35" s="238">
        <v>0</v>
      </c>
      <c r="CA35" s="238">
        <v>0</v>
      </c>
      <c r="CB35" s="238">
        <v>0</v>
      </c>
      <c r="CC35" s="238">
        <v>0</v>
      </c>
      <c r="CD35" s="238">
        <v>0</v>
      </c>
      <c r="CE35" s="238">
        <v>0</v>
      </c>
      <c r="CF35" s="238">
        <v>0</v>
      </c>
      <c r="CG35" s="238">
        <v>0</v>
      </c>
      <c r="CH35" s="238">
        <v>0</v>
      </c>
      <c r="CI35" s="238">
        <v>0</v>
      </c>
      <c r="CJ35" s="238">
        <v>0</v>
      </c>
      <c r="CK35" s="238">
        <v>0</v>
      </c>
      <c r="CL35" s="238">
        <v>0</v>
      </c>
      <c r="CM35" s="238">
        <v>0</v>
      </c>
      <c r="CN35" s="238">
        <v>0</v>
      </c>
      <c r="CO35" s="238">
        <v>0</v>
      </c>
      <c r="CP35" s="238">
        <v>0</v>
      </c>
      <c r="CQ35" s="238">
        <v>0</v>
      </c>
      <c r="CR35" s="238">
        <v>0</v>
      </c>
      <c r="CS35" s="238">
        <v>0</v>
      </c>
      <c r="CT35" s="238">
        <v>0</v>
      </c>
      <c r="CU35" s="238">
        <v>0</v>
      </c>
      <c r="CV35" s="238">
        <v>0</v>
      </c>
      <c r="CW35" s="238">
        <v>0</v>
      </c>
      <c r="CX35" s="238">
        <v>0</v>
      </c>
      <c r="CY35" s="238">
        <v>0</v>
      </c>
      <c r="CZ35" s="238">
        <v>0</v>
      </c>
      <c r="DA35" s="238">
        <v>0</v>
      </c>
      <c r="DB35" s="238">
        <v>0</v>
      </c>
      <c r="DC35" s="238">
        <v>0</v>
      </c>
      <c r="DD35" s="238">
        <v>0</v>
      </c>
      <c r="DE35" s="238">
        <v>0</v>
      </c>
      <c r="DF35" s="238">
        <v>0</v>
      </c>
      <c r="DG35" s="238">
        <v>0</v>
      </c>
      <c r="DH35" s="238">
        <v>0</v>
      </c>
      <c r="DI35" s="238">
        <v>0</v>
      </c>
      <c r="DJ35" s="238">
        <v>0</v>
      </c>
      <c r="DK35" s="238">
        <v>0</v>
      </c>
      <c r="DL35" s="238">
        <v>0</v>
      </c>
      <c r="DM35" s="238">
        <v>0</v>
      </c>
      <c r="DN35" s="238">
        <v>0</v>
      </c>
      <c r="DO35" s="238">
        <v>0</v>
      </c>
      <c r="DP35" s="238">
        <v>0</v>
      </c>
      <c r="DQ35" s="238">
        <v>0</v>
      </c>
      <c r="DR35" s="238">
        <v>0</v>
      </c>
      <c r="DS35" s="238">
        <v>0</v>
      </c>
      <c r="DT35" s="238">
        <v>0</v>
      </c>
      <c r="DU35" s="238">
        <v>0</v>
      </c>
      <c r="DV35" s="238">
        <v>0</v>
      </c>
    </row>
    <row r="36" spans="1:126">
      <c r="A36" s="253" t="s">
        <v>258</v>
      </c>
      <c r="B36" s="237" t="s">
        <v>259</v>
      </c>
      <c r="C36" s="237" t="s">
        <v>35</v>
      </c>
      <c r="D36" s="237">
        <f t="shared" si="37"/>
        <v>0</v>
      </c>
      <c r="E36" s="237">
        <f t="shared" si="38"/>
        <v>0</v>
      </c>
      <c r="F36" s="237">
        <f t="shared" si="39"/>
        <v>0</v>
      </c>
      <c r="G36" s="238">
        <v>0</v>
      </c>
      <c r="H36" s="238">
        <v>0</v>
      </c>
      <c r="I36" s="238">
        <v>0</v>
      </c>
      <c r="J36" s="238">
        <v>0</v>
      </c>
      <c r="K36" s="238">
        <v>0</v>
      </c>
      <c r="L36" s="238">
        <v>0</v>
      </c>
      <c r="M36" s="238">
        <v>0</v>
      </c>
      <c r="N36" s="238">
        <v>0</v>
      </c>
      <c r="O36" s="238">
        <v>0</v>
      </c>
      <c r="P36" s="238">
        <v>0</v>
      </c>
      <c r="Q36" s="238">
        <v>0</v>
      </c>
      <c r="R36" s="238">
        <v>0</v>
      </c>
      <c r="S36" s="238">
        <v>0</v>
      </c>
      <c r="T36" s="238">
        <v>0</v>
      </c>
      <c r="U36" s="238">
        <v>0</v>
      </c>
      <c r="V36" s="238">
        <v>0</v>
      </c>
      <c r="W36" s="238">
        <v>0</v>
      </c>
      <c r="X36" s="238">
        <v>0</v>
      </c>
      <c r="Y36" s="238">
        <v>0</v>
      </c>
      <c r="Z36" s="238">
        <v>0</v>
      </c>
      <c r="AA36" s="238">
        <v>0</v>
      </c>
      <c r="AB36" s="238">
        <v>0</v>
      </c>
      <c r="AC36" s="238">
        <v>0</v>
      </c>
      <c r="AD36" s="238">
        <v>0</v>
      </c>
      <c r="AE36" s="238">
        <v>0</v>
      </c>
      <c r="AF36" s="238">
        <v>0</v>
      </c>
      <c r="AG36" s="238">
        <v>0</v>
      </c>
      <c r="AH36" s="238">
        <v>0</v>
      </c>
      <c r="AI36" s="238">
        <v>0</v>
      </c>
      <c r="AJ36" s="238">
        <v>0</v>
      </c>
      <c r="AK36" s="238">
        <v>0</v>
      </c>
      <c r="AL36" s="238">
        <v>0</v>
      </c>
      <c r="AM36" s="238">
        <v>0</v>
      </c>
      <c r="AN36" s="238">
        <v>0</v>
      </c>
      <c r="AO36" s="238">
        <v>0</v>
      </c>
      <c r="AP36" s="238">
        <v>0</v>
      </c>
      <c r="AQ36" s="238">
        <v>0</v>
      </c>
      <c r="AR36" s="238">
        <v>0</v>
      </c>
      <c r="AS36" s="238">
        <v>0</v>
      </c>
      <c r="AT36" s="238">
        <v>0</v>
      </c>
      <c r="AU36" s="238">
        <v>0</v>
      </c>
      <c r="AV36" s="238">
        <v>0</v>
      </c>
      <c r="AW36" s="238">
        <v>0</v>
      </c>
      <c r="AX36" s="238">
        <v>0</v>
      </c>
      <c r="AY36" s="238">
        <v>0</v>
      </c>
      <c r="AZ36" s="238">
        <v>0</v>
      </c>
      <c r="BA36" s="238">
        <v>0</v>
      </c>
      <c r="BB36" s="238">
        <v>0</v>
      </c>
      <c r="BC36" s="238">
        <v>0</v>
      </c>
      <c r="BD36" s="238">
        <v>0</v>
      </c>
      <c r="BE36" s="238">
        <v>0</v>
      </c>
      <c r="BF36" s="238">
        <v>0</v>
      </c>
      <c r="BG36" s="238">
        <v>0</v>
      </c>
      <c r="BH36" s="238">
        <v>0</v>
      </c>
      <c r="BI36" s="238">
        <v>0</v>
      </c>
      <c r="BJ36" s="238">
        <v>0</v>
      </c>
      <c r="BK36" s="238">
        <v>0</v>
      </c>
      <c r="BL36" s="238">
        <v>0</v>
      </c>
      <c r="BM36" s="238">
        <v>0</v>
      </c>
      <c r="BN36" s="238">
        <v>0</v>
      </c>
      <c r="BO36" s="238">
        <v>0</v>
      </c>
      <c r="BP36" s="238">
        <v>0</v>
      </c>
      <c r="BQ36" s="238">
        <v>0</v>
      </c>
      <c r="BR36" s="238">
        <v>0</v>
      </c>
      <c r="BS36" s="238">
        <v>0</v>
      </c>
      <c r="BT36" s="238">
        <v>0</v>
      </c>
      <c r="BU36" s="238">
        <v>0</v>
      </c>
      <c r="BV36" s="238">
        <v>0</v>
      </c>
      <c r="BW36" s="238">
        <v>0</v>
      </c>
      <c r="BX36" s="238">
        <v>0</v>
      </c>
      <c r="BY36" s="238">
        <v>0</v>
      </c>
      <c r="BZ36" s="238">
        <v>0</v>
      </c>
      <c r="CA36" s="238">
        <v>0</v>
      </c>
      <c r="CB36" s="238">
        <v>0</v>
      </c>
      <c r="CC36" s="238">
        <v>0</v>
      </c>
      <c r="CD36" s="238">
        <v>0</v>
      </c>
      <c r="CE36" s="238">
        <v>0</v>
      </c>
      <c r="CF36" s="238">
        <v>0</v>
      </c>
      <c r="CG36" s="238">
        <v>0</v>
      </c>
      <c r="CH36" s="238">
        <v>0</v>
      </c>
      <c r="CI36" s="238">
        <v>0</v>
      </c>
      <c r="CJ36" s="238">
        <v>0</v>
      </c>
      <c r="CK36" s="238">
        <v>0</v>
      </c>
      <c r="CL36" s="238">
        <v>0</v>
      </c>
      <c r="CM36" s="238">
        <v>0</v>
      </c>
      <c r="CN36" s="238">
        <v>0</v>
      </c>
      <c r="CO36" s="238">
        <v>0</v>
      </c>
      <c r="CP36" s="238">
        <v>0</v>
      </c>
      <c r="CQ36" s="238">
        <v>0</v>
      </c>
      <c r="CR36" s="238">
        <v>0</v>
      </c>
      <c r="CS36" s="238">
        <v>0</v>
      </c>
      <c r="CT36" s="238">
        <v>0</v>
      </c>
      <c r="CU36" s="238">
        <v>0</v>
      </c>
      <c r="CV36" s="238">
        <v>0</v>
      </c>
      <c r="CW36" s="238">
        <v>0</v>
      </c>
      <c r="CX36" s="238">
        <v>0</v>
      </c>
      <c r="CY36" s="238">
        <v>0</v>
      </c>
      <c r="CZ36" s="238">
        <v>0</v>
      </c>
      <c r="DA36" s="238">
        <v>0</v>
      </c>
      <c r="DB36" s="238">
        <v>0</v>
      </c>
      <c r="DC36" s="238">
        <v>0</v>
      </c>
      <c r="DD36" s="238">
        <v>0</v>
      </c>
      <c r="DE36" s="238">
        <v>0</v>
      </c>
      <c r="DF36" s="238">
        <v>0</v>
      </c>
      <c r="DG36" s="238">
        <v>0</v>
      </c>
      <c r="DH36" s="238">
        <v>0</v>
      </c>
      <c r="DI36" s="238">
        <v>0</v>
      </c>
      <c r="DJ36" s="238">
        <v>0</v>
      </c>
      <c r="DK36" s="238">
        <v>0</v>
      </c>
      <c r="DL36" s="238">
        <v>0</v>
      </c>
      <c r="DM36" s="238">
        <v>0</v>
      </c>
      <c r="DN36" s="238">
        <v>0</v>
      </c>
      <c r="DO36" s="238">
        <v>0</v>
      </c>
      <c r="DP36" s="238">
        <v>0</v>
      </c>
      <c r="DQ36" s="238">
        <v>0</v>
      </c>
      <c r="DR36" s="238">
        <v>0</v>
      </c>
      <c r="DS36" s="238">
        <v>0</v>
      </c>
      <c r="DT36" s="238">
        <v>0</v>
      </c>
      <c r="DU36" s="238">
        <v>0</v>
      </c>
      <c r="DV36" s="238">
        <v>0</v>
      </c>
    </row>
    <row r="37" spans="1:126">
      <c r="A37" s="253" t="s">
        <v>260</v>
      </c>
      <c r="B37" s="237" t="s">
        <v>261</v>
      </c>
      <c r="C37" s="237" t="s">
        <v>35</v>
      </c>
      <c r="D37" s="237">
        <f t="shared" si="37"/>
        <v>0</v>
      </c>
      <c r="E37" s="237">
        <f t="shared" si="38"/>
        <v>0</v>
      </c>
      <c r="F37" s="237">
        <f t="shared" si="39"/>
        <v>0</v>
      </c>
      <c r="G37" s="238">
        <v>0</v>
      </c>
      <c r="H37" s="238">
        <v>0</v>
      </c>
      <c r="I37" s="238">
        <v>0</v>
      </c>
      <c r="J37" s="238">
        <v>0</v>
      </c>
      <c r="K37" s="238">
        <v>0</v>
      </c>
      <c r="L37" s="238">
        <v>0</v>
      </c>
      <c r="M37" s="238">
        <v>0</v>
      </c>
      <c r="N37" s="238">
        <v>0</v>
      </c>
      <c r="O37" s="238">
        <v>0</v>
      </c>
      <c r="P37" s="238">
        <v>0</v>
      </c>
      <c r="Q37" s="238">
        <v>0</v>
      </c>
      <c r="R37" s="238">
        <v>0</v>
      </c>
      <c r="S37" s="238">
        <v>0</v>
      </c>
      <c r="T37" s="238">
        <v>0</v>
      </c>
      <c r="U37" s="238">
        <v>0</v>
      </c>
      <c r="V37" s="238">
        <v>0</v>
      </c>
      <c r="W37" s="238">
        <v>0</v>
      </c>
      <c r="X37" s="238">
        <v>0</v>
      </c>
      <c r="Y37" s="238">
        <v>0</v>
      </c>
      <c r="Z37" s="238">
        <v>0</v>
      </c>
      <c r="AA37" s="238">
        <v>0</v>
      </c>
      <c r="AB37" s="238">
        <v>0</v>
      </c>
      <c r="AC37" s="238">
        <v>0</v>
      </c>
      <c r="AD37" s="238">
        <v>0</v>
      </c>
      <c r="AE37" s="238">
        <v>0</v>
      </c>
      <c r="AF37" s="238">
        <v>0</v>
      </c>
      <c r="AG37" s="238">
        <v>0</v>
      </c>
      <c r="AH37" s="238">
        <v>0</v>
      </c>
      <c r="AI37" s="238">
        <v>0</v>
      </c>
      <c r="AJ37" s="238">
        <v>0</v>
      </c>
      <c r="AK37" s="238">
        <v>0</v>
      </c>
      <c r="AL37" s="238">
        <v>0</v>
      </c>
      <c r="AM37" s="238">
        <v>0</v>
      </c>
      <c r="AN37" s="238">
        <v>0</v>
      </c>
      <c r="AO37" s="238">
        <v>0</v>
      </c>
      <c r="AP37" s="238">
        <v>0</v>
      </c>
      <c r="AQ37" s="238">
        <v>0</v>
      </c>
      <c r="AR37" s="238">
        <v>0</v>
      </c>
      <c r="AS37" s="238">
        <v>0</v>
      </c>
      <c r="AT37" s="238">
        <v>0</v>
      </c>
      <c r="AU37" s="238">
        <v>0</v>
      </c>
      <c r="AV37" s="238">
        <v>0</v>
      </c>
      <c r="AW37" s="238">
        <v>0</v>
      </c>
      <c r="AX37" s="238">
        <v>0</v>
      </c>
      <c r="AY37" s="238">
        <v>0</v>
      </c>
      <c r="AZ37" s="238">
        <v>0</v>
      </c>
      <c r="BA37" s="238">
        <v>0</v>
      </c>
      <c r="BB37" s="238">
        <v>0</v>
      </c>
      <c r="BC37" s="238">
        <v>0</v>
      </c>
      <c r="BD37" s="238">
        <v>0</v>
      </c>
      <c r="BE37" s="238">
        <v>0</v>
      </c>
      <c r="BF37" s="238">
        <v>0</v>
      </c>
      <c r="BG37" s="238">
        <v>0</v>
      </c>
      <c r="BH37" s="238">
        <v>0</v>
      </c>
      <c r="BI37" s="238">
        <v>0</v>
      </c>
      <c r="BJ37" s="238">
        <v>0</v>
      </c>
      <c r="BK37" s="238">
        <v>0</v>
      </c>
      <c r="BL37" s="238">
        <v>0</v>
      </c>
      <c r="BM37" s="238">
        <v>0</v>
      </c>
      <c r="BN37" s="238">
        <v>0</v>
      </c>
      <c r="BO37" s="238">
        <v>0</v>
      </c>
      <c r="BP37" s="238">
        <v>0</v>
      </c>
      <c r="BQ37" s="238">
        <v>0</v>
      </c>
      <c r="BR37" s="238">
        <v>0</v>
      </c>
      <c r="BS37" s="238">
        <v>0</v>
      </c>
      <c r="BT37" s="238">
        <v>0</v>
      </c>
      <c r="BU37" s="238">
        <v>0</v>
      </c>
      <c r="BV37" s="238">
        <v>0</v>
      </c>
      <c r="BW37" s="238">
        <v>0</v>
      </c>
      <c r="BX37" s="238">
        <v>0</v>
      </c>
      <c r="BY37" s="238">
        <v>0</v>
      </c>
      <c r="BZ37" s="238">
        <v>0</v>
      </c>
      <c r="CA37" s="238">
        <v>0</v>
      </c>
      <c r="CB37" s="238">
        <v>0</v>
      </c>
      <c r="CC37" s="238">
        <v>0</v>
      </c>
      <c r="CD37" s="238">
        <v>0</v>
      </c>
      <c r="CE37" s="238">
        <v>0</v>
      </c>
      <c r="CF37" s="238">
        <v>0</v>
      </c>
      <c r="CG37" s="238">
        <v>0</v>
      </c>
      <c r="CH37" s="238">
        <v>0</v>
      </c>
      <c r="CI37" s="238">
        <v>0</v>
      </c>
      <c r="CJ37" s="238">
        <v>0</v>
      </c>
      <c r="CK37" s="238">
        <v>0</v>
      </c>
      <c r="CL37" s="238">
        <v>0</v>
      </c>
      <c r="CM37" s="238">
        <v>0</v>
      </c>
      <c r="CN37" s="238">
        <v>0</v>
      </c>
      <c r="CO37" s="238">
        <v>0</v>
      </c>
      <c r="CP37" s="238">
        <v>0</v>
      </c>
      <c r="CQ37" s="238">
        <v>0</v>
      </c>
      <c r="CR37" s="238">
        <v>0</v>
      </c>
      <c r="CS37" s="238">
        <v>0</v>
      </c>
      <c r="CT37" s="238">
        <v>0</v>
      </c>
      <c r="CU37" s="238">
        <v>0</v>
      </c>
      <c r="CV37" s="238">
        <v>0</v>
      </c>
      <c r="CW37" s="238">
        <v>0</v>
      </c>
      <c r="CX37" s="238">
        <v>0</v>
      </c>
      <c r="CY37" s="238">
        <v>0</v>
      </c>
      <c r="CZ37" s="238">
        <v>0</v>
      </c>
      <c r="DA37" s="238">
        <v>0</v>
      </c>
      <c r="DB37" s="238">
        <v>0</v>
      </c>
      <c r="DC37" s="238">
        <v>0</v>
      </c>
      <c r="DD37" s="238">
        <v>0</v>
      </c>
      <c r="DE37" s="238">
        <v>0</v>
      </c>
      <c r="DF37" s="238">
        <v>0</v>
      </c>
      <c r="DG37" s="238">
        <v>0</v>
      </c>
      <c r="DH37" s="238">
        <v>0</v>
      </c>
      <c r="DI37" s="238">
        <v>0</v>
      </c>
      <c r="DJ37" s="238">
        <v>0</v>
      </c>
      <c r="DK37" s="238">
        <v>0</v>
      </c>
      <c r="DL37" s="238">
        <v>0</v>
      </c>
      <c r="DM37" s="238">
        <v>0</v>
      </c>
      <c r="DN37" s="238">
        <v>0</v>
      </c>
      <c r="DO37" s="238">
        <v>0</v>
      </c>
      <c r="DP37" s="238">
        <v>0</v>
      </c>
      <c r="DQ37" s="238">
        <v>0</v>
      </c>
      <c r="DR37" s="238">
        <v>0</v>
      </c>
      <c r="DS37" s="238">
        <v>0</v>
      </c>
      <c r="DT37" s="238">
        <v>0</v>
      </c>
      <c r="DU37" s="238">
        <v>0</v>
      </c>
      <c r="DV37" s="238">
        <v>0</v>
      </c>
    </row>
    <row r="38" spans="1:126">
      <c r="A38" s="253" t="s">
        <v>262</v>
      </c>
      <c r="B38" s="237" t="s">
        <v>263</v>
      </c>
      <c r="C38" s="237" t="s">
        <v>35</v>
      </c>
      <c r="D38" s="237">
        <f t="shared" si="37"/>
        <v>0</v>
      </c>
      <c r="E38" s="237">
        <f t="shared" si="38"/>
        <v>0</v>
      </c>
      <c r="F38" s="237">
        <f t="shared" si="39"/>
        <v>0</v>
      </c>
      <c r="G38" s="238">
        <v>0</v>
      </c>
      <c r="H38" s="238">
        <v>0</v>
      </c>
      <c r="I38" s="238">
        <v>0</v>
      </c>
      <c r="J38" s="238">
        <v>0</v>
      </c>
      <c r="K38" s="238">
        <v>0</v>
      </c>
      <c r="L38" s="238">
        <v>0</v>
      </c>
      <c r="M38" s="238">
        <v>0</v>
      </c>
      <c r="N38" s="238">
        <v>0</v>
      </c>
      <c r="O38" s="238">
        <v>0</v>
      </c>
      <c r="P38" s="238">
        <v>0</v>
      </c>
      <c r="Q38" s="238">
        <v>0</v>
      </c>
      <c r="R38" s="238">
        <v>0</v>
      </c>
      <c r="S38" s="238">
        <v>0</v>
      </c>
      <c r="T38" s="238">
        <v>0</v>
      </c>
      <c r="U38" s="238">
        <v>0</v>
      </c>
      <c r="V38" s="238">
        <v>0</v>
      </c>
      <c r="W38" s="238">
        <v>0</v>
      </c>
      <c r="X38" s="238">
        <v>0</v>
      </c>
      <c r="Y38" s="238">
        <v>0</v>
      </c>
      <c r="Z38" s="238">
        <v>0</v>
      </c>
      <c r="AA38" s="238">
        <v>0</v>
      </c>
      <c r="AB38" s="238">
        <v>0</v>
      </c>
      <c r="AC38" s="238">
        <v>0</v>
      </c>
      <c r="AD38" s="238">
        <v>0</v>
      </c>
      <c r="AE38" s="238">
        <v>0</v>
      </c>
      <c r="AF38" s="238">
        <v>0</v>
      </c>
      <c r="AG38" s="238">
        <v>0</v>
      </c>
      <c r="AH38" s="238">
        <v>0</v>
      </c>
      <c r="AI38" s="238">
        <v>0</v>
      </c>
      <c r="AJ38" s="238">
        <v>0</v>
      </c>
      <c r="AK38" s="238">
        <v>0</v>
      </c>
      <c r="AL38" s="238">
        <v>0</v>
      </c>
      <c r="AM38" s="238">
        <v>0</v>
      </c>
      <c r="AN38" s="238">
        <v>0</v>
      </c>
      <c r="AO38" s="238">
        <v>0</v>
      </c>
      <c r="AP38" s="238">
        <v>0</v>
      </c>
      <c r="AQ38" s="238">
        <v>0</v>
      </c>
      <c r="AR38" s="238">
        <v>0</v>
      </c>
      <c r="AS38" s="238">
        <v>0</v>
      </c>
      <c r="AT38" s="238">
        <v>0</v>
      </c>
      <c r="AU38" s="238">
        <v>0</v>
      </c>
      <c r="AV38" s="238">
        <v>0</v>
      </c>
      <c r="AW38" s="238">
        <v>0</v>
      </c>
      <c r="AX38" s="238">
        <v>0</v>
      </c>
      <c r="AY38" s="238">
        <v>0</v>
      </c>
      <c r="AZ38" s="238">
        <v>0</v>
      </c>
      <c r="BA38" s="238">
        <v>0</v>
      </c>
      <c r="BB38" s="238">
        <v>0</v>
      </c>
      <c r="BC38" s="238">
        <v>0</v>
      </c>
      <c r="BD38" s="238">
        <v>0</v>
      </c>
      <c r="BE38" s="238">
        <v>0</v>
      </c>
      <c r="BF38" s="238">
        <v>0</v>
      </c>
      <c r="BG38" s="238">
        <v>0</v>
      </c>
      <c r="BH38" s="238">
        <v>0</v>
      </c>
      <c r="BI38" s="238">
        <v>0</v>
      </c>
      <c r="BJ38" s="238">
        <v>0</v>
      </c>
      <c r="BK38" s="238">
        <v>0</v>
      </c>
      <c r="BL38" s="238">
        <v>0</v>
      </c>
      <c r="BM38" s="238">
        <v>0</v>
      </c>
      <c r="BN38" s="238">
        <v>0</v>
      </c>
      <c r="BO38" s="238">
        <v>0</v>
      </c>
      <c r="BP38" s="238">
        <v>0</v>
      </c>
      <c r="BQ38" s="238">
        <v>0</v>
      </c>
      <c r="BR38" s="238">
        <v>0</v>
      </c>
      <c r="BS38" s="238">
        <v>0</v>
      </c>
      <c r="BT38" s="238">
        <v>0</v>
      </c>
      <c r="BU38" s="238">
        <v>0</v>
      </c>
      <c r="BV38" s="238">
        <v>0</v>
      </c>
      <c r="BW38" s="238">
        <v>0</v>
      </c>
      <c r="BX38" s="238">
        <v>0</v>
      </c>
      <c r="BY38" s="238">
        <v>0</v>
      </c>
      <c r="BZ38" s="238">
        <v>0</v>
      </c>
      <c r="CA38" s="238">
        <v>0</v>
      </c>
      <c r="CB38" s="238">
        <v>0</v>
      </c>
      <c r="CC38" s="238">
        <v>0</v>
      </c>
      <c r="CD38" s="238">
        <v>0</v>
      </c>
      <c r="CE38" s="238">
        <v>0</v>
      </c>
      <c r="CF38" s="238">
        <v>0</v>
      </c>
      <c r="CG38" s="238">
        <v>0</v>
      </c>
      <c r="CH38" s="238">
        <v>0</v>
      </c>
      <c r="CI38" s="238">
        <v>0</v>
      </c>
      <c r="CJ38" s="238">
        <v>0</v>
      </c>
      <c r="CK38" s="238">
        <v>0</v>
      </c>
      <c r="CL38" s="238">
        <v>0</v>
      </c>
      <c r="CM38" s="238">
        <v>0</v>
      </c>
      <c r="CN38" s="238">
        <v>0</v>
      </c>
      <c r="CO38" s="238">
        <v>0</v>
      </c>
      <c r="CP38" s="238">
        <v>0</v>
      </c>
      <c r="CQ38" s="238">
        <v>0</v>
      </c>
      <c r="CR38" s="238">
        <v>0</v>
      </c>
      <c r="CS38" s="238">
        <v>0</v>
      </c>
      <c r="CT38" s="238">
        <v>0</v>
      </c>
      <c r="CU38" s="238">
        <v>0</v>
      </c>
      <c r="CV38" s="238">
        <v>0</v>
      </c>
      <c r="CW38" s="238">
        <v>0</v>
      </c>
      <c r="CX38" s="238">
        <v>0</v>
      </c>
      <c r="CY38" s="238">
        <v>0</v>
      </c>
      <c r="CZ38" s="238">
        <v>0</v>
      </c>
      <c r="DA38" s="238">
        <v>0</v>
      </c>
      <c r="DB38" s="238">
        <v>0</v>
      </c>
      <c r="DC38" s="238">
        <v>0</v>
      </c>
      <c r="DD38" s="238">
        <v>0</v>
      </c>
      <c r="DE38" s="238">
        <v>0</v>
      </c>
      <c r="DF38" s="238">
        <v>0</v>
      </c>
      <c r="DG38" s="238">
        <v>0</v>
      </c>
      <c r="DH38" s="238">
        <v>0</v>
      </c>
      <c r="DI38" s="238">
        <v>0</v>
      </c>
      <c r="DJ38" s="238">
        <v>0</v>
      </c>
      <c r="DK38" s="238">
        <v>0</v>
      </c>
      <c r="DL38" s="238">
        <v>0</v>
      </c>
      <c r="DM38" s="238">
        <v>0</v>
      </c>
      <c r="DN38" s="238">
        <v>0</v>
      </c>
      <c r="DO38" s="238">
        <v>0</v>
      </c>
      <c r="DP38" s="238">
        <v>0</v>
      </c>
      <c r="DQ38" s="238">
        <v>0</v>
      </c>
      <c r="DR38" s="238">
        <v>0</v>
      </c>
      <c r="DS38" s="238">
        <v>0</v>
      </c>
      <c r="DT38" s="238">
        <v>0</v>
      </c>
      <c r="DU38" s="238">
        <v>0</v>
      </c>
      <c r="DV38" s="238">
        <v>0</v>
      </c>
    </row>
    <row r="39" spans="1:126">
      <c r="A39" s="254" t="s">
        <v>264</v>
      </c>
      <c r="B39" s="242" t="s">
        <v>265</v>
      </c>
      <c r="C39" s="242" t="s">
        <v>35</v>
      </c>
      <c r="D39" s="252">
        <f>SUM(D35:D38)</f>
        <v>0</v>
      </c>
      <c r="E39" s="252">
        <f>SUM(E35:E38)</f>
        <v>0</v>
      </c>
      <c r="F39" s="252">
        <f>SUM(F35:F38)</f>
        <v>0</v>
      </c>
      <c r="G39" s="244">
        <f>SUM(G35:G38)</f>
        <v>0</v>
      </c>
      <c r="H39" s="244">
        <f t="shared" ref="H39:AO39" si="40">SUM(H35:H38)</f>
        <v>0</v>
      </c>
      <c r="I39" s="244">
        <f t="shared" si="40"/>
        <v>0</v>
      </c>
      <c r="J39" s="244">
        <f t="shared" si="40"/>
        <v>0</v>
      </c>
      <c r="K39" s="244">
        <f t="shared" si="40"/>
        <v>0</v>
      </c>
      <c r="L39" s="244">
        <f t="shared" si="40"/>
        <v>0</v>
      </c>
      <c r="M39" s="244">
        <f t="shared" si="40"/>
        <v>0</v>
      </c>
      <c r="N39" s="244">
        <f t="shared" si="40"/>
        <v>0</v>
      </c>
      <c r="O39" s="244">
        <f t="shared" si="40"/>
        <v>0</v>
      </c>
      <c r="P39" s="244">
        <f t="shared" si="40"/>
        <v>0</v>
      </c>
      <c r="Q39" s="244">
        <f t="shared" si="40"/>
        <v>0</v>
      </c>
      <c r="R39" s="244">
        <f t="shared" si="40"/>
        <v>0</v>
      </c>
      <c r="S39" s="244">
        <f t="shared" si="40"/>
        <v>0</v>
      </c>
      <c r="T39" s="244">
        <f t="shared" si="40"/>
        <v>0</v>
      </c>
      <c r="U39" s="244">
        <f t="shared" si="40"/>
        <v>0</v>
      </c>
      <c r="V39" s="244">
        <f t="shared" si="40"/>
        <v>0</v>
      </c>
      <c r="W39" s="244">
        <f t="shared" si="40"/>
        <v>0</v>
      </c>
      <c r="X39" s="244">
        <f t="shared" si="40"/>
        <v>0</v>
      </c>
      <c r="Y39" s="244">
        <f t="shared" si="40"/>
        <v>0</v>
      </c>
      <c r="Z39" s="244">
        <f t="shared" si="40"/>
        <v>0</v>
      </c>
      <c r="AA39" s="244">
        <f t="shared" si="40"/>
        <v>0</v>
      </c>
      <c r="AB39" s="244">
        <f t="shared" si="40"/>
        <v>0</v>
      </c>
      <c r="AC39" s="244">
        <f t="shared" si="40"/>
        <v>0</v>
      </c>
      <c r="AD39" s="244">
        <f t="shared" si="40"/>
        <v>0</v>
      </c>
      <c r="AE39" s="244">
        <f t="shared" si="40"/>
        <v>0</v>
      </c>
      <c r="AF39" s="244">
        <f t="shared" si="40"/>
        <v>0</v>
      </c>
      <c r="AG39" s="244">
        <f t="shared" si="40"/>
        <v>0</v>
      </c>
      <c r="AH39" s="244">
        <f t="shared" si="40"/>
        <v>0</v>
      </c>
      <c r="AI39" s="244">
        <f t="shared" si="40"/>
        <v>0</v>
      </c>
      <c r="AJ39" s="244">
        <f t="shared" si="40"/>
        <v>0</v>
      </c>
      <c r="AK39" s="244">
        <f t="shared" si="40"/>
        <v>0</v>
      </c>
      <c r="AL39" s="244">
        <f t="shared" si="40"/>
        <v>0</v>
      </c>
      <c r="AM39" s="244">
        <f t="shared" si="40"/>
        <v>0</v>
      </c>
      <c r="AN39" s="244">
        <f t="shared" si="40"/>
        <v>0</v>
      </c>
      <c r="AO39" s="244">
        <f t="shared" si="40"/>
        <v>0</v>
      </c>
      <c r="AP39" s="244">
        <v>0</v>
      </c>
      <c r="AQ39" s="244">
        <f>SUM(AQ35:AQ38)</f>
        <v>0</v>
      </c>
      <c r="AR39" s="244">
        <f t="shared" ref="AR39:BZ39" si="41">SUM(AR35:AR38)</f>
        <v>0</v>
      </c>
      <c r="AS39" s="244">
        <f t="shared" si="41"/>
        <v>0</v>
      </c>
      <c r="AT39" s="244">
        <f t="shared" si="41"/>
        <v>0</v>
      </c>
      <c r="AU39" s="244">
        <f t="shared" si="41"/>
        <v>0</v>
      </c>
      <c r="AV39" s="244">
        <f t="shared" si="41"/>
        <v>0</v>
      </c>
      <c r="AW39" s="244">
        <f t="shared" si="41"/>
        <v>0</v>
      </c>
      <c r="AX39" s="244">
        <f t="shared" si="41"/>
        <v>0</v>
      </c>
      <c r="AY39" s="244">
        <f t="shared" si="41"/>
        <v>0</v>
      </c>
      <c r="AZ39" s="244">
        <f t="shared" si="41"/>
        <v>0</v>
      </c>
      <c r="BA39" s="244">
        <f t="shared" si="41"/>
        <v>0</v>
      </c>
      <c r="BB39" s="244">
        <f t="shared" si="41"/>
        <v>0</v>
      </c>
      <c r="BC39" s="244">
        <f t="shared" si="41"/>
        <v>0</v>
      </c>
      <c r="BD39" s="244">
        <f t="shared" si="41"/>
        <v>0</v>
      </c>
      <c r="BE39" s="244">
        <f t="shared" si="41"/>
        <v>0</v>
      </c>
      <c r="BF39" s="244">
        <f t="shared" si="41"/>
        <v>0</v>
      </c>
      <c r="BG39" s="244">
        <f t="shared" si="41"/>
        <v>0</v>
      </c>
      <c r="BH39" s="244">
        <f t="shared" si="41"/>
        <v>0</v>
      </c>
      <c r="BI39" s="244">
        <f t="shared" si="41"/>
        <v>0</v>
      </c>
      <c r="BJ39" s="244">
        <f t="shared" si="41"/>
        <v>0</v>
      </c>
      <c r="BK39" s="244">
        <f t="shared" si="41"/>
        <v>0</v>
      </c>
      <c r="BL39" s="244">
        <f t="shared" si="41"/>
        <v>0</v>
      </c>
      <c r="BM39" s="244">
        <f t="shared" si="41"/>
        <v>0</v>
      </c>
      <c r="BN39" s="244">
        <f t="shared" si="41"/>
        <v>0</v>
      </c>
      <c r="BO39" s="244">
        <f t="shared" si="41"/>
        <v>0</v>
      </c>
      <c r="BP39" s="244">
        <f t="shared" si="41"/>
        <v>0</v>
      </c>
      <c r="BQ39" s="244">
        <f t="shared" si="41"/>
        <v>0</v>
      </c>
      <c r="BR39" s="244">
        <f t="shared" si="41"/>
        <v>0</v>
      </c>
      <c r="BS39" s="244">
        <f t="shared" si="41"/>
        <v>0</v>
      </c>
      <c r="BT39" s="244">
        <f t="shared" si="41"/>
        <v>0</v>
      </c>
      <c r="BU39" s="244">
        <f t="shared" si="41"/>
        <v>0</v>
      </c>
      <c r="BV39" s="244">
        <f t="shared" si="41"/>
        <v>0</v>
      </c>
      <c r="BW39" s="244">
        <f t="shared" si="41"/>
        <v>0</v>
      </c>
      <c r="BX39" s="244">
        <f t="shared" si="41"/>
        <v>0</v>
      </c>
      <c r="BY39" s="244">
        <f t="shared" si="41"/>
        <v>0</v>
      </c>
      <c r="BZ39" s="244">
        <f t="shared" si="41"/>
        <v>0</v>
      </c>
      <c r="CA39" s="244">
        <f>SUM(CA35:CA38)</f>
        <v>0</v>
      </c>
      <c r="CB39" s="244">
        <f t="shared" ref="CB39:DJ39" si="42">SUM(CB35:CB38)</f>
        <v>0</v>
      </c>
      <c r="CC39" s="244">
        <f t="shared" si="42"/>
        <v>0</v>
      </c>
      <c r="CD39" s="244">
        <f t="shared" si="42"/>
        <v>0</v>
      </c>
      <c r="CE39" s="244">
        <f t="shared" si="42"/>
        <v>0</v>
      </c>
      <c r="CF39" s="244">
        <f t="shared" si="42"/>
        <v>0</v>
      </c>
      <c r="CG39" s="244">
        <f t="shared" si="42"/>
        <v>0</v>
      </c>
      <c r="CH39" s="244">
        <f t="shared" si="42"/>
        <v>0</v>
      </c>
      <c r="CI39" s="244">
        <f t="shared" si="42"/>
        <v>0</v>
      </c>
      <c r="CJ39" s="244">
        <f t="shared" si="42"/>
        <v>0</v>
      </c>
      <c r="CK39" s="244">
        <f t="shared" si="42"/>
        <v>0</v>
      </c>
      <c r="CL39" s="244">
        <f t="shared" si="42"/>
        <v>0</v>
      </c>
      <c r="CM39" s="244">
        <f t="shared" si="42"/>
        <v>0</v>
      </c>
      <c r="CN39" s="244">
        <f t="shared" si="42"/>
        <v>0</v>
      </c>
      <c r="CO39" s="244">
        <f t="shared" si="42"/>
        <v>0</v>
      </c>
      <c r="CP39" s="244">
        <f t="shared" si="42"/>
        <v>0</v>
      </c>
      <c r="CQ39" s="244">
        <f t="shared" si="42"/>
        <v>0</v>
      </c>
      <c r="CR39" s="244">
        <f t="shared" si="42"/>
        <v>0</v>
      </c>
      <c r="CS39" s="244">
        <f t="shared" si="42"/>
        <v>0</v>
      </c>
      <c r="CT39" s="244">
        <f t="shared" si="42"/>
        <v>0</v>
      </c>
      <c r="CU39" s="244">
        <f t="shared" si="42"/>
        <v>0</v>
      </c>
      <c r="CV39" s="244">
        <f t="shared" si="42"/>
        <v>0</v>
      </c>
      <c r="CW39" s="244">
        <f t="shared" si="42"/>
        <v>0</v>
      </c>
      <c r="CX39" s="244">
        <f t="shared" si="42"/>
        <v>0</v>
      </c>
      <c r="CY39" s="244">
        <f t="shared" si="42"/>
        <v>0</v>
      </c>
      <c r="CZ39" s="244">
        <f t="shared" si="42"/>
        <v>0</v>
      </c>
      <c r="DA39" s="244">
        <f t="shared" si="42"/>
        <v>0</v>
      </c>
      <c r="DB39" s="244">
        <f t="shared" si="42"/>
        <v>0</v>
      </c>
      <c r="DC39" s="244">
        <f t="shared" si="42"/>
        <v>0</v>
      </c>
      <c r="DD39" s="244">
        <f t="shared" si="42"/>
        <v>0</v>
      </c>
      <c r="DE39" s="244">
        <f t="shared" si="42"/>
        <v>0</v>
      </c>
      <c r="DF39" s="244">
        <f t="shared" si="42"/>
        <v>0</v>
      </c>
      <c r="DG39" s="244">
        <f t="shared" si="42"/>
        <v>0</v>
      </c>
      <c r="DH39" s="244">
        <f t="shared" si="42"/>
        <v>0</v>
      </c>
      <c r="DI39" s="244">
        <f t="shared" si="42"/>
        <v>0</v>
      </c>
      <c r="DJ39" s="244">
        <f t="shared" si="42"/>
        <v>0</v>
      </c>
      <c r="DK39" s="244">
        <f>SUM(DK35:DK38)</f>
        <v>0</v>
      </c>
      <c r="DL39" s="244">
        <f t="shared" ref="DL39:DV39" si="43">SUM(DL35:DL38)</f>
        <v>0</v>
      </c>
      <c r="DM39" s="244">
        <f t="shared" si="43"/>
        <v>0</v>
      </c>
      <c r="DN39" s="244">
        <f t="shared" si="43"/>
        <v>0</v>
      </c>
      <c r="DO39" s="244">
        <f t="shared" si="43"/>
        <v>0</v>
      </c>
      <c r="DP39" s="244">
        <f t="shared" si="43"/>
        <v>0</v>
      </c>
      <c r="DQ39" s="244">
        <f t="shared" si="43"/>
        <v>0</v>
      </c>
      <c r="DR39" s="244">
        <f t="shared" si="43"/>
        <v>0</v>
      </c>
      <c r="DS39" s="244">
        <f t="shared" si="43"/>
        <v>0</v>
      </c>
      <c r="DT39" s="244">
        <f t="shared" si="43"/>
        <v>0</v>
      </c>
      <c r="DU39" s="244">
        <f t="shared" si="43"/>
        <v>0</v>
      </c>
      <c r="DV39" s="244">
        <f t="shared" si="43"/>
        <v>0</v>
      </c>
    </row>
    <row r="40" spans="1:126">
      <c r="A40" s="372" t="s">
        <v>266</v>
      </c>
      <c r="B40" s="373"/>
      <c r="C40" s="373"/>
      <c r="D40" s="373"/>
      <c r="E40" s="373"/>
      <c r="F40" s="374"/>
      <c r="G40" s="238"/>
      <c r="H40" s="238"/>
      <c r="I40" s="238"/>
      <c r="J40" s="238"/>
      <c r="K40" s="238"/>
      <c r="L40" s="238"/>
      <c r="M40" s="238"/>
      <c r="N40" s="238"/>
      <c r="O40" s="238"/>
      <c r="P40" s="238"/>
      <c r="Q40" s="238"/>
      <c r="R40" s="238"/>
      <c r="S40" s="238"/>
      <c r="T40" s="238"/>
      <c r="U40" s="238"/>
      <c r="V40" s="238"/>
      <c r="W40" s="238"/>
      <c r="X40" s="238"/>
      <c r="Y40" s="238"/>
      <c r="Z40" s="238"/>
      <c r="AA40" s="238"/>
      <c r="AB40" s="238"/>
      <c r="AC40" s="238"/>
      <c r="AD40" s="238"/>
      <c r="AE40" s="238"/>
      <c r="AF40" s="238"/>
      <c r="AG40" s="238"/>
      <c r="AH40" s="238"/>
      <c r="AI40" s="238"/>
      <c r="AJ40" s="238"/>
      <c r="AK40" s="238"/>
      <c r="AL40" s="238"/>
      <c r="AM40" s="238"/>
      <c r="AN40" s="238"/>
      <c r="AO40" s="238"/>
      <c r="AP40" s="238"/>
      <c r="AQ40" s="238"/>
      <c r="AR40" s="238"/>
      <c r="AS40" s="238"/>
      <c r="AT40" s="238"/>
      <c r="AU40" s="238"/>
      <c r="AV40" s="238"/>
      <c r="AW40" s="238"/>
      <c r="AX40" s="238"/>
      <c r="AY40" s="238"/>
      <c r="AZ40" s="238"/>
      <c r="BA40" s="238"/>
      <c r="BB40" s="238"/>
      <c r="BC40" s="238"/>
      <c r="BD40" s="238"/>
      <c r="BE40" s="238"/>
      <c r="BF40" s="238"/>
      <c r="BG40" s="238"/>
      <c r="BH40" s="238"/>
      <c r="BI40" s="238"/>
      <c r="BJ40" s="238"/>
      <c r="BK40" s="238"/>
      <c r="BL40" s="238"/>
      <c r="BM40" s="238"/>
      <c r="BN40" s="238"/>
      <c r="BO40" s="238"/>
      <c r="BP40" s="238"/>
      <c r="BQ40" s="238"/>
      <c r="BR40" s="238"/>
      <c r="BS40" s="238"/>
      <c r="BT40" s="238"/>
      <c r="BU40" s="238"/>
      <c r="BV40" s="238"/>
      <c r="BW40" s="238"/>
      <c r="BX40" s="238"/>
      <c r="BY40" s="238"/>
      <c r="BZ40" s="238"/>
      <c r="CA40" s="238"/>
      <c r="CB40" s="238"/>
      <c r="CC40" s="238"/>
      <c r="CD40" s="238"/>
      <c r="CE40" s="238"/>
      <c r="CF40" s="238"/>
      <c r="CG40" s="238"/>
      <c r="CH40" s="238"/>
      <c r="CI40" s="238"/>
      <c r="CJ40" s="238"/>
      <c r="CK40" s="238"/>
      <c r="CL40" s="238"/>
      <c r="CM40" s="238"/>
      <c r="CN40" s="238"/>
      <c r="CO40" s="238"/>
      <c r="CP40" s="238"/>
      <c r="CQ40" s="238"/>
      <c r="CR40" s="238"/>
      <c r="CS40" s="238"/>
      <c r="CT40" s="238"/>
      <c r="CU40" s="238"/>
      <c r="CV40" s="238"/>
      <c r="CW40" s="238"/>
      <c r="CX40" s="238"/>
      <c r="CY40" s="238"/>
      <c r="CZ40" s="238"/>
      <c r="DA40" s="238"/>
      <c r="DB40" s="238"/>
      <c r="DC40" s="238"/>
      <c r="DD40" s="238"/>
      <c r="DE40" s="238"/>
      <c r="DF40" s="238"/>
      <c r="DG40" s="238"/>
      <c r="DH40" s="238"/>
      <c r="DI40" s="238"/>
      <c r="DJ40" s="238"/>
      <c r="DK40" s="238"/>
      <c r="DL40" s="238"/>
      <c r="DM40" s="238"/>
      <c r="DN40" s="238"/>
      <c r="DO40" s="238"/>
      <c r="DP40" s="238"/>
      <c r="DQ40" s="238"/>
      <c r="DR40" s="238"/>
      <c r="DS40" s="238"/>
      <c r="DT40" s="238"/>
      <c r="DU40" s="238"/>
      <c r="DV40" s="238"/>
    </row>
    <row r="41" spans="1:126">
      <c r="A41" s="253" t="s">
        <v>12</v>
      </c>
      <c r="B41" s="237" t="s">
        <v>267</v>
      </c>
      <c r="C41" s="237" t="s">
        <v>35</v>
      </c>
      <c r="D41" s="237">
        <f t="shared" ref="D41:D46" si="44">SUM(G41:R41)</f>
        <v>0</v>
      </c>
      <c r="E41" s="237">
        <f t="shared" ref="E41:E46" si="45">SUM(S41:AD41)</f>
        <v>0</v>
      </c>
      <c r="F41" s="237">
        <f t="shared" ref="F41:F46" si="46">SUM(AE41:AP41)</f>
        <v>0</v>
      </c>
      <c r="G41" s="238">
        <v>0</v>
      </c>
      <c r="H41" s="238">
        <v>0</v>
      </c>
      <c r="I41" s="238">
        <v>0</v>
      </c>
      <c r="J41" s="238">
        <v>0</v>
      </c>
      <c r="K41" s="238">
        <v>0</v>
      </c>
      <c r="L41" s="238">
        <v>0</v>
      </c>
      <c r="M41" s="238">
        <v>0</v>
      </c>
      <c r="N41" s="238">
        <v>0</v>
      </c>
      <c r="O41" s="238">
        <v>0</v>
      </c>
      <c r="P41" s="238">
        <v>0</v>
      </c>
      <c r="Q41" s="238">
        <v>0</v>
      </c>
      <c r="R41" s="238">
        <v>0</v>
      </c>
      <c r="S41" s="238">
        <v>0</v>
      </c>
      <c r="T41" s="238">
        <v>0</v>
      </c>
      <c r="U41" s="238">
        <v>0</v>
      </c>
      <c r="V41" s="238">
        <v>0</v>
      </c>
      <c r="W41" s="238">
        <v>0</v>
      </c>
      <c r="X41" s="238">
        <v>0</v>
      </c>
      <c r="Y41" s="238">
        <v>0</v>
      </c>
      <c r="Z41" s="238">
        <v>0</v>
      </c>
      <c r="AA41" s="238">
        <v>0</v>
      </c>
      <c r="AB41" s="238">
        <v>0</v>
      </c>
      <c r="AC41" s="238">
        <v>0</v>
      </c>
      <c r="AD41" s="238">
        <v>0</v>
      </c>
      <c r="AE41" s="238">
        <v>0</v>
      </c>
      <c r="AF41" s="238">
        <v>0</v>
      </c>
      <c r="AG41" s="238">
        <v>0</v>
      </c>
      <c r="AH41" s="238">
        <v>0</v>
      </c>
      <c r="AI41" s="238">
        <v>0</v>
      </c>
      <c r="AJ41" s="238">
        <v>0</v>
      </c>
      <c r="AK41" s="238">
        <v>0</v>
      </c>
      <c r="AL41" s="238">
        <v>0</v>
      </c>
      <c r="AM41" s="238">
        <v>0</v>
      </c>
      <c r="AN41" s="238">
        <v>0</v>
      </c>
      <c r="AO41" s="238">
        <v>0</v>
      </c>
      <c r="AP41" s="238">
        <v>0</v>
      </c>
      <c r="AQ41" s="238">
        <v>0</v>
      </c>
      <c r="AR41" s="238">
        <v>0</v>
      </c>
      <c r="AS41" s="238">
        <v>0</v>
      </c>
      <c r="AT41" s="238">
        <v>0</v>
      </c>
      <c r="AU41" s="238">
        <v>0</v>
      </c>
      <c r="AV41" s="238">
        <v>0</v>
      </c>
      <c r="AW41" s="238">
        <v>0</v>
      </c>
      <c r="AX41" s="238">
        <v>0</v>
      </c>
      <c r="AY41" s="238">
        <v>0</v>
      </c>
      <c r="AZ41" s="238">
        <v>0</v>
      </c>
      <c r="BA41" s="238">
        <v>0</v>
      </c>
      <c r="BB41" s="238">
        <v>0</v>
      </c>
      <c r="BC41" s="238">
        <v>0</v>
      </c>
      <c r="BD41" s="238">
        <v>0</v>
      </c>
      <c r="BE41" s="238">
        <v>0</v>
      </c>
      <c r="BF41" s="238">
        <v>0</v>
      </c>
      <c r="BG41" s="238">
        <v>0</v>
      </c>
      <c r="BH41" s="238">
        <v>0</v>
      </c>
      <c r="BI41" s="238">
        <v>0</v>
      </c>
      <c r="BJ41" s="238">
        <v>0</v>
      </c>
      <c r="BK41" s="238">
        <v>0</v>
      </c>
      <c r="BL41" s="238">
        <v>0</v>
      </c>
      <c r="BM41" s="238">
        <v>0</v>
      </c>
      <c r="BN41" s="238">
        <v>0</v>
      </c>
      <c r="BO41" s="238">
        <v>0</v>
      </c>
      <c r="BP41" s="238">
        <v>0</v>
      </c>
      <c r="BQ41" s="238">
        <v>0</v>
      </c>
      <c r="BR41" s="238">
        <v>0</v>
      </c>
      <c r="BS41" s="238">
        <v>0</v>
      </c>
      <c r="BT41" s="238">
        <v>0</v>
      </c>
      <c r="BU41" s="238">
        <v>0</v>
      </c>
      <c r="BV41" s="238">
        <v>0</v>
      </c>
      <c r="BW41" s="238">
        <v>0</v>
      </c>
      <c r="BX41" s="238">
        <v>0</v>
      </c>
      <c r="BY41" s="238">
        <v>0</v>
      </c>
      <c r="BZ41" s="238">
        <v>0</v>
      </c>
      <c r="CA41" s="238">
        <v>0</v>
      </c>
      <c r="CB41" s="238">
        <v>0</v>
      </c>
      <c r="CC41" s="238">
        <v>0</v>
      </c>
      <c r="CD41" s="238">
        <v>0</v>
      </c>
      <c r="CE41" s="238">
        <v>0</v>
      </c>
      <c r="CF41" s="238">
        <v>0</v>
      </c>
      <c r="CG41" s="238">
        <v>0</v>
      </c>
      <c r="CH41" s="238">
        <v>0</v>
      </c>
      <c r="CI41" s="238">
        <v>0</v>
      </c>
      <c r="CJ41" s="238">
        <v>0</v>
      </c>
      <c r="CK41" s="238">
        <v>0</v>
      </c>
      <c r="CL41" s="238">
        <v>0</v>
      </c>
      <c r="CM41" s="238">
        <v>0</v>
      </c>
      <c r="CN41" s="238">
        <v>0</v>
      </c>
      <c r="CO41" s="238">
        <v>0</v>
      </c>
      <c r="CP41" s="238">
        <v>0</v>
      </c>
      <c r="CQ41" s="238">
        <v>0</v>
      </c>
      <c r="CR41" s="238">
        <v>0</v>
      </c>
      <c r="CS41" s="238">
        <v>0</v>
      </c>
      <c r="CT41" s="238">
        <v>0</v>
      </c>
      <c r="CU41" s="238">
        <v>0</v>
      </c>
      <c r="CV41" s="238">
        <v>0</v>
      </c>
      <c r="CW41" s="238">
        <v>0</v>
      </c>
      <c r="CX41" s="238">
        <v>0</v>
      </c>
      <c r="CY41" s="238">
        <v>0</v>
      </c>
      <c r="CZ41" s="238">
        <v>0</v>
      </c>
      <c r="DA41" s="238">
        <v>0</v>
      </c>
      <c r="DB41" s="238">
        <v>0</v>
      </c>
      <c r="DC41" s="238">
        <v>0</v>
      </c>
      <c r="DD41" s="238">
        <v>0</v>
      </c>
      <c r="DE41" s="238">
        <v>0</v>
      </c>
      <c r="DF41" s="238">
        <v>0</v>
      </c>
      <c r="DG41" s="238">
        <v>0</v>
      </c>
      <c r="DH41" s="238">
        <v>0</v>
      </c>
      <c r="DI41" s="238">
        <v>0</v>
      </c>
      <c r="DJ41" s="238">
        <v>0</v>
      </c>
      <c r="DK41" s="238">
        <v>0</v>
      </c>
      <c r="DL41" s="238">
        <v>0</v>
      </c>
      <c r="DM41" s="238">
        <v>0</v>
      </c>
      <c r="DN41" s="238">
        <v>0</v>
      </c>
      <c r="DO41" s="238">
        <v>0</v>
      </c>
      <c r="DP41" s="238">
        <v>0</v>
      </c>
      <c r="DQ41" s="238">
        <v>0</v>
      </c>
      <c r="DR41" s="238">
        <v>0</v>
      </c>
      <c r="DS41" s="238">
        <v>0</v>
      </c>
      <c r="DT41" s="238">
        <v>0</v>
      </c>
      <c r="DU41" s="238">
        <v>0</v>
      </c>
      <c r="DV41" s="238">
        <v>0</v>
      </c>
    </row>
    <row r="42" spans="1:126">
      <c r="A42" s="253" t="s">
        <v>268</v>
      </c>
      <c r="B42" s="237" t="s">
        <v>269</v>
      </c>
      <c r="C42" s="237" t="s">
        <v>35</v>
      </c>
      <c r="D42" s="237">
        <f t="shared" si="44"/>
        <v>0</v>
      </c>
      <c r="E42" s="237">
        <f t="shared" si="45"/>
        <v>0</v>
      </c>
      <c r="F42" s="237">
        <f t="shared" si="46"/>
        <v>0</v>
      </c>
      <c r="G42" s="238">
        <v>0</v>
      </c>
      <c r="H42" s="238">
        <v>0</v>
      </c>
      <c r="I42" s="238">
        <v>0</v>
      </c>
      <c r="J42" s="238">
        <v>0</v>
      </c>
      <c r="K42" s="238">
        <v>0</v>
      </c>
      <c r="L42" s="238">
        <v>0</v>
      </c>
      <c r="M42" s="238">
        <v>0</v>
      </c>
      <c r="N42" s="238">
        <v>0</v>
      </c>
      <c r="O42" s="238">
        <v>0</v>
      </c>
      <c r="P42" s="238">
        <v>0</v>
      </c>
      <c r="Q42" s="238">
        <v>0</v>
      </c>
      <c r="R42" s="238">
        <v>0</v>
      </c>
      <c r="S42" s="238">
        <v>0</v>
      </c>
      <c r="T42" s="238">
        <v>0</v>
      </c>
      <c r="U42" s="238">
        <v>0</v>
      </c>
      <c r="V42" s="238">
        <v>0</v>
      </c>
      <c r="W42" s="238">
        <v>0</v>
      </c>
      <c r="X42" s="238">
        <v>0</v>
      </c>
      <c r="Y42" s="238">
        <v>0</v>
      </c>
      <c r="Z42" s="238">
        <v>0</v>
      </c>
      <c r="AA42" s="238">
        <v>0</v>
      </c>
      <c r="AB42" s="238">
        <v>0</v>
      </c>
      <c r="AC42" s="238">
        <v>0</v>
      </c>
      <c r="AD42" s="238">
        <v>0</v>
      </c>
      <c r="AE42" s="238">
        <v>0</v>
      </c>
      <c r="AF42" s="238">
        <v>0</v>
      </c>
      <c r="AG42" s="238">
        <v>0</v>
      </c>
      <c r="AH42" s="238">
        <v>0</v>
      </c>
      <c r="AI42" s="238">
        <v>0</v>
      </c>
      <c r="AJ42" s="238">
        <v>0</v>
      </c>
      <c r="AK42" s="238">
        <v>0</v>
      </c>
      <c r="AL42" s="238">
        <v>0</v>
      </c>
      <c r="AM42" s="238">
        <v>0</v>
      </c>
      <c r="AN42" s="238">
        <v>0</v>
      </c>
      <c r="AO42" s="238">
        <v>0</v>
      </c>
      <c r="AP42" s="238">
        <v>0</v>
      </c>
      <c r="AQ42" s="238">
        <v>0</v>
      </c>
      <c r="AR42" s="238">
        <v>0</v>
      </c>
      <c r="AS42" s="238">
        <v>0</v>
      </c>
      <c r="AT42" s="238">
        <v>0</v>
      </c>
      <c r="AU42" s="238">
        <v>0</v>
      </c>
      <c r="AV42" s="238">
        <v>0</v>
      </c>
      <c r="AW42" s="238">
        <v>0</v>
      </c>
      <c r="AX42" s="238">
        <v>0</v>
      </c>
      <c r="AY42" s="238">
        <v>0</v>
      </c>
      <c r="AZ42" s="238">
        <v>0</v>
      </c>
      <c r="BA42" s="238">
        <v>0</v>
      </c>
      <c r="BB42" s="238">
        <v>0</v>
      </c>
      <c r="BC42" s="238">
        <v>0</v>
      </c>
      <c r="BD42" s="238">
        <v>0</v>
      </c>
      <c r="BE42" s="238">
        <v>0</v>
      </c>
      <c r="BF42" s="238">
        <v>0</v>
      </c>
      <c r="BG42" s="238">
        <v>0</v>
      </c>
      <c r="BH42" s="238">
        <v>0</v>
      </c>
      <c r="BI42" s="238">
        <v>0</v>
      </c>
      <c r="BJ42" s="238">
        <v>0</v>
      </c>
      <c r="BK42" s="238">
        <v>0</v>
      </c>
      <c r="BL42" s="238">
        <v>0</v>
      </c>
      <c r="BM42" s="238">
        <v>0</v>
      </c>
      <c r="BN42" s="238">
        <v>0</v>
      </c>
      <c r="BO42" s="238">
        <v>0</v>
      </c>
      <c r="BP42" s="238">
        <v>0</v>
      </c>
      <c r="BQ42" s="238">
        <v>0</v>
      </c>
      <c r="BR42" s="238">
        <v>0</v>
      </c>
      <c r="BS42" s="238">
        <v>0</v>
      </c>
      <c r="BT42" s="238">
        <v>0</v>
      </c>
      <c r="BU42" s="238">
        <v>0</v>
      </c>
      <c r="BV42" s="238">
        <v>0</v>
      </c>
      <c r="BW42" s="238">
        <v>0</v>
      </c>
      <c r="BX42" s="238">
        <v>0</v>
      </c>
      <c r="BY42" s="238">
        <v>0</v>
      </c>
      <c r="BZ42" s="238">
        <v>0</v>
      </c>
      <c r="CA42" s="238">
        <v>0</v>
      </c>
      <c r="CB42" s="238">
        <v>0</v>
      </c>
      <c r="CC42" s="238">
        <v>0</v>
      </c>
      <c r="CD42" s="238">
        <v>0</v>
      </c>
      <c r="CE42" s="238">
        <v>0</v>
      </c>
      <c r="CF42" s="238">
        <v>0</v>
      </c>
      <c r="CG42" s="238">
        <v>0</v>
      </c>
      <c r="CH42" s="238">
        <v>0</v>
      </c>
      <c r="CI42" s="238">
        <v>0</v>
      </c>
      <c r="CJ42" s="238">
        <v>0</v>
      </c>
      <c r="CK42" s="238">
        <v>0</v>
      </c>
      <c r="CL42" s="238">
        <v>0</v>
      </c>
      <c r="CM42" s="238">
        <v>0</v>
      </c>
      <c r="CN42" s="238">
        <v>0</v>
      </c>
      <c r="CO42" s="238">
        <v>0</v>
      </c>
      <c r="CP42" s="238">
        <v>0</v>
      </c>
      <c r="CQ42" s="238">
        <v>0</v>
      </c>
      <c r="CR42" s="238">
        <v>0</v>
      </c>
      <c r="CS42" s="238">
        <v>0</v>
      </c>
      <c r="CT42" s="238">
        <v>0</v>
      </c>
      <c r="CU42" s="238">
        <v>0</v>
      </c>
      <c r="CV42" s="238">
        <v>0</v>
      </c>
      <c r="CW42" s="238">
        <v>0</v>
      </c>
      <c r="CX42" s="238">
        <v>0</v>
      </c>
      <c r="CY42" s="238">
        <v>0</v>
      </c>
      <c r="CZ42" s="238">
        <v>0</v>
      </c>
      <c r="DA42" s="238">
        <v>0</v>
      </c>
      <c r="DB42" s="238">
        <v>0</v>
      </c>
      <c r="DC42" s="238">
        <v>0</v>
      </c>
      <c r="DD42" s="238">
        <v>0</v>
      </c>
      <c r="DE42" s="238">
        <v>0</v>
      </c>
      <c r="DF42" s="238">
        <v>0</v>
      </c>
      <c r="DG42" s="238">
        <v>0</v>
      </c>
      <c r="DH42" s="238">
        <v>0</v>
      </c>
      <c r="DI42" s="238">
        <v>0</v>
      </c>
      <c r="DJ42" s="238">
        <v>0</v>
      </c>
      <c r="DK42" s="238">
        <v>0</v>
      </c>
      <c r="DL42" s="238">
        <v>0</v>
      </c>
      <c r="DM42" s="238">
        <v>0</v>
      </c>
      <c r="DN42" s="238">
        <v>0</v>
      </c>
      <c r="DO42" s="238">
        <v>0</v>
      </c>
      <c r="DP42" s="238">
        <v>0</v>
      </c>
      <c r="DQ42" s="238">
        <v>0</v>
      </c>
      <c r="DR42" s="238">
        <v>0</v>
      </c>
      <c r="DS42" s="238">
        <v>0</v>
      </c>
      <c r="DT42" s="238">
        <v>0</v>
      </c>
      <c r="DU42" s="238">
        <v>0</v>
      </c>
      <c r="DV42" s="238">
        <v>0</v>
      </c>
    </row>
    <row r="43" spans="1:126">
      <c r="A43" s="253" t="s">
        <v>270</v>
      </c>
      <c r="B43" s="237" t="s">
        <v>271</v>
      </c>
      <c r="C43" s="237" t="s">
        <v>35</v>
      </c>
      <c r="D43" s="237">
        <f t="shared" si="44"/>
        <v>0</v>
      </c>
      <c r="E43" s="237">
        <f t="shared" si="45"/>
        <v>0</v>
      </c>
      <c r="F43" s="237">
        <f t="shared" si="46"/>
        <v>0</v>
      </c>
      <c r="G43" s="238">
        <v>0</v>
      </c>
      <c r="H43" s="238">
        <v>0</v>
      </c>
      <c r="I43" s="238">
        <v>0</v>
      </c>
      <c r="J43" s="238">
        <v>0</v>
      </c>
      <c r="K43" s="238">
        <v>0</v>
      </c>
      <c r="L43" s="238">
        <v>0</v>
      </c>
      <c r="M43" s="238">
        <v>0</v>
      </c>
      <c r="N43" s="238">
        <v>0</v>
      </c>
      <c r="O43" s="238">
        <v>0</v>
      </c>
      <c r="P43" s="238">
        <v>0</v>
      </c>
      <c r="Q43" s="238">
        <v>0</v>
      </c>
      <c r="R43" s="238">
        <v>0</v>
      </c>
      <c r="S43" s="238">
        <v>0</v>
      </c>
      <c r="T43" s="238">
        <v>0</v>
      </c>
      <c r="U43" s="238">
        <v>0</v>
      </c>
      <c r="V43" s="238">
        <v>0</v>
      </c>
      <c r="W43" s="238">
        <v>0</v>
      </c>
      <c r="X43" s="238">
        <v>0</v>
      </c>
      <c r="Y43" s="238">
        <v>0</v>
      </c>
      <c r="Z43" s="238">
        <v>0</v>
      </c>
      <c r="AA43" s="238">
        <v>0</v>
      </c>
      <c r="AB43" s="238">
        <v>0</v>
      </c>
      <c r="AC43" s="238">
        <v>0</v>
      </c>
      <c r="AD43" s="238">
        <v>0</v>
      </c>
      <c r="AE43" s="238">
        <v>0</v>
      </c>
      <c r="AF43" s="238">
        <v>0</v>
      </c>
      <c r="AG43" s="238">
        <v>0</v>
      </c>
      <c r="AH43" s="238">
        <v>0</v>
      </c>
      <c r="AI43" s="238">
        <v>0</v>
      </c>
      <c r="AJ43" s="238">
        <v>0</v>
      </c>
      <c r="AK43" s="238">
        <v>0</v>
      </c>
      <c r="AL43" s="238">
        <v>0</v>
      </c>
      <c r="AM43" s="238">
        <v>0</v>
      </c>
      <c r="AN43" s="238">
        <v>0</v>
      </c>
      <c r="AO43" s="238">
        <v>0</v>
      </c>
      <c r="AP43" s="238">
        <v>0</v>
      </c>
      <c r="AQ43" s="238">
        <v>0</v>
      </c>
      <c r="AR43" s="238">
        <v>0</v>
      </c>
      <c r="AS43" s="238">
        <v>0</v>
      </c>
      <c r="AT43" s="238">
        <v>0</v>
      </c>
      <c r="AU43" s="238">
        <v>0</v>
      </c>
      <c r="AV43" s="238">
        <v>0</v>
      </c>
      <c r="AW43" s="238">
        <v>0</v>
      </c>
      <c r="AX43" s="238">
        <v>0</v>
      </c>
      <c r="AY43" s="238">
        <v>0</v>
      </c>
      <c r="AZ43" s="238">
        <v>0</v>
      </c>
      <c r="BA43" s="238">
        <v>0</v>
      </c>
      <c r="BB43" s="238">
        <v>0</v>
      </c>
      <c r="BC43" s="238">
        <v>0</v>
      </c>
      <c r="BD43" s="238">
        <v>0</v>
      </c>
      <c r="BE43" s="238">
        <v>0</v>
      </c>
      <c r="BF43" s="238">
        <v>0</v>
      </c>
      <c r="BG43" s="238">
        <v>0</v>
      </c>
      <c r="BH43" s="238">
        <v>0</v>
      </c>
      <c r="BI43" s="238">
        <v>0</v>
      </c>
      <c r="BJ43" s="238">
        <v>0</v>
      </c>
      <c r="BK43" s="238">
        <v>0</v>
      </c>
      <c r="BL43" s="238">
        <v>0</v>
      </c>
      <c r="BM43" s="238">
        <v>0</v>
      </c>
      <c r="BN43" s="238">
        <v>0</v>
      </c>
      <c r="BO43" s="238">
        <v>0</v>
      </c>
      <c r="BP43" s="238">
        <v>0</v>
      </c>
      <c r="BQ43" s="238">
        <v>0</v>
      </c>
      <c r="BR43" s="238">
        <v>0</v>
      </c>
      <c r="BS43" s="238">
        <v>0</v>
      </c>
      <c r="BT43" s="238">
        <v>0</v>
      </c>
      <c r="BU43" s="238">
        <v>0</v>
      </c>
      <c r="BV43" s="238">
        <v>0</v>
      </c>
      <c r="BW43" s="238">
        <v>0</v>
      </c>
      <c r="BX43" s="238">
        <v>0</v>
      </c>
      <c r="BY43" s="238">
        <v>0</v>
      </c>
      <c r="BZ43" s="238">
        <v>0</v>
      </c>
      <c r="CA43" s="238">
        <v>0</v>
      </c>
      <c r="CB43" s="238">
        <v>0</v>
      </c>
      <c r="CC43" s="238">
        <v>0</v>
      </c>
      <c r="CD43" s="238">
        <v>0</v>
      </c>
      <c r="CE43" s="238">
        <v>0</v>
      </c>
      <c r="CF43" s="238">
        <v>0</v>
      </c>
      <c r="CG43" s="238">
        <v>0</v>
      </c>
      <c r="CH43" s="238">
        <v>0</v>
      </c>
      <c r="CI43" s="238">
        <v>0</v>
      </c>
      <c r="CJ43" s="238">
        <v>0</v>
      </c>
      <c r="CK43" s="238">
        <v>0</v>
      </c>
      <c r="CL43" s="238">
        <v>0</v>
      </c>
      <c r="CM43" s="238">
        <v>0</v>
      </c>
      <c r="CN43" s="238">
        <v>0</v>
      </c>
      <c r="CO43" s="238">
        <v>0</v>
      </c>
      <c r="CP43" s="238">
        <v>0</v>
      </c>
      <c r="CQ43" s="238">
        <v>0</v>
      </c>
      <c r="CR43" s="238">
        <v>0</v>
      </c>
      <c r="CS43" s="238">
        <v>0</v>
      </c>
      <c r="CT43" s="238">
        <v>0</v>
      </c>
      <c r="CU43" s="238">
        <v>0</v>
      </c>
      <c r="CV43" s="238">
        <v>0</v>
      </c>
      <c r="CW43" s="238">
        <v>0</v>
      </c>
      <c r="CX43" s="238">
        <v>0</v>
      </c>
      <c r="CY43" s="238">
        <v>0</v>
      </c>
      <c r="CZ43" s="238">
        <v>0</v>
      </c>
      <c r="DA43" s="238">
        <v>0</v>
      </c>
      <c r="DB43" s="238">
        <v>0</v>
      </c>
      <c r="DC43" s="238">
        <v>0</v>
      </c>
      <c r="DD43" s="238">
        <v>0</v>
      </c>
      <c r="DE43" s="238">
        <v>0</v>
      </c>
      <c r="DF43" s="238">
        <v>0</v>
      </c>
      <c r="DG43" s="238">
        <v>0</v>
      </c>
      <c r="DH43" s="238">
        <v>0</v>
      </c>
      <c r="DI43" s="238">
        <v>0</v>
      </c>
      <c r="DJ43" s="238">
        <v>0</v>
      </c>
      <c r="DK43" s="238">
        <v>0</v>
      </c>
      <c r="DL43" s="238">
        <v>0</v>
      </c>
      <c r="DM43" s="238">
        <v>0</v>
      </c>
      <c r="DN43" s="238">
        <v>0</v>
      </c>
      <c r="DO43" s="238">
        <v>0</v>
      </c>
      <c r="DP43" s="238">
        <v>0</v>
      </c>
      <c r="DQ43" s="238">
        <v>0</v>
      </c>
      <c r="DR43" s="238">
        <v>0</v>
      </c>
      <c r="DS43" s="238">
        <v>0</v>
      </c>
      <c r="DT43" s="238">
        <v>0</v>
      </c>
      <c r="DU43" s="238">
        <v>0</v>
      </c>
      <c r="DV43" s="238">
        <v>0</v>
      </c>
    </row>
    <row r="44" spans="1:126">
      <c r="A44" s="253" t="s">
        <v>260</v>
      </c>
      <c r="B44" s="237" t="s">
        <v>272</v>
      </c>
      <c r="C44" s="237" t="s">
        <v>35</v>
      </c>
      <c r="D44" s="237">
        <f t="shared" si="44"/>
        <v>0</v>
      </c>
      <c r="E44" s="237">
        <f t="shared" si="45"/>
        <v>0</v>
      </c>
      <c r="F44" s="237">
        <f t="shared" si="46"/>
        <v>0</v>
      </c>
      <c r="G44" s="238">
        <v>0</v>
      </c>
      <c r="H44" s="238">
        <v>0</v>
      </c>
      <c r="I44" s="238">
        <v>0</v>
      </c>
      <c r="J44" s="238">
        <v>0</v>
      </c>
      <c r="K44" s="238">
        <v>0</v>
      </c>
      <c r="L44" s="238">
        <v>0</v>
      </c>
      <c r="M44" s="238">
        <v>0</v>
      </c>
      <c r="N44" s="238">
        <v>0</v>
      </c>
      <c r="O44" s="238">
        <v>0</v>
      </c>
      <c r="P44" s="238">
        <v>0</v>
      </c>
      <c r="Q44" s="238">
        <v>0</v>
      </c>
      <c r="R44" s="238">
        <v>0</v>
      </c>
      <c r="S44" s="238">
        <v>0</v>
      </c>
      <c r="T44" s="238">
        <v>0</v>
      </c>
      <c r="U44" s="238">
        <v>0</v>
      </c>
      <c r="V44" s="238">
        <v>0</v>
      </c>
      <c r="W44" s="238">
        <v>0</v>
      </c>
      <c r="X44" s="238">
        <v>0</v>
      </c>
      <c r="Y44" s="238">
        <v>0</v>
      </c>
      <c r="Z44" s="238">
        <v>0</v>
      </c>
      <c r="AA44" s="238">
        <v>0</v>
      </c>
      <c r="AB44" s="238">
        <v>0</v>
      </c>
      <c r="AC44" s="238">
        <v>0</v>
      </c>
      <c r="AD44" s="238">
        <v>0</v>
      </c>
      <c r="AE44" s="238">
        <v>0</v>
      </c>
      <c r="AF44" s="238">
        <v>0</v>
      </c>
      <c r="AG44" s="238">
        <v>0</v>
      </c>
      <c r="AH44" s="238">
        <v>0</v>
      </c>
      <c r="AI44" s="238">
        <v>0</v>
      </c>
      <c r="AJ44" s="238">
        <v>0</v>
      </c>
      <c r="AK44" s="238">
        <v>0</v>
      </c>
      <c r="AL44" s="238">
        <v>0</v>
      </c>
      <c r="AM44" s="238">
        <v>0</v>
      </c>
      <c r="AN44" s="238">
        <v>0</v>
      </c>
      <c r="AO44" s="238">
        <v>0</v>
      </c>
      <c r="AP44" s="238">
        <v>0</v>
      </c>
      <c r="AQ44" s="238">
        <v>0</v>
      </c>
      <c r="AR44" s="238">
        <v>0</v>
      </c>
      <c r="AS44" s="238">
        <v>0</v>
      </c>
      <c r="AT44" s="238">
        <v>0</v>
      </c>
      <c r="AU44" s="238">
        <v>0</v>
      </c>
      <c r="AV44" s="238">
        <v>0</v>
      </c>
      <c r="AW44" s="238">
        <v>0</v>
      </c>
      <c r="AX44" s="238">
        <v>0</v>
      </c>
      <c r="AY44" s="238">
        <v>0</v>
      </c>
      <c r="AZ44" s="238">
        <v>0</v>
      </c>
      <c r="BA44" s="238">
        <v>0</v>
      </c>
      <c r="BB44" s="238">
        <v>0</v>
      </c>
      <c r="BC44" s="238">
        <v>0</v>
      </c>
      <c r="BD44" s="238">
        <v>0</v>
      </c>
      <c r="BE44" s="238">
        <v>0</v>
      </c>
      <c r="BF44" s="238">
        <v>0</v>
      </c>
      <c r="BG44" s="238">
        <v>0</v>
      </c>
      <c r="BH44" s="238">
        <v>0</v>
      </c>
      <c r="BI44" s="238">
        <v>0</v>
      </c>
      <c r="BJ44" s="238">
        <v>0</v>
      </c>
      <c r="BK44" s="238">
        <v>0</v>
      </c>
      <c r="BL44" s="238">
        <v>0</v>
      </c>
      <c r="BM44" s="238">
        <v>0</v>
      </c>
      <c r="BN44" s="238">
        <v>0</v>
      </c>
      <c r="BO44" s="238">
        <v>0</v>
      </c>
      <c r="BP44" s="238">
        <v>0</v>
      </c>
      <c r="BQ44" s="238">
        <v>0</v>
      </c>
      <c r="BR44" s="238">
        <v>0</v>
      </c>
      <c r="BS44" s="238">
        <v>0</v>
      </c>
      <c r="BT44" s="238">
        <v>0</v>
      </c>
      <c r="BU44" s="238">
        <v>0</v>
      </c>
      <c r="BV44" s="238">
        <v>0</v>
      </c>
      <c r="BW44" s="238">
        <v>0</v>
      </c>
      <c r="BX44" s="238">
        <v>0</v>
      </c>
      <c r="BY44" s="238">
        <v>0</v>
      </c>
      <c r="BZ44" s="238">
        <v>0</v>
      </c>
      <c r="CA44" s="238">
        <v>0</v>
      </c>
      <c r="CB44" s="238">
        <v>0</v>
      </c>
      <c r="CC44" s="238">
        <v>0</v>
      </c>
      <c r="CD44" s="238">
        <v>0</v>
      </c>
      <c r="CE44" s="238">
        <v>0</v>
      </c>
      <c r="CF44" s="238">
        <v>0</v>
      </c>
      <c r="CG44" s="238">
        <v>0</v>
      </c>
      <c r="CH44" s="238">
        <v>0</v>
      </c>
      <c r="CI44" s="238">
        <v>0</v>
      </c>
      <c r="CJ44" s="238">
        <v>0</v>
      </c>
      <c r="CK44" s="238">
        <v>0</v>
      </c>
      <c r="CL44" s="238">
        <v>0</v>
      </c>
      <c r="CM44" s="238">
        <v>0</v>
      </c>
      <c r="CN44" s="238">
        <v>0</v>
      </c>
      <c r="CO44" s="238">
        <v>0</v>
      </c>
      <c r="CP44" s="238">
        <v>0</v>
      </c>
      <c r="CQ44" s="238">
        <v>0</v>
      </c>
      <c r="CR44" s="238">
        <v>0</v>
      </c>
      <c r="CS44" s="238">
        <v>0</v>
      </c>
      <c r="CT44" s="238">
        <v>0</v>
      </c>
      <c r="CU44" s="238">
        <v>0</v>
      </c>
      <c r="CV44" s="238">
        <v>0</v>
      </c>
      <c r="CW44" s="238">
        <v>0</v>
      </c>
      <c r="CX44" s="238">
        <v>0</v>
      </c>
      <c r="CY44" s="238">
        <v>0</v>
      </c>
      <c r="CZ44" s="238">
        <v>0</v>
      </c>
      <c r="DA44" s="238">
        <v>0</v>
      </c>
      <c r="DB44" s="238">
        <v>0</v>
      </c>
      <c r="DC44" s="238">
        <v>0</v>
      </c>
      <c r="DD44" s="238">
        <v>0</v>
      </c>
      <c r="DE44" s="238">
        <v>0</v>
      </c>
      <c r="DF44" s="238">
        <v>0</v>
      </c>
      <c r="DG44" s="238">
        <v>0</v>
      </c>
      <c r="DH44" s="238">
        <v>0</v>
      </c>
      <c r="DI44" s="238">
        <v>0</v>
      </c>
      <c r="DJ44" s="238">
        <v>0</v>
      </c>
      <c r="DK44" s="238">
        <v>0</v>
      </c>
      <c r="DL44" s="238">
        <v>0</v>
      </c>
      <c r="DM44" s="238">
        <v>0</v>
      </c>
      <c r="DN44" s="238">
        <v>0</v>
      </c>
      <c r="DO44" s="238">
        <v>0</v>
      </c>
      <c r="DP44" s="238">
        <v>0</v>
      </c>
      <c r="DQ44" s="238">
        <v>0</v>
      </c>
      <c r="DR44" s="238">
        <v>0</v>
      </c>
      <c r="DS44" s="238">
        <v>0</v>
      </c>
      <c r="DT44" s="238">
        <v>0</v>
      </c>
      <c r="DU44" s="238">
        <v>0</v>
      </c>
      <c r="DV44" s="238">
        <v>0</v>
      </c>
    </row>
    <row r="45" spans="1:126">
      <c r="A45" s="253" t="s">
        <v>262</v>
      </c>
      <c r="B45" s="237" t="s">
        <v>273</v>
      </c>
      <c r="C45" s="237" t="s">
        <v>35</v>
      </c>
      <c r="D45" s="237">
        <f t="shared" si="44"/>
        <v>0</v>
      </c>
      <c r="E45" s="237">
        <f t="shared" si="45"/>
        <v>0</v>
      </c>
      <c r="F45" s="237">
        <f t="shared" si="46"/>
        <v>0</v>
      </c>
      <c r="G45" s="238">
        <v>0</v>
      </c>
      <c r="H45" s="238">
        <v>0</v>
      </c>
      <c r="I45" s="238">
        <v>0</v>
      </c>
      <c r="J45" s="238">
        <v>0</v>
      </c>
      <c r="K45" s="238">
        <v>0</v>
      </c>
      <c r="L45" s="238">
        <v>0</v>
      </c>
      <c r="M45" s="238">
        <v>0</v>
      </c>
      <c r="N45" s="238">
        <v>0</v>
      </c>
      <c r="O45" s="238">
        <v>0</v>
      </c>
      <c r="P45" s="238">
        <v>0</v>
      </c>
      <c r="Q45" s="238">
        <v>0</v>
      </c>
      <c r="R45" s="238">
        <v>0</v>
      </c>
      <c r="S45" s="238">
        <v>0</v>
      </c>
      <c r="T45" s="238">
        <v>0</v>
      </c>
      <c r="U45" s="238">
        <v>0</v>
      </c>
      <c r="V45" s="238">
        <v>0</v>
      </c>
      <c r="W45" s="238">
        <v>0</v>
      </c>
      <c r="X45" s="238">
        <v>0</v>
      </c>
      <c r="Y45" s="238">
        <v>0</v>
      </c>
      <c r="Z45" s="238">
        <v>0</v>
      </c>
      <c r="AA45" s="238">
        <v>0</v>
      </c>
      <c r="AB45" s="238">
        <v>0</v>
      </c>
      <c r="AC45" s="238">
        <v>0</v>
      </c>
      <c r="AD45" s="238">
        <v>0</v>
      </c>
      <c r="AE45" s="238">
        <v>0</v>
      </c>
      <c r="AF45" s="238">
        <v>0</v>
      </c>
      <c r="AG45" s="238">
        <v>0</v>
      </c>
      <c r="AH45" s="238">
        <v>0</v>
      </c>
      <c r="AI45" s="238">
        <v>0</v>
      </c>
      <c r="AJ45" s="238">
        <v>0</v>
      </c>
      <c r="AK45" s="238">
        <v>0</v>
      </c>
      <c r="AL45" s="238">
        <v>0</v>
      </c>
      <c r="AM45" s="238">
        <v>0</v>
      </c>
      <c r="AN45" s="238">
        <v>0</v>
      </c>
      <c r="AO45" s="238">
        <v>0</v>
      </c>
      <c r="AP45" s="238">
        <v>0</v>
      </c>
      <c r="AQ45" s="238">
        <v>0</v>
      </c>
      <c r="AR45" s="238">
        <v>0</v>
      </c>
      <c r="AS45" s="238">
        <v>0</v>
      </c>
      <c r="AT45" s="238">
        <v>0</v>
      </c>
      <c r="AU45" s="238">
        <v>0</v>
      </c>
      <c r="AV45" s="238">
        <v>0</v>
      </c>
      <c r="AW45" s="238">
        <v>0</v>
      </c>
      <c r="AX45" s="238">
        <v>0</v>
      </c>
      <c r="AY45" s="238">
        <v>0</v>
      </c>
      <c r="AZ45" s="238">
        <v>0</v>
      </c>
      <c r="BA45" s="238">
        <v>0</v>
      </c>
      <c r="BB45" s="238">
        <v>0</v>
      </c>
      <c r="BC45" s="238">
        <v>0</v>
      </c>
      <c r="BD45" s="238">
        <v>0</v>
      </c>
      <c r="BE45" s="238">
        <v>0</v>
      </c>
      <c r="BF45" s="238">
        <v>0</v>
      </c>
      <c r="BG45" s="238">
        <v>0</v>
      </c>
      <c r="BH45" s="238">
        <v>0</v>
      </c>
      <c r="BI45" s="238">
        <v>0</v>
      </c>
      <c r="BJ45" s="238">
        <v>0</v>
      </c>
      <c r="BK45" s="238">
        <v>0</v>
      </c>
      <c r="BL45" s="238">
        <v>0</v>
      </c>
      <c r="BM45" s="238">
        <v>0</v>
      </c>
      <c r="BN45" s="238">
        <v>0</v>
      </c>
      <c r="BO45" s="238">
        <v>0</v>
      </c>
      <c r="BP45" s="238">
        <v>0</v>
      </c>
      <c r="BQ45" s="238">
        <v>0</v>
      </c>
      <c r="BR45" s="238">
        <v>0</v>
      </c>
      <c r="BS45" s="238">
        <v>0</v>
      </c>
      <c r="BT45" s="238">
        <v>0</v>
      </c>
      <c r="BU45" s="238">
        <v>0</v>
      </c>
      <c r="BV45" s="238">
        <v>0</v>
      </c>
      <c r="BW45" s="238">
        <v>0</v>
      </c>
      <c r="BX45" s="238">
        <v>0</v>
      </c>
      <c r="BY45" s="238">
        <v>0</v>
      </c>
      <c r="BZ45" s="238">
        <v>0</v>
      </c>
      <c r="CA45" s="238">
        <v>0</v>
      </c>
      <c r="CB45" s="238">
        <v>0</v>
      </c>
      <c r="CC45" s="238">
        <v>0</v>
      </c>
      <c r="CD45" s="238">
        <v>0</v>
      </c>
      <c r="CE45" s="238">
        <v>0</v>
      </c>
      <c r="CF45" s="238">
        <v>0</v>
      </c>
      <c r="CG45" s="238">
        <v>0</v>
      </c>
      <c r="CH45" s="238">
        <v>0</v>
      </c>
      <c r="CI45" s="238">
        <v>0</v>
      </c>
      <c r="CJ45" s="238">
        <v>0</v>
      </c>
      <c r="CK45" s="238">
        <v>0</v>
      </c>
      <c r="CL45" s="238">
        <v>0</v>
      </c>
      <c r="CM45" s="238">
        <v>0</v>
      </c>
      <c r="CN45" s="238">
        <v>0</v>
      </c>
      <c r="CO45" s="238">
        <v>0</v>
      </c>
      <c r="CP45" s="238">
        <v>0</v>
      </c>
      <c r="CQ45" s="238">
        <v>0</v>
      </c>
      <c r="CR45" s="238">
        <v>0</v>
      </c>
      <c r="CS45" s="238">
        <v>0</v>
      </c>
      <c r="CT45" s="238">
        <v>0</v>
      </c>
      <c r="CU45" s="238">
        <v>0</v>
      </c>
      <c r="CV45" s="238">
        <v>0</v>
      </c>
      <c r="CW45" s="238">
        <v>0</v>
      </c>
      <c r="CX45" s="238">
        <v>0</v>
      </c>
      <c r="CY45" s="238">
        <v>0</v>
      </c>
      <c r="CZ45" s="238">
        <v>0</v>
      </c>
      <c r="DA45" s="238">
        <v>0</v>
      </c>
      <c r="DB45" s="238">
        <v>0</v>
      </c>
      <c r="DC45" s="238">
        <v>0</v>
      </c>
      <c r="DD45" s="238">
        <v>0</v>
      </c>
      <c r="DE45" s="238">
        <v>0</v>
      </c>
      <c r="DF45" s="238">
        <v>0</v>
      </c>
      <c r="DG45" s="238">
        <v>0</v>
      </c>
      <c r="DH45" s="238">
        <v>0</v>
      </c>
      <c r="DI45" s="238">
        <v>0</v>
      </c>
      <c r="DJ45" s="238">
        <v>0</v>
      </c>
      <c r="DK45" s="238">
        <v>0</v>
      </c>
      <c r="DL45" s="238">
        <v>0</v>
      </c>
      <c r="DM45" s="238">
        <v>0</v>
      </c>
      <c r="DN45" s="238">
        <v>0</v>
      </c>
      <c r="DO45" s="238">
        <v>0</v>
      </c>
      <c r="DP45" s="238">
        <v>0</v>
      </c>
      <c r="DQ45" s="238">
        <v>0</v>
      </c>
      <c r="DR45" s="238">
        <v>0</v>
      </c>
      <c r="DS45" s="238">
        <v>0</v>
      </c>
      <c r="DT45" s="238">
        <v>0</v>
      </c>
      <c r="DU45" s="238">
        <v>0</v>
      </c>
      <c r="DV45" s="238">
        <v>0</v>
      </c>
    </row>
    <row r="46" spans="1:126">
      <c r="A46" s="254" t="s">
        <v>274</v>
      </c>
      <c r="B46" s="242" t="s">
        <v>275</v>
      </c>
      <c r="C46" s="242" t="s">
        <v>35</v>
      </c>
      <c r="D46" s="242">
        <f t="shared" si="44"/>
        <v>0</v>
      </c>
      <c r="E46" s="242">
        <f t="shared" si="45"/>
        <v>0</v>
      </c>
      <c r="F46" s="242">
        <f t="shared" si="46"/>
        <v>0</v>
      </c>
      <c r="G46" s="244">
        <f>SUM(G41:G45)</f>
        <v>0</v>
      </c>
      <c r="H46" s="244">
        <f t="shared" ref="H46:AP46" si="47">SUM(H41:H45)</f>
        <v>0</v>
      </c>
      <c r="I46" s="244">
        <f t="shared" si="47"/>
        <v>0</v>
      </c>
      <c r="J46" s="244">
        <f t="shared" si="47"/>
        <v>0</v>
      </c>
      <c r="K46" s="244">
        <f t="shared" si="47"/>
        <v>0</v>
      </c>
      <c r="L46" s="244">
        <f t="shared" si="47"/>
        <v>0</v>
      </c>
      <c r="M46" s="244">
        <f t="shared" si="47"/>
        <v>0</v>
      </c>
      <c r="N46" s="244">
        <f t="shared" si="47"/>
        <v>0</v>
      </c>
      <c r="O46" s="244">
        <f t="shared" si="47"/>
        <v>0</v>
      </c>
      <c r="P46" s="244">
        <f t="shared" si="47"/>
        <v>0</v>
      </c>
      <c r="Q46" s="244">
        <f t="shared" si="47"/>
        <v>0</v>
      </c>
      <c r="R46" s="244">
        <f t="shared" si="47"/>
        <v>0</v>
      </c>
      <c r="S46" s="244">
        <f t="shared" si="47"/>
        <v>0</v>
      </c>
      <c r="T46" s="244">
        <f t="shared" si="47"/>
        <v>0</v>
      </c>
      <c r="U46" s="244">
        <f t="shared" si="47"/>
        <v>0</v>
      </c>
      <c r="V46" s="244">
        <f t="shared" si="47"/>
        <v>0</v>
      </c>
      <c r="W46" s="244">
        <f t="shared" si="47"/>
        <v>0</v>
      </c>
      <c r="X46" s="244">
        <f t="shared" si="47"/>
        <v>0</v>
      </c>
      <c r="Y46" s="244">
        <f t="shared" si="47"/>
        <v>0</v>
      </c>
      <c r="Z46" s="244">
        <f t="shared" si="47"/>
        <v>0</v>
      </c>
      <c r="AA46" s="244">
        <f t="shared" si="47"/>
        <v>0</v>
      </c>
      <c r="AB46" s="244">
        <f t="shared" si="47"/>
        <v>0</v>
      </c>
      <c r="AC46" s="244">
        <f t="shared" si="47"/>
        <v>0</v>
      </c>
      <c r="AD46" s="244">
        <f t="shared" si="47"/>
        <v>0</v>
      </c>
      <c r="AE46" s="244">
        <f t="shared" si="47"/>
        <v>0</v>
      </c>
      <c r="AF46" s="244">
        <f t="shared" si="47"/>
        <v>0</v>
      </c>
      <c r="AG46" s="244">
        <f t="shared" si="47"/>
        <v>0</v>
      </c>
      <c r="AH46" s="244">
        <f t="shared" si="47"/>
        <v>0</v>
      </c>
      <c r="AI46" s="244">
        <f t="shared" si="47"/>
        <v>0</v>
      </c>
      <c r="AJ46" s="244">
        <f t="shared" si="47"/>
        <v>0</v>
      </c>
      <c r="AK46" s="244">
        <f t="shared" si="47"/>
        <v>0</v>
      </c>
      <c r="AL46" s="244">
        <f t="shared" si="47"/>
        <v>0</v>
      </c>
      <c r="AM46" s="244">
        <f t="shared" si="47"/>
        <v>0</v>
      </c>
      <c r="AN46" s="244">
        <f t="shared" si="47"/>
        <v>0</v>
      </c>
      <c r="AO46" s="244">
        <f t="shared" si="47"/>
        <v>0</v>
      </c>
      <c r="AP46" s="244">
        <f t="shared" si="47"/>
        <v>0</v>
      </c>
      <c r="AQ46" s="244">
        <f>SUM(AQ41:AQ45)</f>
        <v>0</v>
      </c>
      <c r="AR46" s="244">
        <f t="shared" ref="AR46:BZ46" si="48">SUM(AR41:AR45)</f>
        <v>0</v>
      </c>
      <c r="AS46" s="244">
        <f t="shared" si="48"/>
        <v>0</v>
      </c>
      <c r="AT46" s="244">
        <f t="shared" si="48"/>
        <v>0</v>
      </c>
      <c r="AU46" s="244">
        <f t="shared" si="48"/>
        <v>0</v>
      </c>
      <c r="AV46" s="244">
        <f t="shared" si="48"/>
        <v>0</v>
      </c>
      <c r="AW46" s="244">
        <f t="shared" si="48"/>
        <v>0</v>
      </c>
      <c r="AX46" s="244">
        <f t="shared" si="48"/>
        <v>0</v>
      </c>
      <c r="AY46" s="244">
        <f t="shared" si="48"/>
        <v>0</v>
      </c>
      <c r="AZ46" s="244">
        <f t="shared" si="48"/>
        <v>0</v>
      </c>
      <c r="BA46" s="244">
        <f t="shared" si="48"/>
        <v>0</v>
      </c>
      <c r="BB46" s="244">
        <f t="shared" si="48"/>
        <v>0</v>
      </c>
      <c r="BC46" s="244">
        <f t="shared" si="48"/>
        <v>0</v>
      </c>
      <c r="BD46" s="244">
        <f t="shared" si="48"/>
        <v>0</v>
      </c>
      <c r="BE46" s="244">
        <f t="shared" si="48"/>
        <v>0</v>
      </c>
      <c r="BF46" s="244">
        <f t="shared" si="48"/>
        <v>0</v>
      </c>
      <c r="BG46" s="244">
        <f t="shared" si="48"/>
        <v>0</v>
      </c>
      <c r="BH46" s="244">
        <f t="shared" si="48"/>
        <v>0</v>
      </c>
      <c r="BI46" s="244">
        <f t="shared" si="48"/>
        <v>0</v>
      </c>
      <c r="BJ46" s="244">
        <f t="shared" si="48"/>
        <v>0</v>
      </c>
      <c r="BK46" s="244">
        <f t="shared" si="48"/>
        <v>0</v>
      </c>
      <c r="BL46" s="244">
        <f t="shared" si="48"/>
        <v>0</v>
      </c>
      <c r="BM46" s="244">
        <f t="shared" si="48"/>
        <v>0</v>
      </c>
      <c r="BN46" s="244">
        <f t="shared" si="48"/>
        <v>0</v>
      </c>
      <c r="BO46" s="244">
        <f t="shared" si="48"/>
        <v>0</v>
      </c>
      <c r="BP46" s="244">
        <f t="shared" si="48"/>
        <v>0</v>
      </c>
      <c r="BQ46" s="244">
        <f t="shared" si="48"/>
        <v>0</v>
      </c>
      <c r="BR46" s="244">
        <f t="shared" si="48"/>
        <v>0</v>
      </c>
      <c r="BS46" s="244">
        <f t="shared" si="48"/>
        <v>0</v>
      </c>
      <c r="BT46" s="244">
        <f t="shared" si="48"/>
        <v>0</v>
      </c>
      <c r="BU46" s="244">
        <f t="shared" si="48"/>
        <v>0</v>
      </c>
      <c r="BV46" s="244">
        <f t="shared" si="48"/>
        <v>0</v>
      </c>
      <c r="BW46" s="244">
        <f t="shared" si="48"/>
        <v>0</v>
      </c>
      <c r="BX46" s="244">
        <f t="shared" si="48"/>
        <v>0</v>
      </c>
      <c r="BY46" s="244">
        <f t="shared" si="48"/>
        <v>0</v>
      </c>
      <c r="BZ46" s="244">
        <f t="shared" si="48"/>
        <v>0</v>
      </c>
      <c r="CA46" s="244">
        <f>SUM(CA41:CA45)</f>
        <v>0</v>
      </c>
      <c r="CB46" s="244">
        <f t="shared" ref="CB46:DJ46" si="49">SUM(CB41:CB45)</f>
        <v>0</v>
      </c>
      <c r="CC46" s="244">
        <f t="shared" si="49"/>
        <v>0</v>
      </c>
      <c r="CD46" s="244">
        <f t="shared" si="49"/>
        <v>0</v>
      </c>
      <c r="CE46" s="244">
        <f t="shared" si="49"/>
        <v>0</v>
      </c>
      <c r="CF46" s="244">
        <f t="shared" si="49"/>
        <v>0</v>
      </c>
      <c r="CG46" s="244">
        <f t="shared" si="49"/>
        <v>0</v>
      </c>
      <c r="CH46" s="244">
        <f t="shared" si="49"/>
        <v>0</v>
      </c>
      <c r="CI46" s="244">
        <f t="shared" si="49"/>
        <v>0</v>
      </c>
      <c r="CJ46" s="244">
        <f t="shared" si="49"/>
        <v>0</v>
      </c>
      <c r="CK46" s="244">
        <f t="shared" si="49"/>
        <v>0</v>
      </c>
      <c r="CL46" s="244">
        <f t="shared" si="49"/>
        <v>0</v>
      </c>
      <c r="CM46" s="244">
        <f t="shared" si="49"/>
        <v>0</v>
      </c>
      <c r="CN46" s="244">
        <f t="shared" si="49"/>
        <v>0</v>
      </c>
      <c r="CO46" s="244">
        <f t="shared" si="49"/>
        <v>0</v>
      </c>
      <c r="CP46" s="244">
        <f t="shared" si="49"/>
        <v>0</v>
      </c>
      <c r="CQ46" s="244">
        <f t="shared" si="49"/>
        <v>0</v>
      </c>
      <c r="CR46" s="244">
        <f t="shared" si="49"/>
        <v>0</v>
      </c>
      <c r="CS46" s="244">
        <f t="shared" si="49"/>
        <v>0</v>
      </c>
      <c r="CT46" s="244">
        <f t="shared" si="49"/>
        <v>0</v>
      </c>
      <c r="CU46" s="244">
        <f t="shared" si="49"/>
        <v>0</v>
      </c>
      <c r="CV46" s="244">
        <f t="shared" si="49"/>
        <v>0</v>
      </c>
      <c r="CW46" s="244">
        <f t="shared" si="49"/>
        <v>0</v>
      </c>
      <c r="CX46" s="244">
        <f t="shared" si="49"/>
        <v>0</v>
      </c>
      <c r="CY46" s="244">
        <f t="shared" si="49"/>
        <v>0</v>
      </c>
      <c r="CZ46" s="244">
        <f t="shared" si="49"/>
        <v>0</v>
      </c>
      <c r="DA46" s="244">
        <f t="shared" si="49"/>
        <v>0</v>
      </c>
      <c r="DB46" s="244">
        <f t="shared" si="49"/>
        <v>0</v>
      </c>
      <c r="DC46" s="244">
        <f t="shared" si="49"/>
        <v>0</v>
      </c>
      <c r="DD46" s="244">
        <f t="shared" si="49"/>
        <v>0</v>
      </c>
      <c r="DE46" s="244">
        <f t="shared" si="49"/>
        <v>0</v>
      </c>
      <c r="DF46" s="244">
        <f t="shared" si="49"/>
        <v>0</v>
      </c>
      <c r="DG46" s="244">
        <f t="shared" si="49"/>
        <v>0</v>
      </c>
      <c r="DH46" s="244">
        <f t="shared" si="49"/>
        <v>0</v>
      </c>
      <c r="DI46" s="244">
        <f t="shared" si="49"/>
        <v>0</v>
      </c>
      <c r="DJ46" s="244">
        <f t="shared" si="49"/>
        <v>0</v>
      </c>
      <c r="DK46" s="244">
        <f>SUM(DK41:DK45)</f>
        <v>0</v>
      </c>
      <c r="DL46" s="244">
        <f t="shared" ref="DL46:DV46" si="50">SUM(DL41:DL45)</f>
        <v>0</v>
      </c>
      <c r="DM46" s="244">
        <f t="shared" si="50"/>
        <v>0</v>
      </c>
      <c r="DN46" s="244">
        <f t="shared" si="50"/>
        <v>0</v>
      </c>
      <c r="DO46" s="244">
        <f t="shared" si="50"/>
        <v>0</v>
      </c>
      <c r="DP46" s="244">
        <f t="shared" si="50"/>
        <v>0</v>
      </c>
      <c r="DQ46" s="244">
        <f t="shared" si="50"/>
        <v>0</v>
      </c>
      <c r="DR46" s="244">
        <f t="shared" si="50"/>
        <v>0</v>
      </c>
      <c r="DS46" s="244">
        <f t="shared" si="50"/>
        <v>0</v>
      </c>
      <c r="DT46" s="244">
        <f t="shared" si="50"/>
        <v>0</v>
      </c>
      <c r="DU46" s="244">
        <f t="shared" si="50"/>
        <v>0</v>
      </c>
      <c r="DV46" s="244">
        <f t="shared" si="50"/>
        <v>0</v>
      </c>
    </row>
    <row r="47" spans="1:126">
      <c r="A47" s="255" t="s">
        <v>238</v>
      </c>
      <c r="B47" s="248" t="s">
        <v>276</v>
      </c>
      <c r="C47" s="248" t="s">
        <v>35</v>
      </c>
      <c r="D47" s="249">
        <f>D33+D39+D46</f>
        <v>125258169524188.03</v>
      </c>
      <c r="E47" s="249">
        <f t="shared" ref="E47:F47" si="51">E33+E39+E46</f>
        <v>1040611766937766.8</v>
      </c>
      <c r="F47" s="249">
        <f t="shared" si="51"/>
        <v>1057175524707237.8</v>
      </c>
      <c r="G47" s="250">
        <f>G33+G39+G46</f>
        <v>3051278535241.4756</v>
      </c>
      <c r="H47" s="250">
        <f>H33+H39+H46</f>
        <v>3144923056488.27</v>
      </c>
      <c r="I47" s="250">
        <f t="shared" ref="I47:AP47" si="52">I33+I39+I46</f>
        <v>3240997948965.2422</v>
      </c>
      <c r="J47" s="250">
        <f t="shared" si="52"/>
        <v>3339569425107.791</v>
      </c>
      <c r="K47" s="250">
        <f t="shared" si="52"/>
        <v>3440705578174.0791</v>
      </c>
      <c r="L47" s="250">
        <f t="shared" si="52"/>
        <v>3544476437469.7158</v>
      </c>
      <c r="M47" s="250">
        <f t="shared" si="52"/>
        <v>3650954025234.2495</v>
      </c>
      <c r="N47" s="250">
        <f t="shared" si="52"/>
        <v>3760212415240.3555</v>
      </c>
      <c r="O47" s="250">
        <f t="shared" si="52"/>
        <v>3872327793158.1714</v>
      </c>
      <c r="P47" s="250">
        <f t="shared" si="52"/>
        <v>3987378518738.8657</v>
      </c>
      <c r="Q47" s="250">
        <f t="shared" si="52"/>
        <v>4105445189873.1992</v>
      </c>
      <c r="R47" s="250">
        <f>R33+R39+R46</f>
        <v>86119900590496.625</v>
      </c>
      <c r="S47" s="250">
        <f t="shared" si="52"/>
        <v>86203222736049.953</v>
      </c>
      <c r="T47" s="250">
        <f t="shared" si="52"/>
        <v>86288743485575.562</v>
      </c>
      <c r="U47" s="250">
        <f t="shared" si="52"/>
        <v>86376522643892.609</v>
      </c>
      <c r="V47" s="250">
        <f t="shared" si="52"/>
        <v>86466621712245.625</v>
      </c>
      <c r="W47" s="250">
        <f t="shared" si="52"/>
        <v>86559103938059.906</v>
      </c>
      <c r="X47" s="250">
        <f t="shared" si="52"/>
        <v>86654034366193</v>
      </c>
      <c r="Y47" s="250">
        <f t="shared" si="52"/>
        <v>86751479891727.938</v>
      </c>
      <c r="Z47" s="250">
        <f t="shared" si="52"/>
        <v>86851509314355.516</v>
      </c>
      <c r="AA47" s="250">
        <f t="shared" si="52"/>
        <v>86954193394394.219</v>
      </c>
      <c r="AB47" s="250">
        <f t="shared" si="52"/>
        <v>87059604910497.984</v>
      </c>
      <c r="AC47" s="250">
        <f t="shared" si="52"/>
        <v>87167818719103.594</v>
      </c>
      <c r="AD47" s="250">
        <f t="shared" si="52"/>
        <v>87278911815670.828</v>
      </c>
      <c r="AE47" s="250">
        <f t="shared" si="52"/>
        <v>87392963387770.594</v>
      </c>
      <c r="AF47" s="250">
        <f t="shared" si="52"/>
        <v>87510054910077.531</v>
      </c>
      <c r="AG47" s="250">
        <f t="shared" si="52"/>
        <v>87630270181325.641</v>
      </c>
      <c r="AH47" s="250">
        <f t="shared" si="52"/>
        <v>87753695403287.172</v>
      </c>
      <c r="AI47" s="250">
        <f t="shared" si="52"/>
        <v>87880419251836.828</v>
      </c>
      <c r="AJ47" s="250">
        <f t="shared" si="52"/>
        <v>88010532950165.469</v>
      </c>
      <c r="AK47" s="250">
        <f t="shared" si="52"/>
        <v>88144130344209.219</v>
      </c>
      <c r="AL47" s="250">
        <f t="shared" si="52"/>
        <v>88281307980362.203</v>
      </c>
      <c r="AM47" s="250">
        <f t="shared" si="52"/>
        <v>88422165185542.953</v>
      </c>
      <c r="AN47" s="250">
        <f t="shared" si="52"/>
        <v>88566804149687.125</v>
      </c>
      <c r="AO47" s="250">
        <f t="shared" si="52"/>
        <v>88715330010740.859</v>
      </c>
      <c r="AP47" s="250">
        <f t="shared" si="52"/>
        <v>88867850942232.031</v>
      </c>
      <c r="AQ47" s="250">
        <f>AQ33+AQ39+AQ46</f>
        <v>3116627301266.5205</v>
      </c>
      <c r="AR47" s="250">
        <f>AR33+AR39+AR46</f>
        <v>3277475480423.5552</v>
      </c>
      <c r="AS47" s="250">
        <f t="shared" ref="AS47:BA47" si="53">AS33+AS39+AS46</f>
        <v>3442662380154.0879</v>
      </c>
      <c r="AT47" s="250">
        <f t="shared" si="53"/>
        <v>3612309246409.7402</v>
      </c>
      <c r="AU47" s="250">
        <f t="shared" si="53"/>
        <v>3786540840111.5718</v>
      </c>
      <c r="AV47" s="250">
        <f t="shared" si="53"/>
        <v>3965485541943.3516</v>
      </c>
      <c r="AW47" s="250">
        <f t="shared" si="53"/>
        <v>4149275460332.6504</v>
      </c>
      <c r="AX47" s="250">
        <f t="shared" si="53"/>
        <v>4338046542718.0957</v>
      </c>
      <c r="AY47" s="250">
        <f t="shared" si="53"/>
        <v>4531938690204.1816</v>
      </c>
      <c r="AZ47" s="250">
        <f t="shared" si="53"/>
        <v>4731095875708.1826</v>
      </c>
      <c r="BA47" s="250">
        <f t="shared" si="53"/>
        <v>4935666265706.9844</v>
      </c>
      <c r="BB47" s="250">
        <f>BB33+BB39+BB46</f>
        <v>5145802345694.9883</v>
      </c>
      <c r="BC47" s="250">
        <f t="shared" ref="BC47:BZ47" si="54">BC33+BC39+BC46</f>
        <v>5361661039467.7344</v>
      </c>
      <c r="BD47" s="250">
        <f t="shared" si="54"/>
        <v>5583403872349.4277</v>
      </c>
      <c r="BE47" s="250">
        <f t="shared" si="54"/>
        <v>5811197078486.2754</v>
      </c>
      <c r="BF47" s="250">
        <f t="shared" si="54"/>
        <v>6045211752331.2959</v>
      </c>
      <c r="BG47" s="250">
        <f t="shared" si="54"/>
        <v>6285623994450.2363</v>
      </c>
      <c r="BH47" s="250">
        <f t="shared" si="54"/>
        <v>6532615061782.2129</v>
      </c>
      <c r="BI47" s="250">
        <f t="shared" si="54"/>
        <v>6786371522492.915</v>
      </c>
      <c r="BJ47" s="250">
        <f t="shared" si="54"/>
        <v>7047085415562.4766</v>
      </c>
      <c r="BK47" s="250">
        <f t="shared" si="54"/>
        <v>7314954415254.5635</v>
      </c>
      <c r="BL47" s="250">
        <f t="shared" si="54"/>
        <v>7590182000617.8086</v>
      </c>
      <c r="BM47" s="250">
        <f t="shared" si="54"/>
        <v>7872977630175.4189</v>
      </c>
      <c r="BN47" s="250">
        <f t="shared" si="54"/>
        <v>8163556921963.6709</v>
      </c>
      <c r="BO47" s="250">
        <f t="shared" si="54"/>
        <v>8462141829085.0107</v>
      </c>
      <c r="BP47" s="250">
        <f t="shared" si="54"/>
        <v>8768960860946.6533</v>
      </c>
      <c r="BQ47" s="250">
        <f t="shared" si="54"/>
        <v>9084249250360.918</v>
      </c>
      <c r="BR47" s="250">
        <f t="shared" si="54"/>
        <v>9408249166689.0352</v>
      </c>
      <c r="BS47" s="250">
        <f t="shared" si="54"/>
        <v>9741209925215.834</v>
      </c>
      <c r="BT47" s="250">
        <f t="shared" si="54"/>
        <v>10083388202948.605</v>
      </c>
      <c r="BU47" s="250">
        <f t="shared" si="54"/>
        <v>10435048261039.416</v>
      </c>
      <c r="BV47" s="250">
        <f t="shared" si="54"/>
        <v>10796462174036.438</v>
      </c>
      <c r="BW47" s="250">
        <f t="shared" si="54"/>
        <v>11167910066176.258</v>
      </c>
      <c r="BX47" s="250">
        <f t="shared" si="54"/>
        <v>11549680354935.758</v>
      </c>
      <c r="BY47" s="250">
        <f t="shared" si="54"/>
        <v>11942070002068.975</v>
      </c>
      <c r="BZ47" s="250">
        <f t="shared" si="54"/>
        <v>12345384772361.439</v>
      </c>
      <c r="CA47" s="250">
        <f>CA33+CA39+CA46</f>
        <v>12759939490341.74</v>
      </c>
      <c r="CB47" s="250">
        <f>CB33+CB39+CB46</f>
        <v>13186058345197.537</v>
      </c>
      <c r="CC47" s="250">
        <f t="shared" ref="CC47:CK47" si="55">CC33+CC39+CC46</f>
        <v>13624075144151.043</v>
      </c>
      <c r="CD47" s="250">
        <f t="shared" si="55"/>
        <v>14074333614556.893</v>
      </c>
      <c r="CE47" s="250">
        <f t="shared" si="55"/>
        <v>14537187704993.631</v>
      </c>
      <c r="CF47" s="250">
        <f t="shared" si="55"/>
        <v>15013001895628.461</v>
      </c>
      <c r="CG47" s="250">
        <f t="shared" si="55"/>
        <v>15502151518143.711</v>
      </c>
      <c r="CH47" s="250">
        <f t="shared" si="55"/>
        <v>16005023085522.461</v>
      </c>
      <c r="CI47" s="250">
        <f t="shared" si="55"/>
        <v>16522014632000.125</v>
      </c>
      <c r="CJ47" s="250">
        <f t="shared" si="55"/>
        <v>17053536063498.348</v>
      </c>
      <c r="CK47" s="250">
        <f t="shared" si="55"/>
        <v>17600009518867.531</v>
      </c>
      <c r="CL47" s="250">
        <f>CL33+CL39+CL46</f>
        <v>18161869742274.465</v>
      </c>
      <c r="CM47" s="250">
        <f t="shared" ref="CM47:DJ47" si="56">CM33+CM39+CM46</f>
        <v>18739564457082.168</v>
      </c>
      <c r="CN47" s="250">
        <f t="shared" si="56"/>
        <v>19333554791579.789</v>
      </c>
      <c r="CO47" s="250">
        <f t="shared" si="56"/>
        <v>19944315656931.789</v>
      </c>
      <c r="CP47" s="250">
        <f t="shared" si="56"/>
        <v>20572336177727.039</v>
      </c>
      <c r="CQ47" s="250">
        <f t="shared" si="56"/>
        <v>21218120125520.52</v>
      </c>
      <c r="CR47" s="250">
        <f t="shared" si="56"/>
        <v>21882186365772.555</v>
      </c>
      <c r="CS47" s="250">
        <f t="shared" si="56"/>
        <v>22565069318603.215</v>
      </c>
      <c r="CT47" s="250">
        <f t="shared" si="56"/>
        <v>23267319433792.609</v>
      </c>
      <c r="CU47" s="250">
        <f t="shared" si="56"/>
        <v>23989503680471.348</v>
      </c>
      <c r="CV47" s="250">
        <f t="shared" si="56"/>
        <v>24732206051959.301</v>
      </c>
      <c r="CW47" s="250">
        <f t="shared" si="56"/>
        <v>25496028086225.219</v>
      </c>
      <c r="CX47" s="250">
        <f t="shared" si="56"/>
        <v>26281589402454.562</v>
      </c>
      <c r="CY47" s="250">
        <f t="shared" si="56"/>
        <v>27089528244228.199</v>
      </c>
      <c r="CZ47" s="250">
        <f t="shared" si="56"/>
        <v>27920502079830.367</v>
      </c>
      <c r="DA47" s="250">
        <f t="shared" si="56"/>
        <v>28775188160220.629</v>
      </c>
      <c r="DB47" s="250">
        <f t="shared" si="56"/>
        <v>29654284135221.219</v>
      </c>
      <c r="DC47" s="250">
        <f t="shared" si="56"/>
        <v>30558508678488.605</v>
      </c>
      <c r="DD47" s="250">
        <f t="shared" si="56"/>
        <v>31488602131855.852</v>
      </c>
      <c r="DE47" s="250">
        <f t="shared" si="56"/>
        <v>32445327169650.812</v>
      </c>
      <c r="DF47" s="250">
        <f t="shared" si="56"/>
        <v>33429469483614.215</v>
      </c>
      <c r="DG47" s="250">
        <f t="shared" si="56"/>
        <v>34441838489061.199</v>
      </c>
      <c r="DH47" s="250">
        <f t="shared" si="56"/>
        <v>35483268052950.172</v>
      </c>
      <c r="DI47" s="250">
        <f t="shared" si="56"/>
        <v>36554617244543.609</v>
      </c>
      <c r="DJ47" s="250">
        <f t="shared" si="56"/>
        <v>37656771109367.07</v>
      </c>
      <c r="DK47" s="250">
        <f>DK33+DK39+DK46</f>
        <v>38790641457194.578</v>
      </c>
      <c r="DL47" s="250">
        <f>DL33+DL39+DL46</f>
        <v>39957167714811.828</v>
      </c>
      <c r="DM47" s="250">
        <f t="shared" ref="DM47:DU47" si="57">DM33+DM39+DM46</f>
        <v>41157317744331.859</v>
      </c>
      <c r="DN47" s="250">
        <f t="shared" si="57"/>
        <v>42392088727862.477</v>
      </c>
      <c r="DO47" s="250">
        <f t="shared" si="57"/>
        <v>43662508069349.578</v>
      </c>
      <c r="DP47" s="250">
        <f t="shared" si="57"/>
        <v>44969634324446.703</v>
      </c>
      <c r="DQ47" s="250">
        <f t="shared" si="57"/>
        <v>46314558159287.562</v>
      </c>
      <c r="DR47" s="250">
        <f t="shared" si="57"/>
        <v>47698403339066.055</v>
      </c>
      <c r="DS47" s="250">
        <f t="shared" si="57"/>
        <v>49122327747356.672</v>
      </c>
      <c r="DT47" s="250">
        <f t="shared" si="57"/>
        <v>50587524437137.406</v>
      </c>
      <c r="DU47" s="250">
        <f t="shared" si="57"/>
        <v>52095222714507.656</v>
      </c>
      <c r="DV47" s="250">
        <f>DV33+DV39+DV46</f>
        <v>53646689256124.797</v>
      </c>
    </row>
    <row r="49" spans="7:126">
      <c r="G49" s="56">
        <f>G24-G47</f>
        <v>0</v>
      </c>
      <c r="H49" s="56">
        <f t="shared" ref="H49:BS49" si="58">H24-H47</f>
        <v>0</v>
      </c>
      <c r="I49" s="56">
        <f t="shared" si="58"/>
        <v>0</v>
      </c>
      <c r="J49" s="56">
        <f t="shared" si="58"/>
        <v>0</v>
      </c>
      <c r="K49" s="56">
        <f t="shared" si="58"/>
        <v>0</v>
      </c>
      <c r="L49" s="56">
        <f t="shared" si="58"/>
        <v>0</v>
      </c>
      <c r="M49" s="56">
        <f t="shared" si="58"/>
        <v>0</v>
      </c>
      <c r="N49" s="56">
        <f t="shared" si="58"/>
        <v>0</v>
      </c>
      <c r="O49" s="56">
        <f t="shared" si="58"/>
        <v>0</v>
      </c>
      <c r="P49" s="56">
        <f t="shared" si="58"/>
        <v>0</v>
      </c>
      <c r="Q49" s="56">
        <f t="shared" si="58"/>
        <v>0</v>
      </c>
      <c r="R49" s="56">
        <f t="shared" si="58"/>
        <v>0</v>
      </c>
      <c r="S49" s="56">
        <f t="shared" si="58"/>
        <v>0</v>
      </c>
      <c r="T49" s="56">
        <f t="shared" si="58"/>
        <v>0</v>
      </c>
      <c r="U49" s="56">
        <f t="shared" si="58"/>
        <v>0</v>
      </c>
      <c r="V49" s="56">
        <f t="shared" si="58"/>
        <v>0</v>
      </c>
      <c r="W49" s="56">
        <f t="shared" si="58"/>
        <v>0</v>
      </c>
      <c r="X49" s="56">
        <f t="shared" si="58"/>
        <v>0</v>
      </c>
      <c r="Y49" s="56">
        <f t="shared" si="58"/>
        <v>0</v>
      </c>
      <c r="Z49" s="56">
        <f t="shared" si="58"/>
        <v>0</v>
      </c>
      <c r="AA49" s="56">
        <f t="shared" si="58"/>
        <v>0</v>
      </c>
      <c r="AB49" s="56">
        <f t="shared" si="58"/>
        <v>0</v>
      </c>
      <c r="AC49" s="56">
        <f t="shared" si="58"/>
        <v>0</v>
      </c>
      <c r="AD49" s="56">
        <f t="shared" si="58"/>
        <v>0</v>
      </c>
      <c r="AE49" s="56">
        <f t="shared" si="58"/>
        <v>0</v>
      </c>
      <c r="AF49" s="56">
        <f t="shared" si="58"/>
        <v>0</v>
      </c>
      <c r="AG49" s="56">
        <f t="shared" si="58"/>
        <v>0</v>
      </c>
      <c r="AH49" s="56">
        <f t="shared" si="58"/>
        <v>0</v>
      </c>
      <c r="AI49" s="56">
        <f t="shared" si="58"/>
        <v>0</v>
      </c>
      <c r="AJ49" s="56">
        <f t="shared" si="58"/>
        <v>0</v>
      </c>
      <c r="AK49" s="56">
        <f t="shared" si="58"/>
        <v>0</v>
      </c>
      <c r="AL49" s="56">
        <f t="shared" si="58"/>
        <v>0</v>
      </c>
      <c r="AM49" s="56">
        <f t="shared" si="58"/>
        <v>0</v>
      </c>
      <c r="AN49" s="56">
        <f t="shared" si="58"/>
        <v>0</v>
      </c>
      <c r="AO49" s="56">
        <f t="shared" si="58"/>
        <v>0</v>
      </c>
      <c r="AP49" s="56">
        <f t="shared" si="58"/>
        <v>0</v>
      </c>
      <c r="AQ49" s="56">
        <f t="shared" si="58"/>
        <v>0</v>
      </c>
      <c r="AR49" s="56">
        <f t="shared" si="58"/>
        <v>0</v>
      </c>
      <c r="AS49" s="56">
        <f t="shared" si="58"/>
        <v>0</v>
      </c>
      <c r="AT49" s="56">
        <f t="shared" si="58"/>
        <v>0</v>
      </c>
      <c r="AU49" s="56">
        <f t="shared" si="58"/>
        <v>0</v>
      </c>
      <c r="AV49" s="56">
        <f t="shared" si="58"/>
        <v>0</v>
      </c>
      <c r="AW49" s="56">
        <f t="shared" si="58"/>
        <v>0</v>
      </c>
      <c r="AX49" s="56">
        <f t="shared" si="58"/>
        <v>0</v>
      </c>
      <c r="AY49" s="56">
        <f t="shared" si="58"/>
        <v>0</v>
      </c>
      <c r="AZ49" s="56">
        <f t="shared" si="58"/>
        <v>0</v>
      </c>
      <c r="BA49" s="56">
        <f t="shared" si="58"/>
        <v>0</v>
      </c>
      <c r="BB49" s="56">
        <f t="shared" si="58"/>
        <v>0</v>
      </c>
      <c r="BC49" s="56">
        <f t="shared" si="58"/>
        <v>0</v>
      </c>
      <c r="BD49" s="56">
        <f t="shared" si="58"/>
        <v>0</v>
      </c>
      <c r="BE49" s="56">
        <f t="shared" si="58"/>
        <v>0</v>
      </c>
      <c r="BF49" s="56">
        <f t="shared" si="58"/>
        <v>0</v>
      </c>
      <c r="BG49" s="56">
        <f t="shared" si="58"/>
        <v>0</v>
      </c>
      <c r="BH49" s="56">
        <f t="shared" si="58"/>
        <v>0</v>
      </c>
      <c r="BI49" s="56">
        <f t="shared" si="58"/>
        <v>0</v>
      </c>
      <c r="BJ49" s="56">
        <f t="shared" si="58"/>
        <v>0</v>
      </c>
      <c r="BK49" s="56">
        <f t="shared" si="58"/>
        <v>0</v>
      </c>
      <c r="BL49" s="56">
        <f t="shared" si="58"/>
        <v>0</v>
      </c>
      <c r="BM49" s="56">
        <f t="shared" si="58"/>
        <v>0</v>
      </c>
      <c r="BN49" s="56">
        <f t="shared" si="58"/>
        <v>0</v>
      </c>
      <c r="BO49" s="56">
        <f t="shared" si="58"/>
        <v>0</v>
      </c>
      <c r="BP49" s="56">
        <f t="shared" si="58"/>
        <v>0</v>
      </c>
      <c r="BQ49" s="56">
        <f t="shared" si="58"/>
        <v>0</v>
      </c>
      <c r="BR49" s="56">
        <f t="shared" si="58"/>
        <v>0</v>
      </c>
      <c r="BS49" s="56">
        <f t="shared" si="58"/>
        <v>0</v>
      </c>
      <c r="BT49" s="56">
        <f t="shared" ref="BT49:DV49" si="59">BT24-BT47</f>
        <v>0</v>
      </c>
      <c r="BU49" s="56">
        <f t="shared" si="59"/>
        <v>0</v>
      </c>
      <c r="BV49" s="56">
        <f t="shared" si="59"/>
        <v>0</v>
      </c>
      <c r="BW49" s="56">
        <f t="shared" si="59"/>
        <v>0</v>
      </c>
      <c r="BX49" s="56">
        <f t="shared" si="59"/>
        <v>0</v>
      </c>
      <c r="BY49" s="56">
        <f t="shared" si="59"/>
        <v>0</v>
      </c>
      <c r="BZ49" s="56">
        <f t="shared" si="59"/>
        <v>0</v>
      </c>
      <c r="CA49" s="56">
        <f t="shared" si="59"/>
        <v>0</v>
      </c>
      <c r="CB49" s="56">
        <f t="shared" si="59"/>
        <v>0</v>
      </c>
      <c r="CC49" s="56">
        <f t="shared" si="59"/>
        <v>0</v>
      </c>
      <c r="CD49" s="56">
        <f t="shared" si="59"/>
        <v>0</v>
      </c>
      <c r="CE49" s="56">
        <f t="shared" si="59"/>
        <v>0</v>
      </c>
      <c r="CF49" s="56">
        <f t="shared" si="59"/>
        <v>0</v>
      </c>
      <c r="CG49" s="56">
        <f t="shared" si="59"/>
        <v>0</v>
      </c>
      <c r="CH49" s="56">
        <f t="shared" si="59"/>
        <v>0</v>
      </c>
      <c r="CI49" s="56">
        <f t="shared" si="59"/>
        <v>0</v>
      </c>
      <c r="CJ49" s="56">
        <f t="shared" si="59"/>
        <v>0</v>
      </c>
      <c r="CK49" s="56">
        <f t="shared" si="59"/>
        <v>0</v>
      </c>
      <c r="CL49" s="56">
        <f t="shared" si="59"/>
        <v>0</v>
      </c>
      <c r="CM49" s="56">
        <f t="shared" si="59"/>
        <v>0</v>
      </c>
      <c r="CN49" s="56">
        <f t="shared" si="59"/>
        <v>0</v>
      </c>
      <c r="CO49" s="56">
        <f t="shared" si="59"/>
        <v>0</v>
      </c>
      <c r="CP49" s="56">
        <f t="shared" si="59"/>
        <v>0</v>
      </c>
      <c r="CQ49" s="56">
        <f t="shared" si="59"/>
        <v>0</v>
      </c>
      <c r="CR49" s="56">
        <f t="shared" si="59"/>
        <v>0</v>
      </c>
      <c r="CS49" s="56">
        <f t="shared" si="59"/>
        <v>0</v>
      </c>
      <c r="CT49" s="56">
        <f t="shared" si="59"/>
        <v>0</v>
      </c>
      <c r="CU49" s="56">
        <f t="shared" si="59"/>
        <v>0</v>
      </c>
      <c r="CV49" s="56">
        <f t="shared" si="59"/>
        <v>0</v>
      </c>
      <c r="CW49" s="56">
        <f t="shared" si="59"/>
        <v>0</v>
      </c>
      <c r="CX49" s="56">
        <f t="shared" si="59"/>
        <v>0</v>
      </c>
      <c r="CY49" s="56">
        <f t="shared" si="59"/>
        <v>0</v>
      </c>
      <c r="CZ49" s="56">
        <f t="shared" si="59"/>
        <v>0</v>
      </c>
      <c r="DA49" s="56">
        <f t="shared" si="59"/>
        <v>0</v>
      </c>
      <c r="DB49" s="56">
        <f t="shared" si="59"/>
        <v>0</v>
      </c>
      <c r="DC49" s="56">
        <f t="shared" si="59"/>
        <v>0</v>
      </c>
      <c r="DD49" s="56">
        <f t="shared" si="59"/>
        <v>0</v>
      </c>
      <c r="DE49" s="56">
        <f t="shared" si="59"/>
        <v>0</v>
      </c>
      <c r="DF49" s="56">
        <f t="shared" si="59"/>
        <v>0</v>
      </c>
      <c r="DG49" s="56">
        <f t="shared" si="59"/>
        <v>0</v>
      </c>
      <c r="DH49" s="56">
        <f t="shared" si="59"/>
        <v>0</v>
      </c>
      <c r="DI49" s="56">
        <f t="shared" si="59"/>
        <v>0</v>
      </c>
      <c r="DJ49" s="56">
        <f t="shared" si="59"/>
        <v>0</v>
      </c>
      <c r="DK49" s="56">
        <f t="shared" si="59"/>
        <v>0</v>
      </c>
      <c r="DL49" s="56">
        <f t="shared" si="59"/>
        <v>0</v>
      </c>
      <c r="DM49" s="56">
        <f t="shared" si="59"/>
        <v>0</v>
      </c>
      <c r="DN49" s="56">
        <f t="shared" si="59"/>
        <v>0</v>
      </c>
      <c r="DO49" s="56">
        <f t="shared" si="59"/>
        <v>0</v>
      </c>
      <c r="DP49" s="56">
        <f t="shared" si="59"/>
        <v>0</v>
      </c>
      <c r="DQ49" s="56">
        <f t="shared" si="59"/>
        <v>0</v>
      </c>
      <c r="DR49" s="56">
        <f t="shared" si="59"/>
        <v>0</v>
      </c>
      <c r="DS49" s="56">
        <f t="shared" si="59"/>
        <v>0</v>
      </c>
      <c r="DT49" s="56">
        <f t="shared" si="59"/>
        <v>0</v>
      </c>
      <c r="DU49" s="56">
        <f t="shared" si="59"/>
        <v>0</v>
      </c>
      <c r="DV49" s="56">
        <f t="shared" si="59"/>
        <v>0</v>
      </c>
    </row>
  </sheetData>
  <mergeCells count="18">
    <mergeCell ref="DK1:DV1"/>
    <mergeCell ref="A4:F4"/>
    <mergeCell ref="A1:F1"/>
    <mergeCell ref="G1:R1"/>
    <mergeCell ref="S1:AD1"/>
    <mergeCell ref="AE1:AP1"/>
    <mergeCell ref="AQ1:BB1"/>
    <mergeCell ref="BC1:BN1"/>
    <mergeCell ref="A40:F40"/>
    <mergeCell ref="BO1:BZ1"/>
    <mergeCell ref="CA1:CL1"/>
    <mergeCell ref="CM1:CX1"/>
    <mergeCell ref="CY1:DJ1"/>
    <mergeCell ref="A5:F5"/>
    <mergeCell ref="A16:F16"/>
    <mergeCell ref="A25:F25"/>
    <mergeCell ref="A26:F26"/>
    <mergeCell ref="A34:F3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7BDE-E27A-4CCE-81E9-90DBE2ACAE82}">
  <sheetPr>
    <tabColor theme="4"/>
  </sheetPr>
  <dimension ref="A1:DT21"/>
  <sheetViews>
    <sheetView workbookViewId="0">
      <selection activeCell="E5" sqref="E5"/>
    </sheetView>
  </sheetViews>
  <sheetFormatPr baseColWidth="10" defaultColWidth="8.83203125" defaultRowHeight="15"/>
  <sheetData>
    <row r="1" spans="1:124">
      <c r="A1" s="361" t="s">
        <v>72</v>
      </c>
      <c r="B1" s="361"/>
      <c r="C1" s="361"/>
      <c r="D1" s="361"/>
      <c r="E1" s="317" t="s">
        <v>23</v>
      </c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20"/>
      <c r="Q1" s="317" t="s">
        <v>24</v>
      </c>
      <c r="R1" s="318"/>
      <c r="S1" s="318"/>
      <c r="T1" s="318"/>
      <c r="U1" s="318"/>
      <c r="V1" s="318"/>
      <c r="W1" s="318"/>
      <c r="X1" s="318"/>
      <c r="Y1" s="318"/>
      <c r="Z1" s="318"/>
      <c r="AA1" s="318"/>
      <c r="AB1" s="320"/>
      <c r="AC1" s="317" t="s">
        <v>25</v>
      </c>
      <c r="AD1" s="318"/>
      <c r="AE1" s="318"/>
      <c r="AF1" s="318"/>
      <c r="AG1" s="318"/>
      <c r="AH1" s="318"/>
      <c r="AI1" s="318"/>
      <c r="AJ1" s="318"/>
      <c r="AK1" s="318"/>
      <c r="AL1" s="318"/>
      <c r="AM1" s="318"/>
      <c r="AN1" s="319"/>
      <c r="AO1" s="317" t="s">
        <v>346</v>
      </c>
      <c r="AP1" s="318"/>
      <c r="AQ1" s="318"/>
      <c r="AR1" s="318"/>
      <c r="AS1" s="318"/>
      <c r="AT1" s="318"/>
      <c r="AU1" s="318"/>
      <c r="AV1" s="318"/>
      <c r="AW1" s="318"/>
      <c r="AX1" s="318"/>
      <c r="AY1" s="318"/>
      <c r="AZ1" s="320"/>
      <c r="BA1" s="317" t="s">
        <v>347</v>
      </c>
      <c r="BB1" s="318"/>
      <c r="BC1" s="318"/>
      <c r="BD1" s="318"/>
      <c r="BE1" s="318"/>
      <c r="BF1" s="318"/>
      <c r="BG1" s="318"/>
      <c r="BH1" s="318"/>
      <c r="BI1" s="318"/>
      <c r="BJ1" s="318"/>
      <c r="BK1" s="318"/>
      <c r="BL1" s="320"/>
      <c r="BM1" s="317" t="s">
        <v>348</v>
      </c>
      <c r="BN1" s="318"/>
      <c r="BO1" s="318"/>
      <c r="BP1" s="318"/>
      <c r="BQ1" s="318"/>
      <c r="BR1" s="318"/>
      <c r="BS1" s="318"/>
      <c r="BT1" s="318"/>
      <c r="BU1" s="318"/>
      <c r="BV1" s="318"/>
      <c r="BW1" s="318"/>
      <c r="BX1" s="319"/>
      <c r="BY1" s="317" t="s">
        <v>349</v>
      </c>
      <c r="BZ1" s="318"/>
      <c r="CA1" s="318"/>
      <c r="CB1" s="318"/>
      <c r="CC1" s="318"/>
      <c r="CD1" s="318"/>
      <c r="CE1" s="318"/>
      <c r="CF1" s="318"/>
      <c r="CG1" s="318"/>
      <c r="CH1" s="318"/>
      <c r="CI1" s="318"/>
      <c r="CJ1" s="320"/>
      <c r="CK1" s="317" t="s">
        <v>350</v>
      </c>
      <c r="CL1" s="318"/>
      <c r="CM1" s="318"/>
      <c r="CN1" s="318"/>
      <c r="CO1" s="318"/>
      <c r="CP1" s="318"/>
      <c r="CQ1" s="318"/>
      <c r="CR1" s="318"/>
      <c r="CS1" s="318"/>
      <c r="CT1" s="318"/>
      <c r="CU1" s="318"/>
      <c r="CV1" s="320"/>
      <c r="CW1" s="317" t="s">
        <v>351</v>
      </c>
      <c r="CX1" s="318"/>
      <c r="CY1" s="318"/>
      <c r="CZ1" s="318"/>
      <c r="DA1" s="318"/>
      <c r="DB1" s="318"/>
      <c r="DC1" s="318"/>
      <c r="DD1" s="318"/>
      <c r="DE1" s="318"/>
      <c r="DF1" s="318"/>
      <c r="DG1" s="318"/>
      <c r="DH1" s="319"/>
      <c r="DI1" s="317" t="s">
        <v>352</v>
      </c>
      <c r="DJ1" s="318"/>
      <c r="DK1" s="318"/>
      <c r="DL1" s="318"/>
      <c r="DM1" s="318"/>
      <c r="DN1" s="318"/>
      <c r="DO1" s="318"/>
      <c r="DP1" s="318"/>
      <c r="DQ1" s="318"/>
      <c r="DR1" s="318"/>
      <c r="DS1" s="318"/>
      <c r="DT1" s="320"/>
    </row>
    <row r="2" spans="1:124">
      <c r="A2" s="230"/>
      <c r="B2" s="230"/>
      <c r="C2" s="230"/>
      <c r="D2" s="230"/>
      <c r="E2" s="231">
        <v>1</v>
      </c>
      <c r="F2" s="231">
        <v>2</v>
      </c>
      <c r="G2" s="231">
        <v>3</v>
      </c>
      <c r="H2" s="231">
        <v>4</v>
      </c>
      <c r="I2" s="231">
        <v>5</v>
      </c>
      <c r="J2" s="231">
        <v>6</v>
      </c>
      <c r="K2" s="231">
        <v>7</v>
      </c>
      <c r="L2" s="231">
        <v>8</v>
      </c>
      <c r="M2" s="231">
        <v>9</v>
      </c>
      <c r="N2" s="231">
        <v>10</v>
      </c>
      <c r="O2" s="231">
        <v>11</v>
      </c>
      <c r="P2" s="231">
        <v>12</v>
      </c>
      <c r="Q2" s="231">
        <v>1</v>
      </c>
      <c r="R2" s="231">
        <v>2</v>
      </c>
      <c r="S2" s="231">
        <v>3</v>
      </c>
      <c r="T2" s="231">
        <v>4</v>
      </c>
      <c r="U2" s="231">
        <v>5</v>
      </c>
      <c r="V2" s="231">
        <v>6</v>
      </c>
      <c r="W2" s="231">
        <v>7</v>
      </c>
      <c r="X2" s="231">
        <v>8</v>
      </c>
      <c r="Y2" s="231">
        <v>9</v>
      </c>
      <c r="Z2" s="231">
        <v>10</v>
      </c>
      <c r="AA2" s="231">
        <v>11</v>
      </c>
      <c r="AB2" s="231">
        <v>12</v>
      </c>
      <c r="AC2" s="231">
        <v>1</v>
      </c>
      <c r="AD2" s="231">
        <v>2</v>
      </c>
      <c r="AE2" s="231">
        <v>3</v>
      </c>
      <c r="AF2" s="231">
        <v>4</v>
      </c>
      <c r="AG2" s="231">
        <v>5</v>
      </c>
      <c r="AH2" s="231">
        <v>6</v>
      </c>
      <c r="AI2" s="231">
        <v>7</v>
      </c>
      <c r="AJ2" s="231">
        <v>8</v>
      </c>
      <c r="AK2" s="231">
        <v>9</v>
      </c>
      <c r="AL2" s="231">
        <v>10</v>
      </c>
      <c r="AM2" s="231">
        <v>11</v>
      </c>
      <c r="AN2" s="232">
        <v>12</v>
      </c>
      <c r="AO2" s="231">
        <v>1</v>
      </c>
      <c r="AP2" s="231">
        <v>2</v>
      </c>
      <c r="AQ2" s="231">
        <v>3</v>
      </c>
      <c r="AR2" s="231">
        <v>4</v>
      </c>
      <c r="AS2" s="231">
        <v>5</v>
      </c>
      <c r="AT2" s="231">
        <v>6</v>
      </c>
      <c r="AU2" s="231">
        <v>7</v>
      </c>
      <c r="AV2" s="231">
        <v>8</v>
      </c>
      <c r="AW2" s="231">
        <v>9</v>
      </c>
      <c r="AX2" s="231">
        <v>10</v>
      </c>
      <c r="AY2" s="231">
        <v>11</v>
      </c>
      <c r="AZ2" s="231">
        <v>12</v>
      </c>
      <c r="BA2" s="231">
        <v>1</v>
      </c>
      <c r="BB2" s="231">
        <v>2</v>
      </c>
      <c r="BC2" s="231">
        <v>3</v>
      </c>
      <c r="BD2" s="231">
        <v>4</v>
      </c>
      <c r="BE2" s="231">
        <v>5</v>
      </c>
      <c r="BF2" s="231">
        <v>6</v>
      </c>
      <c r="BG2" s="231">
        <v>7</v>
      </c>
      <c r="BH2" s="231">
        <v>8</v>
      </c>
      <c r="BI2" s="231">
        <v>9</v>
      </c>
      <c r="BJ2" s="231">
        <v>10</v>
      </c>
      <c r="BK2" s="231">
        <v>11</v>
      </c>
      <c r="BL2" s="231">
        <v>12</v>
      </c>
      <c r="BM2" s="231">
        <v>1</v>
      </c>
      <c r="BN2" s="231">
        <v>2</v>
      </c>
      <c r="BO2" s="231">
        <v>3</v>
      </c>
      <c r="BP2" s="231">
        <v>4</v>
      </c>
      <c r="BQ2" s="231">
        <v>5</v>
      </c>
      <c r="BR2" s="231">
        <v>6</v>
      </c>
      <c r="BS2" s="231">
        <v>7</v>
      </c>
      <c r="BT2" s="231">
        <v>8</v>
      </c>
      <c r="BU2" s="231">
        <v>9</v>
      </c>
      <c r="BV2" s="231">
        <v>10</v>
      </c>
      <c r="BW2" s="231">
        <v>11</v>
      </c>
      <c r="BX2" s="232">
        <v>12</v>
      </c>
      <c r="BY2" s="231">
        <v>1</v>
      </c>
      <c r="BZ2" s="231">
        <v>2</v>
      </c>
      <c r="CA2" s="231">
        <v>3</v>
      </c>
      <c r="CB2" s="231">
        <v>4</v>
      </c>
      <c r="CC2" s="231">
        <v>5</v>
      </c>
      <c r="CD2" s="231">
        <v>6</v>
      </c>
      <c r="CE2" s="231">
        <v>7</v>
      </c>
      <c r="CF2" s="231">
        <v>8</v>
      </c>
      <c r="CG2" s="231">
        <v>9</v>
      </c>
      <c r="CH2" s="231">
        <v>10</v>
      </c>
      <c r="CI2" s="231">
        <v>11</v>
      </c>
      <c r="CJ2" s="231">
        <v>12</v>
      </c>
      <c r="CK2" s="231">
        <v>1</v>
      </c>
      <c r="CL2" s="231">
        <v>2</v>
      </c>
      <c r="CM2" s="231">
        <v>3</v>
      </c>
      <c r="CN2" s="231">
        <v>4</v>
      </c>
      <c r="CO2" s="231">
        <v>5</v>
      </c>
      <c r="CP2" s="231">
        <v>6</v>
      </c>
      <c r="CQ2" s="231">
        <v>7</v>
      </c>
      <c r="CR2" s="231">
        <v>8</v>
      </c>
      <c r="CS2" s="231">
        <v>9</v>
      </c>
      <c r="CT2" s="231">
        <v>10</v>
      </c>
      <c r="CU2" s="231">
        <v>11</v>
      </c>
      <c r="CV2" s="231">
        <v>12</v>
      </c>
      <c r="CW2" s="231">
        <v>1</v>
      </c>
      <c r="CX2" s="231">
        <v>2</v>
      </c>
      <c r="CY2" s="231">
        <v>3</v>
      </c>
      <c r="CZ2" s="231">
        <v>4</v>
      </c>
      <c r="DA2" s="231">
        <v>5</v>
      </c>
      <c r="DB2" s="231">
        <v>6</v>
      </c>
      <c r="DC2" s="231">
        <v>7</v>
      </c>
      <c r="DD2" s="231">
        <v>8</v>
      </c>
      <c r="DE2" s="231">
        <v>9</v>
      </c>
      <c r="DF2" s="231">
        <v>10</v>
      </c>
      <c r="DG2" s="231">
        <v>11</v>
      </c>
      <c r="DH2" s="232">
        <v>12</v>
      </c>
      <c r="DI2" s="231">
        <v>1</v>
      </c>
      <c r="DJ2" s="231">
        <v>2</v>
      </c>
      <c r="DK2" s="231">
        <v>3</v>
      </c>
      <c r="DL2" s="231">
        <v>4</v>
      </c>
      <c r="DM2" s="231">
        <v>5</v>
      </c>
      <c r="DN2" s="231">
        <v>6</v>
      </c>
      <c r="DO2" s="231">
        <v>7</v>
      </c>
      <c r="DP2" s="231">
        <v>8</v>
      </c>
      <c r="DQ2" s="231">
        <v>9</v>
      </c>
      <c r="DR2" s="231">
        <v>10</v>
      </c>
      <c r="DS2" s="231">
        <v>11</v>
      </c>
      <c r="DT2" s="231">
        <v>12</v>
      </c>
    </row>
    <row r="3" spans="1:124" ht="22">
      <c r="A3" s="233" t="s">
        <v>73</v>
      </c>
      <c r="B3" s="237" t="s">
        <v>74</v>
      </c>
      <c r="C3" s="237" t="s">
        <v>54</v>
      </c>
      <c r="D3" s="237" t="s">
        <v>27</v>
      </c>
      <c r="E3" s="296">
        <v>1</v>
      </c>
      <c r="F3" s="296">
        <v>2</v>
      </c>
      <c r="G3" s="296">
        <v>3</v>
      </c>
      <c r="H3" s="296">
        <v>4</v>
      </c>
      <c r="I3" s="296">
        <v>5</v>
      </c>
      <c r="J3" s="296">
        <v>6</v>
      </c>
      <c r="K3" s="296">
        <v>7</v>
      </c>
      <c r="L3" s="296">
        <v>8</v>
      </c>
      <c r="M3" s="296">
        <v>9</v>
      </c>
      <c r="N3" s="296">
        <v>10</v>
      </c>
      <c r="O3" s="296">
        <v>11</v>
      </c>
      <c r="P3" s="296">
        <v>12</v>
      </c>
      <c r="Q3" s="296">
        <v>13</v>
      </c>
      <c r="R3" s="296">
        <v>14</v>
      </c>
      <c r="S3" s="296">
        <v>15</v>
      </c>
      <c r="T3" s="296">
        <v>16</v>
      </c>
      <c r="U3" s="296">
        <v>17</v>
      </c>
      <c r="V3" s="296">
        <v>18</v>
      </c>
      <c r="W3" s="296">
        <v>19</v>
      </c>
      <c r="X3" s="296">
        <v>20</v>
      </c>
      <c r="Y3" s="296">
        <v>21</v>
      </c>
      <c r="Z3" s="296">
        <v>22</v>
      </c>
      <c r="AA3" s="296">
        <v>23</v>
      </c>
      <c r="AB3" s="296">
        <v>24</v>
      </c>
      <c r="AC3" s="296">
        <v>25</v>
      </c>
      <c r="AD3" s="296">
        <v>26</v>
      </c>
      <c r="AE3" s="296">
        <v>27</v>
      </c>
      <c r="AF3" s="296">
        <v>28</v>
      </c>
      <c r="AG3" s="296">
        <v>29</v>
      </c>
      <c r="AH3" s="296">
        <v>30</v>
      </c>
      <c r="AI3" s="296">
        <v>31</v>
      </c>
      <c r="AJ3" s="296">
        <v>32</v>
      </c>
      <c r="AK3" s="296">
        <v>33</v>
      </c>
      <c r="AL3" s="296">
        <v>34</v>
      </c>
      <c r="AM3" s="296">
        <v>35</v>
      </c>
      <c r="AN3" s="296">
        <v>36</v>
      </c>
      <c r="AO3" s="296">
        <v>1</v>
      </c>
      <c r="AP3" s="296">
        <v>2</v>
      </c>
      <c r="AQ3" s="296">
        <v>3</v>
      </c>
      <c r="AR3" s="296">
        <v>4</v>
      </c>
      <c r="AS3" s="296">
        <v>5</v>
      </c>
      <c r="AT3" s="296">
        <v>6</v>
      </c>
      <c r="AU3" s="296">
        <v>7</v>
      </c>
      <c r="AV3" s="296">
        <v>8</v>
      </c>
      <c r="AW3" s="296">
        <v>9</v>
      </c>
      <c r="AX3" s="296">
        <v>10</v>
      </c>
      <c r="AY3" s="296">
        <v>11</v>
      </c>
      <c r="AZ3" s="296">
        <v>12</v>
      </c>
      <c r="BA3" s="296">
        <v>13</v>
      </c>
      <c r="BB3" s="296">
        <v>14</v>
      </c>
      <c r="BC3" s="296">
        <v>15</v>
      </c>
      <c r="BD3" s="296">
        <v>16</v>
      </c>
      <c r="BE3" s="296">
        <v>17</v>
      </c>
      <c r="BF3" s="296">
        <v>18</v>
      </c>
      <c r="BG3" s="296">
        <v>19</v>
      </c>
      <c r="BH3" s="296">
        <v>20</v>
      </c>
      <c r="BI3" s="296">
        <v>21</v>
      </c>
      <c r="BJ3" s="296">
        <v>22</v>
      </c>
      <c r="BK3" s="296">
        <v>23</v>
      </c>
      <c r="BL3" s="296">
        <v>24</v>
      </c>
      <c r="BM3" s="296">
        <v>25</v>
      </c>
      <c r="BN3" s="296">
        <v>26</v>
      </c>
      <c r="BO3" s="296">
        <v>27</v>
      </c>
      <c r="BP3" s="296">
        <v>28</v>
      </c>
      <c r="BQ3" s="296">
        <v>29</v>
      </c>
      <c r="BR3" s="296">
        <v>30</v>
      </c>
      <c r="BS3" s="296">
        <v>31</v>
      </c>
      <c r="BT3" s="296">
        <v>32</v>
      </c>
      <c r="BU3" s="296">
        <v>33</v>
      </c>
      <c r="BV3" s="296">
        <v>34</v>
      </c>
      <c r="BW3" s="296">
        <v>35</v>
      </c>
      <c r="BX3" s="296">
        <v>36</v>
      </c>
      <c r="BY3" s="296">
        <v>1</v>
      </c>
      <c r="BZ3" s="296">
        <v>2</v>
      </c>
      <c r="CA3" s="296">
        <v>3</v>
      </c>
      <c r="CB3" s="296">
        <v>4</v>
      </c>
      <c r="CC3" s="296">
        <v>5</v>
      </c>
      <c r="CD3" s="296">
        <v>6</v>
      </c>
      <c r="CE3" s="296">
        <v>7</v>
      </c>
      <c r="CF3" s="296">
        <v>8</v>
      </c>
      <c r="CG3" s="296">
        <v>9</v>
      </c>
      <c r="CH3" s="296">
        <v>10</v>
      </c>
      <c r="CI3" s="296">
        <v>11</v>
      </c>
      <c r="CJ3" s="296">
        <v>12</v>
      </c>
      <c r="CK3" s="296">
        <v>13</v>
      </c>
      <c r="CL3" s="296">
        <v>14</v>
      </c>
      <c r="CM3" s="296">
        <v>15</v>
      </c>
      <c r="CN3" s="296">
        <v>16</v>
      </c>
      <c r="CO3" s="296">
        <v>17</v>
      </c>
      <c r="CP3" s="296">
        <v>18</v>
      </c>
      <c r="CQ3" s="296">
        <v>19</v>
      </c>
      <c r="CR3" s="296">
        <v>20</v>
      </c>
      <c r="CS3" s="296">
        <v>21</v>
      </c>
      <c r="CT3" s="296">
        <v>22</v>
      </c>
      <c r="CU3" s="296">
        <v>23</v>
      </c>
      <c r="CV3" s="296">
        <v>24</v>
      </c>
      <c r="CW3" s="296">
        <v>25</v>
      </c>
      <c r="CX3" s="296">
        <v>26</v>
      </c>
      <c r="CY3" s="296">
        <v>27</v>
      </c>
      <c r="CZ3" s="296">
        <v>28</v>
      </c>
      <c r="DA3" s="296">
        <v>29</v>
      </c>
      <c r="DB3" s="296">
        <v>30</v>
      </c>
      <c r="DC3" s="296">
        <v>31</v>
      </c>
      <c r="DD3" s="296">
        <v>32</v>
      </c>
      <c r="DE3" s="296">
        <v>33</v>
      </c>
      <c r="DF3" s="296">
        <v>34</v>
      </c>
      <c r="DG3" s="296">
        <v>35</v>
      </c>
      <c r="DH3" s="296">
        <v>36</v>
      </c>
      <c r="DI3" s="296">
        <v>1</v>
      </c>
      <c r="DJ3" s="296">
        <v>2</v>
      </c>
      <c r="DK3" s="296">
        <v>3</v>
      </c>
      <c r="DL3" s="296">
        <v>4</v>
      </c>
      <c r="DM3" s="296">
        <v>5</v>
      </c>
      <c r="DN3" s="296">
        <v>6</v>
      </c>
      <c r="DO3" s="296">
        <v>7</v>
      </c>
      <c r="DP3" s="296">
        <v>8</v>
      </c>
      <c r="DQ3" s="296">
        <v>9</v>
      </c>
      <c r="DR3" s="296">
        <v>10</v>
      </c>
      <c r="DS3" s="296">
        <v>11</v>
      </c>
      <c r="DT3" s="296">
        <v>12</v>
      </c>
    </row>
    <row r="4" spans="1:124">
      <c r="A4" s="236" t="s">
        <v>75</v>
      </c>
      <c r="B4" s="237" t="s">
        <v>76</v>
      </c>
      <c r="C4" s="237" t="s">
        <v>35</v>
      </c>
      <c r="D4" s="240">
        <f t="shared" ref="D4:D19" si="0">SUM(E4:AN4)</f>
        <v>86155843243320.109</v>
      </c>
      <c r="E4" s="297">
        <f>'Выручка, до'!D9</f>
        <v>91278535241.475464</v>
      </c>
      <c r="F4" s="297">
        <f>'Выручка, до'!E9</f>
        <v>93644521246.794586</v>
      </c>
      <c r="G4" s="297">
        <f>'Выручка, до'!F9</f>
        <v>96074892476.972198</v>
      </c>
      <c r="H4" s="297">
        <f>'Выручка, до'!G9</f>
        <v>98571476142.548843</v>
      </c>
      <c r="I4" s="297">
        <f>'Выручка, до'!H9</f>
        <v>101136153066.28827</v>
      </c>
      <c r="J4" s="297">
        <f>'Выручка, до'!I9</f>
        <v>103770859295.63654</v>
      </c>
      <c r="K4" s="297">
        <f>'Выручка, до'!J9</f>
        <v>106477587764.53366</v>
      </c>
      <c r="L4" s="297">
        <f>'Выручка, до'!K9</f>
        <v>109258390006.10591</v>
      </c>
      <c r="M4" s="297">
        <f>'Выручка, до'!L9</f>
        <v>112115377917.8158</v>
      </c>
      <c r="N4" s="297">
        <f>'Выручка, до'!M9</f>
        <v>115050725580.69447</v>
      </c>
      <c r="O4" s="297">
        <f>'Выручка, до'!N9</f>
        <v>118066671134.33347</v>
      </c>
      <c r="P4" s="297">
        <f>'Выручка, до'!C9</f>
        <v>82014455400623.422</v>
      </c>
      <c r="Q4" s="297">
        <f>'Выручка, до'!D9</f>
        <v>91278535241.475464</v>
      </c>
      <c r="R4" s="297">
        <f>'Выручка, до'!E9</f>
        <v>93644521246.794586</v>
      </c>
      <c r="S4" s="297">
        <f>'Выручка, до'!F9</f>
        <v>96074892476.972198</v>
      </c>
      <c r="T4" s="297">
        <f>'Выручка, до'!G9</f>
        <v>98571476142.548843</v>
      </c>
      <c r="U4" s="297">
        <f>'Выручка, до'!H9</f>
        <v>101136153066.28827</v>
      </c>
      <c r="V4" s="297">
        <f>'Выручка, до'!I9</f>
        <v>103770859295.63654</v>
      </c>
      <c r="W4" s="297">
        <f>'Выручка, до'!J9</f>
        <v>106477587764.53366</v>
      </c>
      <c r="X4" s="297">
        <f>'Выручка, до'!K9</f>
        <v>109258390006.10591</v>
      </c>
      <c r="Y4" s="297">
        <f>'Выручка, до'!L9</f>
        <v>112115377917.8158</v>
      </c>
      <c r="Z4" s="297">
        <f>'Выручка, до'!M9</f>
        <v>115050725580.69447</v>
      </c>
      <c r="AA4" s="297">
        <f>'Выручка, до'!N9</f>
        <v>118066671134.33347</v>
      </c>
      <c r="AB4" s="297">
        <f>'Выручка, до'!O9</f>
        <v>121165518709.36453</v>
      </c>
      <c r="AC4" s="297">
        <f>'Выручка, до'!P9</f>
        <v>124349640419.20969</v>
      </c>
      <c r="AD4" s="297">
        <f>'Выручка, до'!Q9</f>
        <v>127621478412.94052</v>
      </c>
      <c r="AE4" s="297">
        <f>'Выручка, до'!R9</f>
        <v>130983546991.14232</v>
      </c>
      <c r="AF4" s="297">
        <f>'Выручка, до'!S9</f>
        <v>134438434786.73795</v>
      </c>
      <c r="AG4" s="297">
        <f>'Выручка, до'!T9</f>
        <v>137988807012.78815</v>
      </c>
      <c r="AH4" s="297">
        <f>'Выручка, до'!U9</f>
        <v>141637407779.34702</v>
      </c>
      <c r="AI4" s="297">
        <f>'Выручка, до'!V9</f>
        <v>145387062481.51724</v>
      </c>
      <c r="AJ4" s="297">
        <f>'Выручка, до'!W9</f>
        <v>149240680260.91635</v>
      </c>
      <c r="AK4" s="297">
        <f>'Выручка, до'!X9</f>
        <v>153201256542.83444</v>
      </c>
      <c r="AL4" s="297">
        <f>'Выручка, до'!Y9</f>
        <v>157271875651.43488</v>
      </c>
      <c r="AM4" s="297">
        <f>'Выручка, до'!Z9</f>
        <v>161455713505.42404</v>
      </c>
      <c r="AN4" s="297">
        <f>'Выручка, до'!AA9</f>
        <v>165756040396.6908</v>
      </c>
      <c r="AO4" s="297">
        <f>'Выручка, до'!AB9</f>
        <v>170176223854.4953</v>
      </c>
      <c r="AP4" s="297">
        <f>'Выручка, до'!AC9</f>
        <v>174719731597.86774</v>
      </c>
      <c r="AQ4" s="297">
        <f>'Выручка, до'!AD9</f>
        <v>179390134578.96024</v>
      </c>
      <c r="AR4" s="297">
        <f>'Выручка, до'!AE9</f>
        <v>184191110120.18152</v>
      </c>
      <c r="AS4" s="297">
        <f>'Выручка, до'!AF9</f>
        <v>189126445148.03214</v>
      </c>
      <c r="AT4" s="297">
        <f>'Выручка, до'!AG9</f>
        <v>194200039526.65012</v>
      </c>
      <c r="AU4" s="297">
        <f>'Выручка, до'!AH9</f>
        <v>199415909494.17014</v>
      </c>
      <c r="AV4" s="297">
        <f>'Выручка, до'!AI9</f>
        <v>204778191205.0972</v>
      </c>
      <c r="AW4" s="297">
        <f>'Выручка, до'!AJ9</f>
        <v>210291144381.9964</v>
      </c>
      <c r="AX4" s="297">
        <f>'Выручка, до'!AK9</f>
        <v>215959156079.90256</v>
      </c>
      <c r="AY4" s="297">
        <f>'Выручка, до'!AL9</f>
        <v>221786744566.96155</v>
      </c>
      <c r="AZ4" s="297">
        <f>'Выручка, до'!AM9</f>
        <v>227778563324.92413</v>
      </c>
      <c r="BA4" s="297">
        <f>'Выручка, до'!AN9</f>
        <v>233939405173.22748</v>
      </c>
      <c r="BB4" s="297">
        <f>'Выручка, до'!AO9</f>
        <v>240274206520.51562</v>
      </c>
      <c r="BC4" s="297">
        <f>'Выручка, до'!AP9</f>
        <v>246788051747.57178</v>
      </c>
      <c r="BD4" s="297">
        <f>'Выручка, до'!AQ9</f>
        <v>253486177725.75928</v>
      </c>
      <c r="BE4" s="297">
        <f>'Выручка, до'!AR9</f>
        <v>260373978475.19733</v>
      </c>
      <c r="BF4" s="297">
        <f>'Выручка, до'!AS9</f>
        <v>267457009967.02826</v>
      </c>
      <c r="BG4" s="297">
        <f>'Выручка, до'!AT9</f>
        <v>274740995074.27289</v>
      </c>
      <c r="BH4" s="297">
        <f>'Выручка, до'!AU9</f>
        <v>282231828675.90784</v>
      </c>
      <c r="BI4" s="297">
        <f>'Выручка, до'!AV9</f>
        <v>289935582918.94702</v>
      </c>
      <c r="BJ4" s="297">
        <f>'Выручка, до'!AW9</f>
        <v>297858512643.45813</v>
      </c>
      <c r="BK4" s="297">
        <f>'Выручка, до'!AX9</f>
        <v>306007060975.59979</v>
      </c>
      <c r="BL4" s="297">
        <f>'Выручка, до'!AY9</f>
        <v>314387865093.92462</v>
      </c>
      <c r="BM4" s="297">
        <f>'Выручка, до'!AZ9</f>
        <v>323007762174.35895</v>
      </c>
      <c r="BN4" s="297">
        <f>'Выручка, до'!BA9</f>
        <v>331873795519.43768</v>
      </c>
      <c r="BO4" s="297">
        <f>'Выручка, до'!BB9</f>
        <v>340993220877.55115</v>
      </c>
      <c r="BP4" s="297">
        <f>'Выручка, до'!BC9</f>
        <v>350373512958.1366</v>
      </c>
      <c r="BQ4" s="297">
        <f>'Выручка, до'!BD9</f>
        <v>360022372148.94019</v>
      </c>
      <c r="BR4" s="297">
        <f>'Выручка, до'!BE9</f>
        <v>369947731441.65918</v>
      </c>
      <c r="BS4" s="297">
        <f>'Выручка, до'!BF9</f>
        <v>380157763572.48083</v>
      </c>
      <c r="BT4" s="297">
        <f>'Выручка, до'!BG9</f>
        <v>390660888384.23169</v>
      </c>
      <c r="BU4" s="297">
        <f>'Выручка, до'!BH9</f>
        <v>401465780417.0675</v>
      </c>
      <c r="BV4" s="297">
        <f>'Выручка, до'!BI9</f>
        <v>412581376734.84717</v>
      </c>
      <c r="BW4" s="297">
        <f>'Выручка, до'!BJ9</f>
        <v>424016884994.56213</v>
      </c>
      <c r="BX4" s="297">
        <f>'Выручка, до'!BK9</f>
        <v>435781791766.42285</v>
      </c>
      <c r="BY4" s="297">
        <f>'Выручка, до'!BL9</f>
        <v>447885871112.44031</v>
      </c>
      <c r="BZ4" s="297">
        <f>'Выручка, до'!BM9</f>
        <v>460339193431.59229</v>
      </c>
      <c r="CA4" s="297">
        <f>'Выручка, до'!BN9</f>
        <v>473152134579.91248</v>
      </c>
      <c r="CB4" s="297">
        <f>'Выручка, до'!BO9</f>
        <v>486335385274.10681</v>
      </c>
      <c r="CC4" s="297">
        <f>'Выручка, до'!BP9</f>
        <v>499899960787.57031</v>
      </c>
      <c r="CD4" s="297">
        <f>'Выручка, до'!BQ9</f>
        <v>513857210947.95453</v>
      </c>
      <c r="CE4" s="297">
        <f>'Выручка, до'!BR9</f>
        <v>528218830445.72852</v>
      </c>
      <c r="CF4" s="297">
        <f>'Выручка, до'!BS9</f>
        <v>542996869463.46735</v>
      </c>
      <c r="CG4" s="297">
        <f>'Выручка, до'!BT9</f>
        <v>558203744635.91125</v>
      </c>
      <c r="CH4" s="297">
        <f>'Выручка, до'!BU9</f>
        <v>573852250351.15564</v>
      </c>
      <c r="CI4" s="297">
        <f>'Выручка, до'!BV9</f>
        <v>589955570403.65381</v>
      </c>
      <c r="CJ4" s="297">
        <f>'Выручка, до'!BW9</f>
        <v>606527290010.0531</v>
      </c>
      <c r="CK4" s="297">
        <f>'Выручка, до'!BX9</f>
        <v>623581408199.2334</v>
      </c>
      <c r="CL4" s="297">
        <f>'Выручка, до'!BY9</f>
        <v>641132350588.26782</v>
      </c>
      <c r="CM4" s="297">
        <f>'Выручка, до'!BZ9</f>
        <v>659194982556.40344</v>
      </c>
      <c r="CN4" s="297">
        <f>'Выручка, до'!CA9</f>
        <v>677784622829.53198</v>
      </c>
      <c r="CO4" s="297">
        <f>'Выручка, до'!CB9</f>
        <v>696917057488.01843</v>
      </c>
      <c r="CP4" s="297">
        <f>'Выручка, до'!CC9</f>
        <v>716608554411.15637</v>
      </c>
      <c r="CQ4" s="297">
        <f>'Выручка, до'!CD9</f>
        <v>736875878171.94031</v>
      </c>
      <c r="CR4" s="297">
        <f>'Выручка, до'!CE9</f>
        <v>757736305396.271</v>
      </c>
      <c r="CS4" s="297">
        <f>'Выручка, до'!CF9</f>
        <v>779207640601.16162</v>
      </c>
      <c r="CT4" s="297">
        <f>'Выручка, до'!CG9</f>
        <v>801308232526.96008</v>
      </c>
      <c r="CU4" s="297">
        <f>'Выручка, до'!CH9</f>
        <v>824056990979.08838</v>
      </c>
      <c r="CV4" s="297">
        <f>'Выручка, до'!CI9</f>
        <v>847473404195.27466</v>
      </c>
      <c r="CW4" s="297">
        <f>'Выручка, до'!CJ9</f>
        <v>871577556754.76978</v>
      </c>
      <c r="CX4" s="297">
        <f>'Выручка, до'!CK9</f>
        <v>896390148046.54517</v>
      </c>
      <c r="CY4" s="297">
        <f>'Выручка, до'!CL9</f>
        <v>921932511314.0177</v>
      </c>
      <c r="CZ4" s="297">
        <f>'Выручка, до'!CM9</f>
        <v>948226633294.38904</v>
      </c>
      <c r="DA4" s="297">
        <f>'Выручка, до'!CN9</f>
        <v>975295174471.26428</v>
      </c>
      <c r="DB4" s="297">
        <f>'Выручка, до'!CO9</f>
        <v>1003161489959.7925</v>
      </c>
      <c r="DC4" s="297">
        <f>'Выручка, до'!CP9</f>
        <v>1031849651044.1936</v>
      </c>
      <c r="DD4" s="297">
        <f>'Выручка, до'!CQ9</f>
        <v>1061384467388.1416</v>
      </c>
      <c r="DE4" s="297">
        <f>'Выручка, до'!CR9</f>
        <v>1091791509939.1392</v>
      </c>
      <c r="DF4" s="297">
        <f>'Выручка, до'!CS9</f>
        <v>1123097134548.6646</v>
      </c>
      <c r="DG4" s="297">
        <f>'Выручка, до'!CT9</f>
        <v>1155328506330.5784</v>
      </c>
      <c r="DH4" s="297">
        <f>'Выручка, до'!CU9</f>
        <v>1188513624780.9651</v>
      </c>
      <c r="DI4" s="297">
        <f>'Выручка, до'!CV9</f>
        <v>1222681349683.333</v>
      </c>
      <c r="DJ4" s="297">
        <f>'Выручка, до'!CW9</f>
        <v>1257861427823.8369</v>
      </c>
      <c r="DK4" s="297">
        <f>'Выручка, до'!CX9</f>
        <v>1294084520541.9709</v>
      </c>
      <c r="DL4" s="297">
        <f>'Выручка, до'!CY9</f>
        <v>1331382232142.9805</v>
      </c>
      <c r="DM4" s="297">
        <f>'Выручка, до'!CZ9</f>
        <v>1369787139199.0657</v>
      </c>
      <c r="DN4" s="297">
        <f>'Выручка, до'!DA9</f>
        <v>1409332820767.3103</v>
      </c>
      <c r="DO4" s="297">
        <f>'Выручка, до'!DB9</f>
        <v>1450053889553.135</v>
      </c>
      <c r="DP4" s="297">
        <f>'Выручка, до'!DC9</f>
        <v>1491986024049.002</v>
      </c>
      <c r="DQ4" s="297">
        <f>'Выручка, до'!DD9</f>
        <v>1535166001679.0156</v>
      </c>
      <c r="DR4" s="297">
        <f>'Выручка, до'!DE9</f>
        <v>1579631732981.0408</v>
      </c>
      <c r="DS4" s="297">
        <f>'Выручка, до'!DF9</f>
        <v>1625422296858.9597</v>
      </c>
      <c r="DT4" s="297">
        <f>'Выручка, до'!DG9</f>
        <v>1672577976938.6987</v>
      </c>
    </row>
    <row r="5" spans="1:124" ht="23">
      <c r="A5" s="236" t="s">
        <v>77</v>
      </c>
      <c r="B5" s="237" t="s">
        <v>78</v>
      </c>
      <c r="C5" s="237" t="s">
        <v>35</v>
      </c>
      <c r="D5" s="240">
        <f t="shared" si="0"/>
        <v>28535034182.104664</v>
      </c>
      <c r="E5" s="297">
        <v>0</v>
      </c>
      <c r="F5" s="297">
        <v>0</v>
      </c>
      <c r="G5" s="297">
        <v>0</v>
      </c>
      <c r="H5" s="297">
        <v>0</v>
      </c>
      <c r="I5" s="297">
        <v>0</v>
      </c>
      <c r="J5" s="297">
        <v>0</v>
      </c>
      <c r="K5" s="297">
        <v>0</v>
      </c>
      <c r="L5" s="297">
        <v>0</v>
      </c>
      <c r="M5" s="297">
        <v>0</v>
      </c>
      <c r="N5" s="297">
        <v>0</v>
      </c>
      <c r="O5" s="297">
        <v>0</v>
      </c>
      <c r="P5" s="297">
        <v>0</v>
      </c>
      <c r="Q5" s="297">
        <f>'Операционные затраты'!Q9</f>
        <v>1138907667.1871402</v>
      </c>
      <c r="R5" s="297">
        <f>'Операционные затраты'!R9</f>
        <v>1142697800.5400155</v>
      </c>
      <c r="S5" s="297">
        <f>'Операционные затраты'!S9</f>
        <v>1146556810.3701036</v>
      </c>
      <c r="T5" s="297">
        <f>'Операционные затраты'!T9</f>
        <v>1150486050.2027478</v>
      </c>
      <c r="U5" s="297">
        <f>'Операционные затраты'!U9</f>
        <v>1154486901.3650362</v>
      </c>
      <c r="V5" s="297">
        <f>'Операционные затраты'!V9</f>
        <v>1158560773.5699925</v>
      </c>
      <c r="W5" s="297">
        <f>'Операционные затраты'!W9</f>
        <v>1162709105.5131831</v>
      </c>
      <c r="X5" s="297">
        <f>'Операционные затраты'!X9</f>
        <v>1166933365.4819977</v>
      </c>
      <c r="Y5" s="297">
        <f>'Операционные затраты'!Y9</f>
        <v>1171235051.9778821</v>
      </c>
      <c r="Z5" s="297">
        <f>'Операционные затраты'!Z9</f>
        <v>1175615694.351794</v>
      </c>
      <c r="AA5" s="297">
        <f>'Операционные затраты'!AA9</f>
        <v>1180076853.4531679</v>
      </c>
      <c r="AB5" s="297">
        <f>'Операционные затраты'!AB9</f>
        <v>1184620122.2926772</v>
      </c>
      <c r="AC5" s="297">
        <f>'Операционные затраты'!AC9</f>
        <v>1189257126.7190847</v>
      </c>
      <c r="AD5" s="297">
        <f>'Операционные затраты'!AD9</f>
        <v>1193969526.1104891</v>
      </c>
      <c r="AE5" s="297">
        <f>'Операционные затраты'!AE9</f>
        <v>1198769014.0802696</v>
      </c>
      <c r="AF5" s="297">
        <f>'Операционные затраты'!AF9</f>
        <v>1203657319.1980429</v>
      </c>
      <c r="AG5" s="297">
        <f>'Операционные затраты'!AG9</f>
        <v>1208636205.7259593</v>
      </c>
      <c r="AH5" s="297">
        <f>'Операционные затраты'!AH9</f>
        <v>1213707474.3706567</v>
      </c>
      <c r="AI5" s="297">
        <f>'Операционные затраты'!AI9</f>
        <v>1218872963.0512159</v>
      </c>
      <c r="AJ5" s="297">
        <f>'Операционные затраты'!AJ9</f>
        <v>1224134547.6834517</v>
      </c>
      <c r="AK5" s="297">
        <f>'Операционные затраты'!AK9</f>
        <v>1229494142.9808967</v>
      </c>
      <c r="AL5" s="297">
        <f>'Операционные затраты'!AL9</f>
        <v>1234953703.272825</v>
      </c>
      <c r="AM5" s="297">
        <f>'Операционные затраты'!AM9</f>
        <v>1240515223.3396912</v>
      </c>
      <c r="AN5" s="297">
        <f>'Операционные затраты'!AN9</f>
        <v>1246180739.2663457</v>
      </c>
      <c r="AO5" s="297">
        <f>'Операционные затраты'!AO9</f>
        <v>1251962329.3134174</v>
      </c>
      <c r="AP5" s="297">
        <f>'Операционные затраты'!AP9</f>
        <v>1257842114.8072412</v>
      </c>
      <c r="AQ5" s="297">
        <f>'Операционные затраты'!AQ9</f>
        <v>1263832261.0487368</v>
      </c>
      <c r="AR5" s="297">
        <f>'Операционные затраты'!AR9</f>
        <v>1269934978.241636</v>
      </c>
      <c r="AS5" s="297">
        <f>'Операционные затраты'!AS9</f>
        <v>1276152522.4404781</v>
      </c>
      <c r="AT5" s="297">
        <f>'Операционные затраты'!AT9</f>
        <v>1282487196.5187922</v>
      </c>
      <c r="AU5" s="297">
        <f>'Операционные затраты'!AU9</f>
        <v>1288941351.1579003</v>
      </c>
      <c r="AV5" s="297">
        <f>'Операционные затраты'!AV9</f>
        <v>1295517385.8567805</v>
      </c>
      <c r="AW5" s="297">
        <f>'Операционные затраты'!AW9</f>
        <v>1302217749.9634418</v>
      </c>
      <c r="AX5" s="297">
        <f>'Операционные затраты'!AX9</f>
        <v>1309044943.7282722</v>
      </c>
      <c r="AY5" s="297">
        <f>'Операционные затраты'!AY9</f>
        <v>1316001519.3798242</v>
      </c>
      <c r="AZ5" s="297">
        <f>'Операционные затраты'!AZ9</f>
        <v>1323090082.2235241</v>
      </c>
      <c r="BA5" s="297">
        <f>'Операционные затраты'!BA9</f>
        <v>1330323291.7637949</v>
      </c>
      <c r="BB5" s="297">
        <f>'Операционные затраты'!BB9</f>
        <v>1337683862.8500857</v>
      </c>
      <c r="BC5" s="297">
        <f>'Операционные затраты'!BC9</f>
        <v>1345184566.8473306</v>
      </c>
      <c r="BD5" s="297">
        <f>'Операционные затраты'!BD9</f>
        <v>1352828232.8313494</v>
      </c>
      <c r="BE5" s="297">
        <f>'Операционные затраты'!BE9</f>
        <v>1360617748.809732</v>
      </c>
      <c r="BF5" s="297">
        <f>'Операционные затраты'!BF9</f>
        <v>1368556062.9687443</v>
      </c>
      <c r="BG5" s="297">
        <f>'Операционные затраты'!BG9</f>
        <v>1376646184.9468186</v>
      </c>
      <c r="BH5" s="297">
        <f>'Операционные затраты'!BH9</f>
        <v>1384891187.1351914</v>
      </c>
      <c r="BI5" s="297">
        <f>'Операционные затраты'!BI9</f>
        <v>1393294206.0062761</v>
      </c>
      <c r="BJ5" s="297">
        <f>'Операционные затраты'!BJ9</f>
        <v>1401858443.4703565</v>
      </c>
      <c r="BK5" s="297">
        <f>'Операционные затраты'!BK9</f>
        <v>1410587168.2612128</v>
      </c>
      <c r="BL5" s="297">
        <f>'Операционные затраты'!BL9</f>
        <v>1419483717.3512988</v>
      </c>
      <c r="BM5" s="297">
        <f>'Операционные затраты'!BM9</f>
        <v>1428561497.3970969</v>
      </c>
      <c r="BN5" s="297">
        <f>'Операционные затраты'!BN9</f>
        <v>1437803986.2153049</v>
      </c>
      <c r="BO5" s="297">
        <f>'Операционные затраты'!BO9</f>
        <v>1447224734.2905078</v>
      </c>
      <c r="BP5" s="297">
        <f>'Операционные затраты'!BP9</f>
        <v>1456827366.3150115</v>
      </c>
      <c r="BQ5" s="297">
        <f>'Операционные затраты'!BQ9</f>
        <v>1466615582.7615275</v>
      </c>
      <c r="BR5" s="297">
        <f>'Операционные затраты'!BR9</f>
        <v>1476593161.4894075</v>
      </c>
      <c r="BS5" s="297">
        <f>'Операционные затраты'!BS9</f>
        <v>1486763959.3851497</v>
      </c>
      <c r="BT5" s="297">
        <f>'Операционные затраты'!BT9</f>
        <v>1497131914.0379109</v>
      </c>
      <c r="BU5" s="297">
        <f>'Операционные затраты'!BU9</f>
        <v>1507701045.4507694</v>
      </c>
      <c r="BV5" s="297">
        <f>'Операционные затраты'!BV9</f>
        <v>1518475457.7885079</v>
      </c>
      <c r="BW5" s="297">
        <f>'Операционные затраты'!BW9</f>
        <v>1529459341.1626968</v>
      </c>
      <c r="BX5" s="297">
        <f>'Операционные затраты'!BX9</f>
        <v>1540656973.4548745</v>
      </c>
      <c r="BY5" s="297">
        <f>'Операционные затраты'!BY9</f>
        <v>1552082722.1786447</v>
      </c>
      <c r="BZ5" s="297">
        <f>'Операционные затраты'!BZ9</f>
        <v>1563721046.3815169</v>
      </c>
      <c r="CA5" s="297">
        <f>'Операционные затраты'!CA9</f>
        <v>1575586498.5873489</v>
      </c>
      <c r="CB5" s="297">
        <f>'Операционные затраты'!CB9</f>
        <v>1587683726.7802546</v>
      </c>
      <c r="CC5" s="297">
        <f>'Операционные затраты'!CC9</f>
        <v>1600017476.4308667</v>
      </c>
      <c r="CD5" s="297">
        <f>'Операционные затраты'!CD9</f>
        <v>1612592592.5658598</v>
      </c>
      <c r="CE5" s="297">
        <f>'Операционные затраты'!CE9</f>
        <v>1625414021.8816652</v>
      </c>
      <c r="CF5" s="297">
        <f>'Операционные затраты'!CF9</f>
        <v>1638486814.9033151</v>
      </c>
      <c r="CG5" s="297">
        <f>'Операционные затраты'!CG9</f>
        <v>1651816128.1893899</v>
      </c>
      <c r="CH5" s="297">
        <f>'Операционные затраты'!CH9</f>
        <v>1665407226.5840509</v>
      </c>
      <c r="CI5" s="297">
        <f>'Операционные затраты'!CI9</f>
        <v>1679265485.5171714</v>
      </c>
      <c r="CJ5" s="297">
        <f>'Операционные затраты'!CJ9</f>
        <v>1693396393.3535881</v>
      </c>
      <c r="CK5" s="297">
        <f>'Операционные затраты'!CK9</f>
        <v>1707815553.7925367</v>
      </c>
      <c r="CL5" s="297">
        <f>'Операционные затраты'!CL9</f>
        <v>1722508688.3183322</v>
      </c>
      <c r="CM5" s="297">
        <f>'Операционные затраты'!CM9</f>
        <v>1737491638.7034018</v>
      </c>
      <c r="CN5" s="297">
        <f>'Операционные затраты'!CN9</f>
        <v>1752770369.5647893</v>
      </c>
      <c r="CO5" s="297">
        <f>'Операционные затраты'!CO9</f>
        <v>1768350970.9752712</v>
      </c>
      <c r="CP5" s="297">
        <f>'Операционные затраты'!CP9</f>
        <v>1784239661.1302609</v>
      </c>
      <c r="CQ5" s="297">
        <f>'Операционные затраты'!CQ9</f>
        <v>1800442789.0716901</v>
      </c>
      <c r="CR5" s="297">
        <f>'Операционные затраты'!CR9</f>
        <v>1816966837.4700899</v>
      </c>
      <c r="CS5" s="297">
        <f>'Операционные затраты'!CS9</f>
        <v>1833818425.4661222</v>
      </c>
      <c r="CT5" s="297">
        <f>'Операционные затраты'!CT9</f>
        <v>1851004311.572825</v>
      </c>
      <c r="CU5" s="297">
        <f>'Операционные затраты'!CU9</f>
        <v>1868531396.6398792</v>
      </c>
      <c r="CV5" s="297">
        <f>'Операционные затраты'!CV9</f>
        <v>1886406726.8812275</v>
      </c>
      <c r="CW5" s="297">
        <f>'Операционные затраты'!CW9</f>
        <v>1904647496.9673944</v>
      </c>
      <c r="CX5" s="297">
        <f>'Операционные затраты'!CX9</f>
        <v>1923241053.1838961</v>
      </c>
      <c r="CY5" s="297">
        <f>'Операционные затраты'!CY9</f>
        <v>1942204896.6571631</v>
      </c>
      <c r="CZ5" s="297">
        <f>'Операционные затраты'!CZ9</f>
        <v>1961546686.6494079</v>
      </c>
      <c r="DA5" s="297">
        <f>'Операционные затраты'!DA9</f>
        <v>1981274243.9239292</v>
      </c>
      <c r="DB5" s="297">
        <f>'Операционные затраты'!DB9</f>
        <v>2001395554.1823506</v>
      </c>
      <c r="DC5" s="297">
        <f>'Операционные затраты'!DC9</f>
        <v>2021918771.5753388</v>
      </c>
      <c r="DD5" s="297">
        <f>'Операционные затраты'!DD9</f>
        <v>2042852222.2883768</v>
      </c>
      <c r="DE5" s="297">
        <f>'Операционные затраты'!DE9</f>
        <v>2064204408.2041979</v>
      </c>
      <c r="DF5" s="297">
        <f>'Операционные затраты'!DF9</f>
        <v>2085984010.6435237</v>
      </c>
      <c r="DG5" s="297">
        <f>'Операционные затраты'!DG9</f>
        <v>2108199894.185782</v>
      </c>
      <c r="DH5" s="297">
        <f>'Операционные затраты'!DH9</f>
        <v>2130861110.5715189</v>
      </c>
      <c r="DI5" s="297">
        <f>'Операционные затраты'!DI9</f>
        <v>2153986902.6882606</v>
      </c>
      <c r="DJ5" s="297">
        <f>'Операционные затраты'!DJ9</f>
        <v>2177566708.6415997</v>
      </c>
      <c r="DK5" s="297">
        <f>'Операционные затраты'!DK9</f>
        <v>2201620165.9133492</v>
      </c>
      <c r="DL5" s="297">
        <f>'Операционные затраты'!DL9</f>
        <v>2226157115.6086121</v>
      </c>
      <c r="DM5" s="297">
        <f>'Операционные затраты'!DM9</f>
        <v>2251187606.7936869</v>
      </c>
      <c r="DN5" s="297">
        <f>'Операционные затраты'!DN9</f>
        <v>2276721900.9267449</v>
      </c>
      <c r="DO5" s="297">
        <f>'Операционные затраты'!DO9</f>
        <v>2302770476.3832722</v>
      </c>
      <c r="DP5" s="297">
        <f>'Операционные затраты'!DP9</f>
        <v>2329344033.0783029</v>
      </c>
      <c r="DQ5" s="297">
        <f>'Операционные затраты'!DQ9</f>
        <v>2356453497.1875257</v>
      </c>
      <c r="DR5" s="297">
        <f>'Операционные затраты'!DR9</f>
        <v>2384110025.9693689</v>
      </c>
      <c r="DS5" s="297">
        <f>'Операционные затраты'!DS9</f>
        <v>2412325012.6902437</v>
      </c>
      <c r="DT5" s="297">
        <f>'Операционные затраты'!DT9</f>
        <v>2441110091.6551414</v>
      </c>
    </row>
    <row r="6" spans="1:124" ht="23">
      <c r="A6" s="236" t="s">
        <v>79</v>
      </c>
      <c r="B6" s="237" t="s">
        <v>80</v>
      </c>
      <c r="C6" s="237" t="s">
        <v>35</v>
      </c>
      <c r="D6" s="240">
        <f t="shared" si="0"/>
        <v>86127308209138.047</v>
      </c>
      <c r="E6" s="297">
        <f>E4-E5</f>
        <v>91278535241.475464</v>
      </c>
      <c r="F6" s="297">
        <f t="shared" ref="F6:AN6" si="1">F4-F5</f>
        <v>93644521246.794586</v>
      </c>
      <c r="G6" s="297">
        <f t="shared" si="1"/>
        <v>96074892476.972198</v>
      </c>
      <c r="H6" s="297">
        <f t="shared" si="1"/>
        <v>98571476142.548843</v>
      </c>
      <c r="I6" s="297">
        <f t="shared" si="1"/>
        <v>101136153066.28827</v>
      </c>
      <c r="J6" s="297">
        <f t="shared" si="1"/>
        <v>103770859295.63654</v>
      </c>
      <c r="K6" s="297">
        <f t="shared" si="1"/>
        <v>106477587764.53366</v>
      </c>
      <c r="L6" s="297">
        <f t="shared" si="1"/>
        <v>109258390006.10591</v>
      </c>
      <c r="M6" s="297">
        <f t="shared" si="1"/>
        <v>112115377917.8158</v>
      </c>
      <c r="N6" s="297">
        <f t="shared" si="1"/>
        <v>115050725580.69447</v>
      </c>
      <c r="O6" s="297">
        <f t="shared" si="1"/>
        <v>118066671134.33347</v>
      </c>
      <c r="P6" s="297">
        <f t="shared" si="1"/>
        <v>82014455400623.422</v>
      </c>
      <c r="Q6" s="297">
        <f t="shared" si="1"/>
        <v>90139627574.28833</v>
      </c>
      <c r="R6" s="297">
        <f t="shared" si="1"/>
        <v>92501823446.254578</v>
      </c>
      <c r="S6" s="297">
        <f t="shared" si="1"/>
        <v>94928335666.602097</v>
      </c>
      <c r="T6" s="297">
        <f t="shared" si="1"/>
        <v>97420990092.3461</v>
      </c>
      <c r="U6" s="297">
        <f t="shared" si="1"/>
        <v>99981666164.923233</v>
      </c>
      <c r="V6" s="297">
        <f t="shared" si="1"/>
        <v>102612298522.06654</v>
      </c>
      <c r="W6" s="297">
        <f t="shared" si="1"/>
        <v>105314878659.02048</v>
      </c>
      <c r="X6" s="297">
        <f t="shared" si="1"/>
        <v>108091456640.62392</v>
      </c>
      <c r="Y6" s="297">
        <f t="shared" si="1"/>
        <v>110944142865.83792</v>
      </c>
      <c r="Z6" s="297">
        <f t="shared" si="1"/>
        <v>113875109886.34268</v>
      </c>
      <c r="AA6" s="297">
        <f t="shared" si="1"/>
        <v>116886594280.88029</v>
      </c>
      <c r="AB6" s="297">
        <f t="shared" si="1"/>
        <v>119980898587.07185</v>
      </c>
      <c r="AC6" s="297">
        <f t="shared" si="1"/>
        <v>123160383292.4906</v>
      </c>
      <c r="AD6" s="297">
        <f t="shared" si="1"/>
        <v>126427508886.83003</v>
      </c>
      <c r="AE6" s="297">
        <f t="shared" si="1"/>
        <v>129784777977.06204</v>
      </c>
      <c r="AF6" s="297">
        <f t="shared" si="1"/>
        <v>133234777467.5399</v>
      </c>
      <c r="AG6" s="297">
        <f t="shared" si="1"/>
        <v>136780170807.06219</v>
      </c>
      <c r="AH6" s="297">
        <f t="shared" si="1"/>
        <v>140423700304.97635</v>
      </c>
      <c r="AI6" s="297">
        <f t="shared" si="1"/>
        <v>144168189518.46603</v>
      </c>
      <c r="AJ6" s="297">
        <f t="shared" si="1"/>
        <v>148016545713.23291</v>
      </c>
      <c r="AK6" s="297">
        <f t="shared" si="1"/>
        <v>151971762399.85355</v>
      </c>
      <c r="AL6" s="297">
        <f t="shared" si="1"/>
        <v>156036921948.16205</v>
      </c>
      <c r="AM6" s="297">
        <f t="shared" si="1"/>
        <v>160215198282.08435</v>
      </c>
      <c r="AN6" s="297">
        <f t="shared" si="1"/>
        <v>164509859657.42444</v>
      </c>
      <c r="AO6" s="297">
        <f>AO4-AO5</f>
        <v>168924261525.18188</v>
      </c>
      <c r="AP6" s="297">
        <f t="shared" ref="AP6:BX6" si="2">AP4-AP5</f>
        <v>173461889483.06049</v>
      </c>
      <c r="AQ6" s="297">
        <f t="shared" si="2"/>
        <v>178126302317.9115</v>
      </c>
      <c r="AR6" s="297">
        <f t="shared" si="2"/>
        <v>182921175141.93988</v>
      </c>
      <c r="AS6" s="297">
        <f t="shared" si="2"/>
        <v>187850292625.59164</v>
      </c>
      <c r="AT6" s="297">
        <f t="shared" si="2"/>
        <v>192917552330.13132</v>
      </c>
      <c r="AU6" s="297">
        <f t="shared" si="2"/>
        <v>198126968143.01224</v>
      </c>
      <c r="AV6" s="297">
        <f t="shared" si="2"/>
        <v>203482673819.24042</v>
      </c>
      <c r="AW6" s="297">
        <f t="shared" si="2"/>
        <v>208988926632.03296</v>
      </c>
      <c r="AX6" s="297">
        <f t="shared" si="2"/>
        <v>214650111136.17429</v>
      </c>
      <c r="AY6" s="297">
        <f t="shared" si="2"/>
        <v>220470743047.58173</v>
      </c>
      <c r="AZ6" s="297">
        <f t="shared" si="2"/>
        <v>226455473242.70062</v>
      </c>
      <c r="BA6" s="297">
        <f t="shared" si="2"/>
        <v>232609081881.46368</v>
      </c>
      <c r="BB6" s="297">
        <f t="shared" si="2"/>
        <v>238936522657.66553</v>
      </c>
      <c r="BC6" s="297">
        <f t="shared" si="2"/>
        <v>245442867180.72446</v>
      </c>
      <c r="BD6" s="297">
        <f t="shared" si="2"/>
        <v>252133349492.92792</v>
      </c>
      <c r="BE6" s="297">
        <f t="shared" si="2"/>
        <v>259013360726.3876</v>
      </c>
      <c r="BF6" s="297">
        <f t="shared" si="2"/>
        <v>266088453904.05951</v>
      </c>
      <c r="BG6" s="297">
        <f t="shared" si="2"/>
        <v>273364348889.32608</v>
      </c>
      <c r="BH6" s="297">
        <f t="shared" si="2"/>
        <v>280846937488.77264</v>
      </c>
      <c r="BI6" s="297">
        <f t="shared" si="2"/>
        <v>288542288712.94073</v>
      </c>
      <c r="BJ6" s="297">
        <f t="shared" si="2"/>
        <v>296456654199.98779</v>
      </c>
      <c r="BK6" s="297">
        <f t="shared" si="2"/>
        <v>304596473807.33856</v>
      </c>
      <c r="BL6" s="297">
        <f t="shared" si="2"/>
        <v>312968381376.5733</v>
      </c>
      <c r="BM6" s="297">
        <f t="shared" si="2"/>
        <v>321579200676.96185</v>
      </c>
      <c r="BN6" s="297">
        <f t="shared" si="2"/>
        <v>330435991533.22235</v>
      </c>
      <c r="BO6" s="297">
        <f t="shared" si="2"/>
        <v>339545996143.26062</v>
      </c>
      <c r="BP6" s="297">
        <f t="shared" si="2"/>
        <v>348916685591.82159</v>
      </c>
      <c r="BQ6" s="297">
        <f t="shared" si="2"/>
        <v>358555756566.17865</v>
      </c>
      <c r="BR6" s="297">
        <f t="shared" si="2"/>
        <v>368471138280.1698</v>
      </c>
      <c r="BS6" s="297">
        <f t="shared" si="2"/>
        <v>378670999613.0957</v>
      </c>
      <c r="BT6" s="297">
        <f t="shared" si="2"/>
        <v>389163756470.19379</v>
      </c>
      <c r="BU6" s="297">
        <f t="shared" si="2"/>
        <v>399958079371.61676</v>
      </c>
      <c r="BV6" s="297">
        <f t="shared" si="2"/>
        <v>411062901277.05865</v>
      </c>
      <c r="BW6" s="297">
        <f t="shared" si="2"/>
        <v>422487425653.39941</v>
      </c>
      <c r="BX6" s="297">
        <f t="shared" si="2"/>
        <v>434241134792.96796</v>
      </c>
      <c r="BY6" s="297">
        <f>BY4-BY5</f>
        <v>446333788390.26166</v>
      </c>
      <c r="BZ6" s="297">
        <f t="shared" ref="BZ6:DH6" si="3">BZ4-BZ5</f>
        <v>458775472385.21075</v>
      </c>
      <c r="CA6" s="297">
        <f t="shared" si="3"/>
        <v>471576548081.32513</v>
      </c>
      <c r="CB6" s="297">
        <f t="shared" si="3"/>
        <v>484747701547.32654</v>
      </c>
      <c r="CC6" s="297">
        <f t="shared" si="3"/>
        <v>498299943311.13947</v>
      </c>
      <c r="CD6" s="297">
        <f t="shared" si="3"/>
        <v>512244618355.38867</v>
      </c>
      <c r="CE6" s="297">
        <f t="shared" si="3"/>
        <v>526593416423.84686</v>
      </c>
      <c r="CF6" s="297">
        <f t="shared" si="3"/>
        <v>541358382648.56403</v>
      </c>
      <c r="CG6" s="297">
        <f t="shared" si="3"/>
        <v>556551928507.72192</v>
      </c>
      <c r="CH6" s="297">
        <f t="shared" si="3"/>
        <v>572186843124.57153</v>
      </c>
      <c r="CI6" s="297">
        <f t="shared" si="3"/>
        <v>588276304918.1366</v>
      </c>
      <c r="CJ6" s="297">
        <f t="shared" si="3"/>
        <v>604833893616.69946</v>
      </c>
      <c r="CK6" s="297">
        <f t="shared" si="3"/>
        <v>621873592645.44092</v>
      </c>
      <c r="CL6" s="297">
        <f t="shared" si="3"/>
        <v>639409841899.94946</v>
      </c>
      <c r="CM6" s="297">
        <f t="shared" si="3"/>
        <v>657457490917.70007</v>
      </c>
      <c r="CN6" s="297">
        <f t="shared" si="3"/>
        <v>676031852459.96716</v>
      </c>
      <c r="CO6" s="297">
        <f t="shared" si="3"/>
        <v>695148706517.04321</v>
      </c>
      <c r="CP6" s="297">
        <f t="shared" si="3"/>
        <v>714824314750.02612</v>
      </c>
      <c r="CQ6" s="297">
        <f t="shared" si="3"/>
        <v>735075435382.86865</v>
      </c>
      <c r="CR6" s="297">
        <f t="shared" si="3"/>
        <v>755919338558.8009</v>
      </c>
      <c r="CS6" s="297">
        <f t="shared" si="3"/>
        <v>777373822175.69556</v>
      </c>
      <c r="CT6" s="297">
        <f t="shared" si="3"/>
        <v>799457228215.38721</v>
      </c>
      <c r="CU6" s="297">
        <f t="shared" si="3"/>
        <v>822188459582.44849</v>
      </c>
      <c r="CV6" s="297">
        <f t="shared" si="3"/>
        <v>845586997468.39343</v>
      </c>
      <c r="CW6" s="297">
        <f t="shared" si="3"/>
        <v>869672909257.80237</v>
      </c>
      <c r="CX6" s="297">
        <f t="shared" si="3"/>
        <v>894466906993.36133</v>
      </c>
      <c r="CY6" s="297">
        <f t="shared" si="3"/>
        <v>919990306417.3606</v>
      </c>
      <c r="CZ6" s="297">
        <f t="shared" si="3"/>
        <v>946265086607.73962</v>
      </c>
      <c r="DA6" s="297">
        <f t="shared" si="3"/>
        <v>973313900227.34033</v>
      </c>
      <c r="DB6" s="297">
        <f t="shared" si="3"/>
        <v>1001160094405.6101</v>
      </c>
      <c r="DC6" s="297">
        <f t="shared" si="3"/>
        <v>1029827732272.6183</v>
      </c>
      <c r="DD6" s="297">
        <f t="shared" si="3"/>
        <v>1059341615165.8533</v>
      </c>
      <c r="DE6" s="297">
        <f t="shared" si="3"/>
        <v>1089727305530.9349</v>
      </c>
      <c r="DF6" s="297">
        <f t="shared" si="3"/>
        <v>1121011150538.021</v>
      </c>
      <c r="DG6" s="297">
        <f t="shared" si="3"/>
        <v>1153220306436.3926</v>
      </c>
      <c r="DH6" s="297">
        <f t="shared" si="3"/>
        <v>1186382763670.3936</v>
      </c>
      <c r="DI6" s="297">
        <f>DI4-DI5</f>
        <v>1220527362780.6448</v>
      </c>
      <c r="DJ6" s="297">
        <f t="shared" ref="DJ6:DT6" si="4">DJ4-DJ5</f>
        <v>1255683861115.1953</v>
      </c>
      <c r="DK6" s="297">
        <f t="shared" si="4"/>
        <v>1291882900376.0576</v>
      </c>
      <c r="DL6" s="297">
        <f t="shared" si="4"/>
        <v>1329156075027.3718</v>
      </c>
      <c r="DM6" s="297">
        <f t="shared" si="4"/>
        <v>1367535951592.272</v>
      </c>
      <c r="DN6" s="297">
        <f t="shared" si="4"/>
        <v>1407056098866.3835</v>
      </c>
      <c r="DO6" s="297">
        <f t="shared" si="4"/>
        <v>1447751119076.7517</v>
      </c>
      <c r="DP6" s="297">
        <f t="shared" si="4"/>
        <v>1489656680015.9236</v>
      </c>
      <c r="DQ6" s="297">
        <f t="shared" si="4"/>
        <v>1532809548181.8281</v>
      </c>
      <c r="DR6" s="297">
        <f t="shared" si="4"/>
        <v>1577247622955.0713</v>
      </c>
      <c r="DS6" s="297">
        <f t="shared" si="4"/>
        <v>1623009971846.2695</v>
      </c>
      <c r="DT6" s="297">
        <f t="shared" si="4"/>
        <v>1670136866847.0437</v>
      </c>
    </row>
    <row r="7" spans="1:124" ht="23">
      <c r="A7" s="236" t="s">
        <v>81</v>
      </c>
      <c r="B7" s="237" t="s">
        <v>82</v>
      </c>
      <c r="C7" s="237" t="s">
        <v>35</v>
      </c>
      <c r="D7" s="240">
        <f t="shared" si="0"/>
        <v>14400000000</v>
      </c>
      <c r="E7" s="298">
        <v>0</v>
      </c>
      <c r="F7" s="298">
        <v>0</v>
      </c>
      <c r="G7" s="298">
        <v>0</v>
      </c>
      <c r="H7" s="298">
        <v>0</v>
      </c>
      <c r="I7" s="298">
        <v>0</v>
      </c>
      <c r="J7" s="298">
        <v>0</v>
      </c>
      <c r="K7" s="298">
        <v>0</v>
      </c>
      <c r="L7" s="298">
        <v>0</v>
      </c>
      <c r="M7" s="298">
        <v>0</v>
      </c>
      <c r="N7" s="298">
        <v>0</v>
      </c>
      <c r="O7" s="298">
        <v>0</v>
      </c>
      <c r="P7" s="298">
        <v>0</v>
      </c>
      <c r="Q7" s="298">
        <f>'Операционные затраты'!Q24</f>
        <v>600000000</v>
      </c>
      <c r="R7" s="298">
        <f>'Операционные затраты'!R24</f>
        <v>600000000</v>
      </c>
      <c r="S7" s="298">
        <f>'Операционные затраты'!S24</f>
        <v>600000000</v>
      </c>
      <c r="T7" s="298">
        <f>'Операционные затраты'!T24</f>
        <v>600000000</v>
      </c>
      <c r="U7" s="298">
        <f>'Операционные затраты'!U24</f>
        <v>600000000</v>
      </c>
      <c r="V7" s="298">
        <f>'Операционные затраты'!V24</f>
        <v>600000000</v>
      </c>
      <c r="W7" s="298">
        <f>'Операционные затраты'!W24</f>
        <v>600000000</v>
      </c>
      <c r="X7" s="298">
        <f>'Операционные затраты'!X24</f>
        <v>600000000</v>
      </c>
      <c r="Y7" s="298">
        <f>'Операционные затраты'!Y24</f>
        <v>600000000</v>
      </c>
      <c r="Z7" s="298">
        <f>'Операционные затраты'!Z24</f>
        <v>600000000</v>
      </c>
      <c r="AA7" s="298">
        <f>'Операционные затраты'!AA24</f>
        <v>600000000</v>
      </c>
      <c r="AB7" s="298">
        <f>'Операционные затраты'!AB24</f>
        <v>600000000</v>
      </c>
      <c r="AC7" s="298">
        <f>'Операционные затраты'!AC24</f>
        <v>600000000</v>
      </c>
      <c r="AD7" s="298">
        <f>'Операционные затраты'!AD24</f>
        <v>600000000</v>
      </c>
      <c r="AE7" s="298">
        <f>'Операционные затраты'!AE24</f>
        <v>600000000</v>
      </c>
      <c r="AF7" s="298">
        <f>'Операционные затраты'!AF24</f>
        <v>600000000</v>
      </c>
      <c r="AG7" s="298">
        <f>'Операционные затраты'!AG24</f>
        <v>600000000</v>
      </c>
      <c r="AH7" s="298">
        <f>'Операционные затраты'!AH24</f>
        <v>600000000</v>
      </c>
      <c r="AI7" s="298">
        <f>'Операционные затраты'!AI24</f>
        <v>600000000</v>
      </c>
      <c r="AJ7" s="298">
        <f>'Операционные затраты'!AJ24</f>
        <v>600000000</v>
      </c>
      <c r="AK7" s="298">
        <f>'Операционные затраты'!AK24</f>
        <v>600000000</v>
      </c>
      <c r="AL7" s="298">
        <f>'Операционные затраты'!AL24</f>
        <v>600000000</v>
      </c>
      <c r="AM7" s="298">
        <f>'Операционные затраты'!AM24</f>
        <v>600000000</v>
      </c>
      <c r="AN7" s="298">
        <f>'Операционные затраты'!AN24</f>
        <v>600000000</v>
      </c>
      <c r="AO7" s="298">
        <f>'Операционные затраты'!AO24</f>
        <v>600000000</v>
      </c>
      <c r="AP7" s="298">
        <f>'Операционные затраты'!AP24</f>
        <v>600000000</v>
      </c>
      <c r="AQ7" s="298">
        <f>'Операционные затраты'!AQ24</f>
        <v>600000000</v>
      </c>
      <c r="AR7" s="298">
        <f>'Операционные затраты'!AR24</f>
        <v>600000000</v>
      </c>
      <c r="AS7" s="298">
        <f>'Операционные затраты'!AS24</f>
        <v>600000000</v>
      </c>
      <c r="AT7" s="298">
        <f>'Операционные затраты'!AT24</f>
        <v>600000000</v>
      </c>
      <c r="AU7" s="298">
        <f>'Операционные затраты'!AU24</f>
        <v>600000000</v>
      </c>
      <c r="AV7" s="298">
        <f>'Операционные затраты'!AV24</f>
        <v>600000000</v>
      </c>
      <c r="AW7" s="298">
        <f>'Операционные затраты'!AW24</f>
        <v>600000000</v>
      </c>
      <c r="AX7" s="298">
        <f>'Операционные затраты'!AX24</f>
        <v>600000000</v>
      </c>
      <c r="AY7" s="298">
        <f>'Операционные затраты'!AY24</f>
        <v>600000000</v>
      </c>
      <c r="AZ7" s="298">
        <f>'Операционные затраты'!AZ24</f>
        <v>600000000</v>
      </c>
      <c r="BA7" s="298">
        <f>'Операционные затраты'!BA24</f>
        <v>600000000</v>
      </c>
      <c r="BB7" s="298">
        <f>'Операционные затраты'!BB24</f>
        <v>600000000</v>
      </c>
      <c r="BC7" s="298">
        <f>'Операционные затраты'!BC24</f>
        <v>600000000</v>
      </c>
      <c r="BD7" s="298">
        <f>'Операционные затраты'!BD24</f>
        <v>600000000</v>
      </c>
      <c r="BE7" s="298">
        <f>'Операционные затраты'!BE24</f>
        <v>600000000</v>
      </c>
      <c r="BF7" s="298">
        <f>'Операционные затраты'!BF24</f>
        <v>600000000</v>
      </c>
      <c r="BG7" s="298">
        <f>'Операционные затраты'!BG24</f>
        <v>600000000</v>
      </c>
      <c r="BH7" s="298">
        <f>'Операционные затраты'!BH24</f>
        <v>600000000</v>
      </c>
      <c r="BI7" s="298">
        <f>'Операционные затраты'!BI24</f>
        <v>600000000</v>
      </c>
      <c r="BJ7" s="298">
        <f>'Операционные затраты'!BJ24</f>
        <v>600000000</v>
      </c>
      <c r="BK7" s="298">
        <f>'Операционные затраты'!BK24</f>
        <v>600000000</v>
      </c>
      <c r="BL7" s="298">
        <f>'Операционные затраты'!BL24</f>
        <v>600000000</v>
      </c>
      <c r="BM7" s="298">
        <f>'Операционные затраты'!BM24</f>
        <v>600000000</v>
      </c>
      <c r="BN7" s="298">
        <f>'Операционные затраты'!BN24</f>
        <v>600000000</v>
      </c>
      <c r="BO7" s="298">
        <f>'Операционные затраты'!BO24</f>
        <v>600000000</v>
      </c>
      <c r="BP7" s="298">
        <f>'Операционные затраты'!BP24</f>
        <v>600000000</v>
      </c>
      <c r="BQ7" s="298">
        <f>'Операционные затраты'!BQ24</f>
        <v>600000000</v>
      </c>
      <c r="BR7" s="298">
        <f>'Операционные затраты'!BR24</f>
        <v>600000000</v>
      </c>
      <c r="BS7" s="298">
        <f>'Операционные затраты'!BS24</f>
        <v>600000000</v>
      </c>
      <c r="BT7" s="298">
        <f>'Операционные затраты'!BT24</f>
        <v>600000000</v>
      </c>
      <c r="BU7" s="298">
        <f>'Операционные затраты'!BU24</f>
        <v>600000000</v>
      </c>
      <c r="BV7" s="298">
        <f>'Операционные затраты'!BV24</f>
        <v>600000000</v>
      </c>
      <c r="BW7" s="298">
        <f>'Операционные затраты'!BW24</f>
        <v>600000000</v>
      </c>
      <c r="BX7" s="298">
        <f>'Операционные затраты'!BX24</f>
        <v>600000000</v>
      </c>
      <c r="BY7" s="298">
        <f>'Операционные затраты'!BY24</f>
        <v>600000000</v>
      </c>
      <c r="BZ7" s="298">
        <f>'Операционные затраты'!BZ24</f>
        <v>600000000</v>
      </c>
      <c r="CA7" s="298">
        <f>'Операционные затраты'!CA24</f>
        <v>600000000</v>
      </c>
      <c r="CB7" s="298">
        <f>'Операционные затраты'!CB24</f>
        <v>600000000</v>
      </c>
      <c r="CC7" s="298">
        <f>'Операционные затраты'!CC24</f>
        <v>600000000</v>
      </c>
      <c r="CD7" s="298">
        <f>'Операционные затраты'!CD24</f>
        <v>600000000</v>
      </c>
      <c r="CE7" s="298">
        <f>'Операционные затраты'!CE24</f>
        <v>600000000</v>
      </c>
      <c r="CF7" s="298">
        <f>'Операционные затраты'!CF24</f>
        <v>600000000</v>
      </c>
      <c r="CG7" s="298">
        <f>'Операционные затраты'!CG24</f>
        <v>600000000</v>
      </c>
      <c r="CH7" s="298">
        <f>'Операционные затраты'!CH24</f>
        <v>600000000</v>
      </c>
      <c r="CI7" s="298">
        <f>'Операционные затраты'!CI24</f>
        <v>600000000</v>
      </c>
      <c r="CJ7" s="298">
        <f>'Операционные затраты'!CJ24</f>
        <v>600000000</v>
      </c>
      <c r="CK7" s="298">
        <f>'Операционные затраты'!CK24</f>
        <v>600000000</v>
      </c>
      <c r="CL7" s="298">
        <f>'Операционные затраты'!CL24</f>
        <v>600000000</v>
      </c>
      <c r="CM7" s="298">
        <f>'Операционные затраты'!CM24</f>
        <v>600000000</v>
      </c>
      <c r="CN7" s="298">
        <f>'Операционные затраты'!CN24</f>
        <v>600000000</v>
      </c>
      <c r="CO7" s="298">
        <f>'Операционные затраты'!CO24</f>
        <v>600000000</v>
      </c>
      <c r="CP7" s="298">
        <f>'Операционные затраты'!CP24</f>
        <v>600000000</v>
      </c>
      <c r="CQ7" s="298">
        <f>'Операционные затраты'!CQ24</f>
        <v>600000000</v>
      </c>
      <c r="CR7" s="298">
        <f>'Операционные затраты'!CR24</f>
        <v>600000000</v>
      </c>
      <c r="CS7" s="298">
        <f>'Операционные затраты'!CS24</f>
        <v>600000000</v>
      </c>
      <c r="CT7" s="298">
        <f>'Операционные затраты'!CT24</f>
        <v>600000000</v>
      </c>
      <c r="CU7" s="298">
        <f>'Операционные затраты'!CU24</f>
        <v>600000000</v>
      </c>
      <c r="CV7" s="298">
        <f>'Операционные затраты'!CV24</f>
        <v>600000000</v>
      </c>
      <c r="CW7" s="298">
        <f>'Операционные затраты'!CW24</f>
        <v>600000000</v>
      </c>
      <c r="CX7" s="298">
        <f>'Операционные затраты'!CX24</f>
        <v>600000000</v>
      </c>
      <c r="CY7" s="298">
        <f>'Операционные затраты'!CY24</f>
        <v>600000000</v>
      </c>
      <c r="CZ7" s="298">
        <f>'Операционные затраты'!CZ24</f>
        <v>600000000</v>
      </c>
      <c r="DA7" s="298">
        <f>'Операционные затраты'!DA24</f>
        <v>600000000</v>
      </c>
      <c r="DB7" s="298">
        <f>'Операционные затраты'!DB24</f>
        <v>600000000</v>
      </c>
      <c r="DC7" s="298">
        <f>'Операционные затраты'!DC24</f>
        <v>600000000</v>
      </c>
      <c r="DD7" s="298">
        <f>'Операционные затраты'!DD24</f>
        <v>600000000</v>
      </c>
      <c r="DE7" s="298">
        <f>'Операционные затраты'!DE24</f>
        <v>600000000</v>
      </c>
      <c r="DF7" s="298">
        <f>'Операционные затраты'!DF24</f>
        <v>600000000</v>
      </c>
      <c r="DG7" s="298">
        <f>'Операционные затраты'!DG24</f>
        <v>600000000</v>
      </c>
      <c r="DH7" s="298">
        <f>'Операционные затраты'!DH24</f>
        <v>600000000</v>
      </c>
      <c r="DI7" s="298">
        <f>'Операционные затраты'!DI24</f>
        <v>600000000</v>
      </c>
      <c r="DJ7" s="298">
        <f>'Операционные затраты'!DJ24</f>
        <v>600000000</v>
      </c>
      <c r="DK7" s="298">
        <f>'Операционные затраты'!DK24</f>
        <v>600000000</v>
      </c>
      <c r="DL7" s="298">
        <f>'Операционные затраты'!DL24</f>
        <v>600000000</v>
      </c>
      <c r="DM7" s="298">
        <f>'Операционные затраты'!DM24</f>
        <v>600000000</v>
      </c>
      <c r="DN7" s="298">
        <f>'Операционные затраты'!DN24</f>
        <v>600000000</v>
      </c>
      <c r="DO7" s="298">
        <f>'Операционные затраты'!DO24</f>
        <v>600000000</v>
      </c>
      <c r="DP7" s="298">
        <f>'Операционные затраты'!DP24</f>
        <v>600000000</v>
      </c>
      <c r="DQ7" s="298">
        <f>'Операционные затраты'!DQ24</f>
        <v>600000000</v>
      </c>
      <c r="DR7" s="298">
        <f>'Операционные затраты'!DR24</f>
        <v>600000000</v>
      </c>
      <c r="DS7" s="298">
        <f>'Операционные затраты'!DS24</f>
        <v>600000000</v>
      </c>
      <c r="DT7" s="298">
        <f>'Операционные затраты'!DT24</f>
        <v>600000000</v>
      </c>
    </row>
    <row r="8" spans="1:124" ht="23">
      <c r="A8" s="236" t="s">
        <v>83</v>
      </c>
      <c r="B8" s="237" t="s">
        <v>84</v>
      </c>
      <c r="C8" s="237" t="s">
        <v>35</v>
      </c>
      <c r="D8" s="240">
        <f t="shared" si="0"/>
        <v>0</v>
      </c>
      <c r="E8" s="297">
        <v>0</v>
      </c>
      <c r="F8" s="297">
        <v>0</v>
      </c>
      <c r="G8" s="297">
        <v>0</v>
      </c>
      <c r="H8" s="297">
        <v>0</v>
      </c>
      <c r="I8" s="297">
        <v>0</v>
      </c>
      <c r="J8" s="297">
        <v>0</v>
      </c>
      <c r="K8" s="297">
        <v>0</v>
      </c>
      <c r="L8" s="297">
        <v>0</v>
      </c>
      <c r="M8" s="297">
        <v>0</v>
      </c>
      <c r="N8" s="297">
        <v>0</v>
      </c>
      <c r="O8" s="297">
        <v>0</v>
      </c>
      <c r="P8" s="297">
        <v>0</v>
      </c>
      <c r="Q8" s="297">
        <f>'Операционные затраты'!Q22</f>
        <v>0</v>
      </c>
      <c r="R8" s="297">
        <f>'Операционные затраты'!R22</f>
        <v>0</v>
      </c>
      <c r="S8" s="297">
        <f>'Операционные затраты'!S22</f>
        <v>0</v>
      </c>
      <c r="T8" s="297">
        <f>'Операционные затраты'!T22</f>
        <v>0</v>
      </c>
      <c r="U8" s="297">
        <f>'Операционные затраты'!U22</f>
        <v>0</v>
      </c>
      <c r="V8" s="297">
        <f>'Операционные затраты'!V22</f>
        <v>0</v>
      </c>
      <c r="W8" s="297">
        <f>'Операционные затраты'!W22</f>
        <v>0</v>
      </c>
      <c r="X8" s="297">
        <f>'Операционные затраты'!X22</f>
        <v>0</v>
      </c>
      <c r="Y8" s="297">
        <f>'Операционные затраты'!Y22</f>
        <v>0</v>
      </c>
      <c r="Z8" s="297">
        <f>'Операционные затраты'!Z22</f>
        <v>0</v>
      </c>
      <c r="AA8" s="297">
        <f>'Операционные затраты'!AA22</f>
        <v>0</v>
      </c>
      <c r="AB8" s="297">
        <f>'Операционные затраты'!AB22</f>
        <v>0</v>
      </c>
      <c r="AC8" s="297">
        <f>'Операционные затраты'!AC22</f>
        <v>0</v>
      </c>
      <c r="AD8" s="297">
        <f>'Операционные затраты'!AD22</f>
        <v>0</v>
      </c>
      <c r="AE8" s="297">
        <f>'Операционные затраты'!AE22</f>
        <v>0</v>
      </c>
      <c r="AF8" s="297">
        <f>'Операционные затраты'!AF22</f>
        <v>0</v>
      </c>
      <c r="AG8" s="297">
        <f>'Операционные затраты'!AG22</f>
        <v>0</v>
      </c>
      <c r="AH8" s="297">
        <f>'Операционные затраты'!AH22</f>
        <v>0</v>
      </c>
      <c r="AI8" s="297">
        <f>'Операционные затраты'!AI22</f>
        <v>0</v>
      </c>
      <c r="AJ8" s="297">
        <f>'Операционные затраты'!AJ22</f>
        <v>0</v>
      </c>
      <c r="AK8" s="297">
        <f>'Операционные затраты'!AK22</f>
        <v>0</v>
      </c>
      <c r="AL8" s="297">
        <f>'Операционные затраты'!AL22</f>
        <v>0</v>
      </c>
      <c r="AM8" s="297">
        <f>'Операционные затраты'!AM22</f>
        <v>0</v>
      </c>
      <c r="AN8" s="297">
        <f>'Операционные затраты'!AN22</f>
        <v>0</v>
      </c>
      <c r="AO8" s="297">
        <f>'Операционные затраты'!AO22</f>
        <v>0</v>
      </c>
      <c r="AP8" s="297">
        <f>'Операционные затраты'!AP22</f>
        <v>0</v>
      </c>
      <c r="AQ8" s="297">
        <f>'Операционные затраты'!AQ22</f>
        <v>0</v>
      </c>
      <c r="AR8" s="297">
        <f>'Операционные затраты'!AR22</f>
        <v>0</v>
      </c>
      <c r="AS8" s="297">
        <f>'Операционные затраты'!AS22</f>
        <v>0</v>
      </c>
      <c r="AT8" s="297">
        <f>'Операционные затраты'!AT22</f>
        <v>0</v>
      </c>
      <c r="AU8" s="297">
        <f>'Операционные затраты'!AU22</f>
        <v>0</v>
      </c>
      <c r="AV8" s="297">
        <f>'Операционные затраты'!AV22</f>
        <v>0</v>
      </c>
      <c r="AW8" s="297">
        <f>'Операционные затраты'!AW22</f>
        <v>0</v>
      </c>
      <c r="AX8" s="297">
        <f>'Операционные затраты'!AX22</f>
        <v>0</v>
      </c>
      <c r="AY8" s="297">
        <f>'Операционные затраты'!AY22</f>
        <v>0</v>
      </c>
      <c r="AZ8" s="297">
        <f>'Операционные затраты'!AZ22</f>
        <v>0</v>
      </c>
      <c r="BA8" s="297">
        <f>'Операционные затраты'!BA22</f>
        <v>0</v>
      </c>
      <c r="BB8" s="297">
        <f>'Операционные затраты'!BB22</f>
        <v>0</v>
      </c>
      <c r="BC8" s="297">
        <f>'Операционные затраты'!BC22</f>
        <v>0</v>
      </c>
      <c r="BD8" s="297">
        <f>'Операционные затраты'!BD22</f>
        <v>0</v>
      </c>
      <c r="BE8" s="297">
        <f>'Операционные затраты'!BE22</f>
        <v>0</v>
      </c>
      <c r="BF8" s="297">
        <f>'Операционные затраты'!BF22</f>
        <v>0</v>
      </c>
      <c r="BG8" s="297">
        <f>'Операционные затраты'!BG22</f>
        <v>0</v>
      </c>
      <c r="BH8" s="297">
        <f>'Операционные затраты'!BH22</f>
        <v>0</v>
      </c>
      <c r="BI8" s="297">
        <f>'Операционные затраты'!BI22</f>
        <v>0</v>
      </c>
      <c r="BJ8" s="297">
        <f>'Операционные затраты'!BJ22</f>
        <v>0</v>
      </c>
      <c r="BK8" s="297">
        <f>'Операционные затраты'!BK22</f>
        <v>0</v>
      </c>
      <c r="BL8" s="297">
        <f>'Операционные затраты'!BL22</f>
        <v>0</v>
      </c>
      <c r="BM8" s="297">
        <f>'Операционные затраты'!BM22</f>
        <v>0</v>
      </c>
      <c r="BN8" s="297">
        <f>'Операционные затраты'!BN22</f>
        <v>0</v>
      </c>
      <c r="BO8" s="297">
        <f>'Операционные затраты'!BO22</f>
        <v>0</v>
      </c>
      <c r="BP8" s="297">
        <f>'Операционные затраты'!BP22</f>
        <v>0</v>
      </c>
      <c r="BQ8" s="297">
        <f>'Операционные затраты'!BQ22</f>
        <v>0</v>
      </c>
      <c r="BR8" s="297">
        <f>'Операционные затраты'!BR22</f>
        <v>0</v>
      </c>
      <c r="BS8" s="297">
        <f>'Операционные затраты'!BS22</f>
        <v>0</v>
      </c>
      <c r="BT8" s="297">
        <f>'Операционные затраты'!BT22</f>
        <v>0</v>
      </c>
      <c r="BU8" s="297">
        <f>'Операционные затраты'!BU22</f>
        <v>0</v>
      </c>
      <c r="BV8" s="297">
        <f>'Операционные затраты'!BV22</f>
        <v>0</v>
      </c>
      <c r="BW8" s="297">
        <f>'Операционные затраты'!BW22</f>
        <v>0</v>
      </c>
      <c r="BX8" s="297">
        <f>'Операционные затраты'!BX22</f>
        <v>0</v>
      </c>
      <c r="BY8" s="297">
        <f>'Операционные затраты'!BY22</f>
        <v>0</v>
      </c>
      <c r="BZ8" s="297">
        <f>'Операционные затраты'!BZ22</f>
        <v>0</v>
      </c>
      <c r="CA8" s="297">
        <f>'Операционные затраты'!CA22</f>
        <v>0</v>
      </c>
      <c r="CB8" s="297">
        <f>'Операционные затраты'!CB22</f>
        <v>0</v>
      </c>
      <c r="CC8" s="297">
        <f>'Операционные затраты'!CC22</f>
        <v>0</v>
      </c>
      <c r="CD8" s="297">
        <f>'Операционные затраты'!CD22</f>
        <v>0</v>
      </c>
      <c r="CE8" s="297">
        <f>'Операционные затраты'!CE22</f>
        <v>0</v>
      </c>
      <c r="CF8" s="297">
        <f>'Операционные затраты'!CF22</f>
        <v>0</v>
      </c>
      <c r="CG8" s="297">
        <f>'Операционные затраты'!CG22</f>
        <v>0</v>
      </c>
      <c r="CH8" s="297">
        <f>'Операционные затраты'!CH22</f>
        <v>0</v>
      </c>
      <c r="CI8" s="297">
        <f>'Операционные затраты'!CI22</f>
        <v>0</v>
      </c>
      <c r="CJ8" s="297">
        <f>'Операционные затраты'!CJ22</f>
        <v>0</v>
      </c>
      <c r="CK8" s="297">
        <f>'Операционные затраты'!CK22</f>
        <v>0</v>
      </c>
      <c r="CL8" s="297">
        <f>'Операционные затраты'!CL22</f>
        <v>0</v>
      </c>
      <c r="CM8" s="297">
        <f>'Операционные затраты'!CM22</f>
        <v>0</v>
      </c>
      <c r="CN8" s="297">
        <f>'Операционные затраты'!CN22</f>
        <v>0</v>
      </c>
      <c r="CO8" s="297">
        <f>'Операционные затраты'!CO22</f>
        <v>0</v>
      </c>
      <c r="CP8" s="297">
        <f>'Операционные затраты'!CP22</f>
        <v>0</v>
      </c>
      <c r="CQ8" s="297">
        <f>'Операционные затраты'!CQ22</f>
        <v>0</v>
      </c>
      <c r="CR8" s="297">
        <f>'Операционные затраты'!CR22</f>
        <v>0</v>
      </c>
      <c r="CS8" s="297">
        <f>'Операционные затраты'!CS22</f>
        <v>0</v>
      </c>
      <c r="CT8" s="297">
        <f>'Операционные затраты'!CT22</f>
        <v>0</v>
      </c>
      <c r="CU8" s="297">
        <f>'Операционные затраты'!CU22</f>
        <v>0</v>
      </c>
      <c r="CV8" s="297">
        <f>'Операционные затраты'!CV22</f>
        <v>0</v>
      </c>
      <c r="CW8" s="297">
        <f>'Операционные затраты'!CW22</f>
        <v>0</v>
      </c>
      <c r="CX8" s="297">
        <f>'Операционные затраты'!CX22</f>
        <v>0</v>
      </c>
      <c r="CY8" s="297">
        <f>'Операционные затраты'!CY22</f>
        <v>0</v>
      </c>
      <c r="CZ8" s="297">
        <f>'Операционные затраты'!CZ22</f>
        <v>0</v>
      </c>
      <c r="DA8" s="297">
        <f>'Операционные затраты'!DA22</f>
        <v>0</v>
      </c>
      <c r="DB8" s="297">
        <f>'Операционные затраты'!DB22</f>
        <v>0</v>
      </c>
      <c r="DC8" s="297">
        <f>'Операционные затраты'!DC22</f>
        <v>0</v>
      </c>
      <c r="DD8" s="297">
        <f>'Операционные затраты'!DD22</f>
        <v>0</v>
      </c>
      <c r="DE8" s="297">
        <f>'Операционные затраты'!DE22</f>
        <v>0</v>
      </c>
      <c r="DF8" s="297">
        <f>'Операционные затраты'!DF22</f>
        <v>0</v>
      </c>
      <c r="DG8" s="297">
        <f>'Операционные затраты'!DG22</f>
        <v>0</v>
      </c>
      <c r="DH8" s="297">
        <f>'Операционные затраты'!DH22</f>
        <v>0</v>
      </c>
      <c r="DI8" s="297">
        <f>'Операционные затраты'!DI22</f>
        <v>0</v>
      </c>
      <c r="DJ8" s="297">
        <f>'Операционные затраты'!DJ22</f>
        <v>0</v>
      </c>
      <c r="DK8" s="297">
        <f>'Операционные затраты'!DK22</f>
        <v>0</v>
      </c>
      <c r="DL8" s="297">
        <f>'Операционные затраты'!DL22</f>
        <v>0</v>
      </c>
      <c r="DM8" s="297">
        <f>'Операционные затраты'!DM22</f>
        <v>0</v>
      </c>
      <c r="DN8" s="297">
        <f>'Операционные затраты'!DN22</f>
        <v>0</v>
      </c>
      <c r="DO8" s="297">
        <f>'Операционные затраты'!DO22</f>
        <v>0</v>
      </c>
      <c r="DP8" s="297">
        <f>'Операционные затраты'!DP22</f>
        <v>0</v>
      </c>
      <c r="DQ8" s="297">
        <f>'Операционные затраты'!DQ22</f>
        <v>0</v>
      </c>
      <c r="DR8" s="297">
        <f>'Операционные затраты'!DR22</f>
        <v>0</v>
      </c>
      <c r="DS8" s="297">
        <f>'Операционные затраты'!DS22</f>
        <v>0</v>
      </c>
      <c r="DT8" s="297">
        <f>'Операционные затраты'!DT22</f>
        <v>0</v>
      </c>
    </row>
    <row r="9" spans="1:124" ht="23">
      <c r="A9" s="236" t="s">
        <v>85</v>
      </c>
      <c r="B9" s="237" t="s">
        <v>86</v>
      </c>
      <c r="C9" s="237" t="s">
        <v>35</v>
      </c>
      <c r="D9" s="240">
        <f t="shared" si="0"/>
        <v>86112908209138.047</v>
      </c>
      <c r="E9" s="299">
        <f>E4-E5-E7-E8</f>
        <v>91278535241.475464</v>
      </c>
      <c r="F9" s="299">
        <f t="shared" ref="F9:H9" si="5">F4-F5-F7-F8</f>
        <v>93644521246.794586</v>
      </c>
      <c r="G9" s="299">
        <f t="shared" si="5"/>
        <v>96074892476.972198</v>
      </c>
      <c r="H9" s="299">
        <f t="shared" si="5"/>
        <v>98571476142.548843</v>
      </c>
      <c r="I9" s="299">
        <f>I4-I5-I7-I8</f>
        <v>101136153066.28827</v>
      </c>
      <c r="J9" s="299">
        <f t="shared" ref="J9:K9" si="6">J4-J5-J7-J8</f>
        <v>103770859295.63654</v>
      </c>
      <c r="K9" s="299">
        <f t="shared" si="6"/>
        <v>106477587764.53366</v>
      </c>
      <c r="L9" s="299">
        <f>L4-L5-L7-L8</f>
        <v>109258390006.10591</v>
      </c>
      <c r="M9" s="299">
        <f t="shared" ref="M9:N9" si="7">M4-M5-M7-M8</f>
        <v>112115377917.8158</v>
      </c>
      <c r="N9" s="299">
        <f t="shared" si="7"/>
        <v>115050725580.69447</v>
      </c>
      <c r="O9" s="299">
        <f>O4-O5-O7-O8</f>
        <v>118066671134.33347</v>
      </c>
      <c r="P9" s="299">
        <f t="shared" ref="P9:Q9" si="8">P4-P5-P7-P8</f>
        <v>82014455400623.422</v>
      </c>
      <c r="Q9" s="299">
        <f t="shared" si="8"/>
        <v>89539627574.28833</v>
      </c>
      <c r="R9" s="299">
        <f>R4-R5-R7-R8</f>
        <v>91901823446.254578</v>
      </c>
      <c r="S9" s="299">
        <f t="shared" ref="S9:T9" si="9">S4-S5-S7-S8</f>
        <v>94328335666.602097</v>
      </c>
      <c r="T9" s="299">
        <f t="shared" si="9"/>
        <v>96820990092.3461</v>
      </c>
      <c r="U9" s="299">
        <f>U4-U5-U7-U8</f>
        <v>99381666164.923233</v>
      </c>
      <c r="V9" s="299">
        <f t="shared" ref="V9:W9" si="10">V4-V5-V7-V8</f>
        <v>102012298522.06654</v>
      </c>
      <c r="W9" s="299">
        <f t="shared" si="10"/>
        <v>104714878659.02048</v>
      </c>
      <c r="X9" s="299">
        <f>X4-X5-X7-X8</f>
        <v>107491456640.62392</v>
      </c>
      <c r="Y9" s="299">
        <f t="shared" ref="Y9:Z9" si="11">Y4-Y5-Y7-Y8</f>
        <v>110344142865.83792</v>
      </c>
      <c r="Z9" s="299">
        <f t="shared" si="11"/>
        <v>113275109886.34268</v>
      </c>
      <c r="AA9" s="299">
        <f>AA4-AA5-AA7-AA8</f>
        <v>116286594280.88029</v>
      </c>
      <c r="AB9" s="299">
        <f t="shared" ref="AB9:AC9" si="12">AB4-AB5-AB7-AB8</f>
        <v>119380898587.07185</v>
      </c>
      <c r="AC9" s="299">
        <f t="shared" si="12"/>
        <v>122560383292.4906</v>
      </c>
      <c r="AD9" s="299">
        <f>AD4-AD5-AD7-AD8</f>
        <v>125827508886.83003</v>
      </c>
      <c r="AE9" s="299">
        <f t="shared" ref="AE9:AF9" si="13">AE4-AE5-AE7-AE8</f>
        <v>129184777977.06204</v>
      </c>
      <c r="AF9" s="299">
        <f t="shared" si="13"/>
        <v>132634777467.5399</v>
      </c>
      <c r="AG9" s="299">
        <f>AG4-AG5-AG7-AG8</f>
        <v>136180170807.06219</v>
      </c>
      <c r="AH9" s="299">
        <f t="shared" ref="AH9:AI9" si="14">AH4-AH5-AH7-AH8</f>
        <v>139823700304.97635</v>
      </c>
      <c r="AI9" s="299">
        <f t="shared" si="14"/>
        <v>143568189518.46603</v>
      </c>
      <c r="AJ9" s="299">
        <f>AJ4-AJ5-AJ7-AJ8</f>
        <v>147416545713.23291</v>
      </c>
      <c r="AK9" s="299">
        <f t="shared" ref="AK9:AL9" si="15">AK4-AK5-AK7-AK8</f>
        <v>151371762399.85355</v>
      </c>
      <c r="AL9" s="299">
        <f t="shared" si="15"/>
        <v>155436921948.16205</v>
      </c>
      <c r="AM9" s="299">
        <f>AM4-AM5-AM7-AM8</f>
        <v>159615198282.08435</v>
      </c>
      <c r="AN9" s="299">
        <f>AN4-AN5-AN7-AN8</f>
        <v>163909859657.42444</v>
      </c>
      <c r="AO9" s="299">
        <f>AO4-AO5-AO7-AO8</f>
        <v>168324261525.18188</v>
      </c>
      <c r="AP9" s="299">
        <f t="shared" ref="AP9:AR9" si="16">AP4-AP5-AP7-AP8</f>
        <v>172861889483.06049</v>
      </c>
      <c r="AQ9" s="299">
        <f t="shared" si="16"/>
        <v>177526302317.9115</v>
      </c>
      <c r="AR9" s="299">
        <f t="shared" si="16"/>
        <v>182321175141.93988</v>
      </c>
      <c r="AS9" s="299">
        <f>AS4-AS5-AS7-AS8</f>
        <v>187250292625.59164</v>
      </c>
      <c r="AT9" s="299">
        <f t="shared" ref="AT9:AU9" si="17">AT4-AT5-AT7-AT8</f>
        <v>192317552330.13132</v>
      </c>
      <c r="AU9" s="299">
        <f t="shared" si="17"/>
        <v>197526968143.01224</v>
      </c>
      <c r="AV9" s="299">
        <f>AV4-AV5-AV7-AV8</f>
        <v>202882673819.24042</v>
      </c>
      <c r="AW9" s="299">
        <f t="shared" ref="AW9:AX9" si="18">AW4-AW5-AW7-AW8</f>
        <v>208388926632.03296</v>
      </c>
      <c r="AX9" s="299">
        <f t="shared" si="18"/>
        <v>214050111136.17429</v>
      </c>
      <c r="AY9" s="299">
        <f>AY4-AY5-AY7-AY8</f>
        <v>219870743047.58173</v>
      </c>
      <c r="AZ9" s="299">
        <f t="shared" ref="AZ9:BA9" si="19">AZ4-AZ5-AZ7-AZ8</f>
        <v>225855473242.70062</v>
      </c>
      <c r="BA9" s="299">
        <f t="shared" si="19"/>
        <v>232009081881.46368</v>
      </c>
      <c r="BB9" s="299">
        <f>BB4-BB5-BB7-BB8</f>
        <v>238336522657.66553</v>
      </c>
      <c r="BC9" s="299">
        <f t="shared" ref="BC9:BD9" si="20">BC4-BC5-BC7-BC8</f>
        <v>244842867180.72446</v>
      </c>
      <c r="BD9" s="299">
        <f t="shared" si="20"/>
        <v>251533349492.92792</v>
      </c>
      <c r="BE9" s="299">
        <f>BE4-BE5-BE7-BE8</f>
        <v>258413360726.3876</v>
      </c>
      <c r="BF9" s="299">
        <f t="shared" ref="BF9:BG9" si="21">BF4-BF5-BF7-BF8</f>
        <v>265488453904.05951</v>
      </c>
      <c r="BG9" s="299">
        <f t="shared" si="21"/>
        <v>272764348889.32608</v>
      </c>
      <c r="BH9" s="299">
        <f>BH4-BH5-BH7-BH8</f>
        <v>280246937488.77264</v>
      </c>
      <c r="BI9" s="299">
        <f t="shared" ref="BI9:BJ9" si="22">BI4-BI5-BI7-BI8</f>
        <v>287942288712.94073</v>
      </c>
      <c r="BJ9" s="299">
        <f t="shared" si="22"/>
        <v>295856654199.98779</v>
      </c>
      <c r="BK9" s="299">
        <f>BK4-BK5-BK7-BK8</f>
        <v>303996473807.33856</v>
      </c>
      <c r="BL9" s="299">
        <f t="shared" ref="BL9:BM9" si="23">BL4-BL5-BL7-BL8</f>
        <v>312368381376.5733</v>
      </c>
      <c r="BM9" s="299">
        <f t="shared" si="23"/>
        <v>320979200676.96185</v>
      </c>
      <c r="BN9" s="299">
        <f>BN4-BN5-BN7-BN8</f>
        <v>329835991533.22235</v>
      </c>
      <c r="BO9" s="299">
        <f t="shared" ref="BO9:BP9" si="24">BO4-BO5-BO7-BO8</f>
        <v>338945996143.26062</v>
      </c>
      <c r="BP9" s="299">
        <f t="shared" si="24"/>
        <v>348316685591.82159</v>
      </c>
      <c r="BQ9" s="299">
        <f>BQ4-BQ5-BQ7-BQ8</f>
        <v>357955756566.17865</v>
      </c>
      <c r="BR9" s="299">
        <f t="shared" ref="BR9:BS9" si="25">BR4-BR5-BR7-BR8</f>
        <v>367871138280.1698</v>
      </c>
      <c r="BS9" s="299">
        <f t="shared" si="25"/>
        <v>378070999613.0957</v>
      </c>
      <c r="BT9" s="299">
        <f>BT4-BT5-BT7-BT8</f>
        <v>388563756470.19379</v>
      </c>
      <c r="BU9" s="299">
        <f t="shared" ref="BU9:BV9" si="26">BU4-BU5-BU7-BU8</f>
        <v>399358079371.61676</v>
      </c>
      <c r="BV9" s="299">
        <f t="shared" si="26"/>
        <v>410462901277.05865</v>
      </c>
      <c r="BW9" s="299">
        <f>BW4-BW5-BW7-BW8</f>
        <v>421887425653.39941</v>
      </c>
      <c r="BX9" s="299">
        <f>BX4-BX5-BX7-BX8</f>
        <v>433641134792.96796</v>
      </c>
      <c r="BY9" s="299">
        <f>BY4-BY5-BY7-BY8</f>
        <v>445733788390.26166</v>
      </c>
      <c r="BZ9" s="299">
        <f t="shared" ref="BZ9:CB9" si="27">BZ4-BZ5-BZ7-BZ8</f>
        <v>458175472385.21075</v>
      </c>
      <c r="CA9" s="299">
        <f t="shared" si="27"/>
        <v>470976548081.32513</v>
      </c>
      <c r="CB9" s="299">
        <f t="shared" si="27"/>
        <v>484147701547.32654</v>
      </c>
      <c r="CC9" s="299">
        <f>CC4-CC5-CC7-CC8</f>
        <v>497699943311.13947</v>
      </c>
      <c r="CD9" s="299">
        <f t="shared" ref="CD9:CE9" si="28">CD4-CD5-CD7-CD8</f>
        <v>511644618355.38867</v>
      </c>
      <c r="CE9" s="299">
        <f t="shared" si="28"/>
        <v>525993416423.84686</v>
      </c>
      <c r="CF9" s="299">
        <f>CF4-CF5-CF7-CF8</f>
        <v>540758382648.56403</v>
      </c>
      <c r="CG9" s="299">
        <f t="shared" ref="CG9:CH9" si="29">CG4-CG5-CG7-CG8</f>
        <v>555951928507.72192</v>
      </c>
      <c r="CH9" s="299">
        <f t="shared" si="29"/>
        <v>571586843124.57153</v>
      </c>
      <c r="CI9" s="299">
        <f>CI4-CI5-CI7-CI8</f>
        <v>587676304918.1366</v>
      </c>
      <c r="CJ9" s="299">
        <f t="shared" ref="CJ9:CK9" si="30">CJ4-CJ5-CJ7-CJ8</f>
        <v>604233893616.69946</v>
      </c>
      <c r="CK9" s="299">
        <f t="shared" si="30"/>
        <v>621273592645.44092</v>
      </c>
      <c r="CL9" s="299">
        <f>CL4-CL5-CL7-CL8</f>
        <v>638809841899.94946</v>
      </c>
      <c r="CM9" s="299">
        <f t="shared" ref="CM9:CN9" si="31">CM4-CM5-CM7-CM8</f>
        <v>656857490917.70007</v>
      </c>
      <c r="CN9" s="299">
        <f t="shared" si="31"/>
        <v>675431852459.96716</v>
      </c>
      <c r="CO9" s="299">
        <f>CO4-CO5-CO7-CO8</f>
        <v>694548706517.04321</v>
      </c>
      <c r="CP9" s="299">
        <f t="shared" ref="CP9:CQ9" si="32">CP4-CP5-CP7-CP8</f>
        <v>714224314750.02612</v>
      </c>
      <c r="CQ9" s="299">
        <f t="shared" si="32"/>
        <v>734475435382.86865</v>
      </c>
      <c r="CR9" s="299">
        <f>CR4-CR5-CR7-CR8</f>
        <v>755319338558.8009</v>
      </c>
      <c r="CS9" s="299">
        <f t="shared" ref="CS9:CT9" si="33">CS4-CS5-CS7-CS8</f>
        <v>776773822175.69556</v>
      </c>
      <c r="CT9" s="299">
        <f t="shared" si="33"/>
        <v>798857228215.38721</v>
      </c>
      <c r="CU9" s="299">
        <f>CU4-CU5-CU7-CU8</f>
        <v>821588459582.44849</v>
      </c>
      <c r="CV9" s="299">
        <f t="shared" ref="CV9:CW9" si="34">CV4-CV5-CV7-CV8</f>
        <v>844986997468.39343</v>
      </c>
      <c r="CW9" s="299">
        <f t="shared" si="34"/>
        <v>869072909257.80237</v>
      </c>
      <c r="CX9" s="299">
        <f>CX4-CX5-CX7-CX8</f>
        <v>893866906993.36133</v>
      </c>
      <c r="CY9" s="299">
        <f t="shared" ref="CY9:CZ9" si="35">CY4-CY5-CY7-CY8</f>
        <v>919390306417.3606</v>
      </c>
      <c r="CZ9" s="299">
        <f t="shared" si="35"/>
        <v>945665086607.73962</v>
      </c>
      <c r="DA9" s="299">
        <f>DA4-DA5-DA7-DA8</f>
        <v>972713900227.34033</v>
      </c>
      <c r="DB9" s="299">
        <f t="shared" ref="DB9:DC9" si="36">DB4-DB5-DB7-DB8</f>
        <v>1000560094405.6101</v>
      </c>
      <c r="DC9" s="299">
        <f t="shared" si="36"/>
        <v>1029227732272.6183</v>
      </c>
      <c r="DD9" s="299">
        <f>DD4-DD5-DD7-DD8</f>
        <v>1058741615165.8533</v>
      </c>
      <c r="DE9" s="299">
        <f t="shared" ref="DE9:DF9" si="37">DE4-DE5-DE7-DE8</f>
        <v>1089127305530.9349</v>
      </c>
      <c r="DF9" s="299">
        <f t="shared" si="37"/>
        <v>1120411150538.021</v>
      </c>
      <c r="DG9" s="299">
        <f>DG4-DG5-DG7-DG8</f>
        <v>1152620306436.3926</v>
      </c>
      <c r="DH9" s="299">
        <f>DH4-DH5-DH7-DH8</f>
        <v>1185782763670.3936</v>
      </c>
      <c r="DI9" s="299">
        <f>DI4-DI5-DI7-DI8</f>
        <v>1219927362780.6448</v>
      </c>
      <c r="DJ9" s="299">
        <f t="shared" ref="DJ9:DL9" si="38">DJ4-DJ5-DJ7-DJ8</f>
        <v>1255083861115.1953</v>
      </c>
      <c r="DK9" s="299">
        <f t="shared" si="38"/>
        <v>1291282900376.0576</v>
      </c>
      <c r="DL9" s="299">
        <f t="shared" si="38"/>
        <v>1328556075027.3718</v>
      </c>
      <c r="DM9" s="299">
        <f>DM4-DM5-DM7-DM8</f>
        <v>1366935951592.272</v>
      </c>
      <c r="DN9" s="299">
        <f t="shared" ref="DN9:DO9" si="39">DN4-DN5-DN7-DN8</f>
        <v>1406456098866.3835</v>
      </c>
      <c r="DO9" s="299">
        <f t="shared" si="39"/>
        <v>1447151119076.7517</v>
      </c>
      <c r="DP9" s="299">
        <f>DP4-DP5-DP7-DP8</f>
        <v>1489056680015.9236</v>
      </c>
      <c r="DQ9" s="299">
        <f t="shared" ref="DQ9:DR9" si="40">DQ4-DQ5-DQ7-DQ8</f>
        <v>1532209548181.8281</v>
      </c>
      <c r="DR9" s="299">
        <f t="shared" si="40"/>
        <v>1576647622955.0713</v>
      </c>
      <c r="DS9" s="299">
        <f>DS4-DS5-DS7-DS8</f>
        <v>1622409971846.2695</v>
      </c>
      <c r="DT9" s="299">
        <f t="shared" ref="DT9" si="41">DT4-DT5-DT7-DT8</f>
        <v>1669536866847.0437</v>
      </c>
    </row>
    <row r="10" spans="1:124" ht="34">
      <c r="A10" s="236" t="s">
        <v>87</v>
      </c>
      <c r="B10" s="237" t="s">
        <v>88</v>
      </c>
      <c r="C10" s="237" t="s">
        <v>35</v>
      </c>
      <c r="D10" s="240">
        <f t="shared" si="0"/>
        <v>0</v>
      </c>
      <c r="E10" s="298">
        <v>0</v>
      </c>
      <c r="F10" s="298">
        <v>0</v>
      </c>
      <c r="G10" s="298">
        <v>0</v>
      </c>
      <c r="H10" s="298">
        <v>0</v>
      </c>
      <c r="I10" s="298">
        <v>0</v>
      </c>
      <c r="J10" s="298">
        <v>0</v>
      </c>
      <c r="K10" s="298">
        <v>0</v>
      </c>
      <c r="L10" s="298">
        <v>0</v>
      </c>
      <c r="M10" s="298">
        <v>0</v>
      </c>
      <c r="N10" s="298">
        <v>0</v>
      </c>
      <c r="O10" s="298">
        <v>0</v>
      </c>
      <c r="P10" s="298">
        <v>0</v>
      </c>
      <c r="Q10" s="298">
        <v>0</v>
      </c>
      <c r="R10" s="298">
        <v>0</v>
      </c>
      <c r="S10" s="298">
        <v>0</v>
      </c>
      <c r="T10" s="298">
        <v>0</v>
      </c>
      <c r="U10" s="298">
        <v>0</v>
      </c>
      <c r="V10" s="298">
        <v>0</v>
      </c>
      <c r="W10" s="298">
        <v>0</v>
      </c>
      <c r="X10" s="298">
        <v>0</v>
      </c>
      <c r="Y10" s="298">
        <v>0</v>
      </c>
      <c r="Z10" s="298">
        <v>0</v>
      </c>
      <c r="AA10" s="298">
        <v>0</v>
      </c>
      <c r="AB10" s="298">
        <v>0</v>
      </c>
      <c r="AC10" s="298">
        <v>0</v>
      </c>
      <c r="AD10" s="298">
        <v>0</v>
      </c>
      <c r="AE10" s="298">
        <v>0</v>
      </c>
      <c r="AF10" s="298">
        <v>0</v>
      </c>
      <c r="AG10" s="298">
        <v>0</v>
      </c>
      <c r="AH10" s="298">
        <v>0</v>
      </c>
      <c r="AI10" s="298">
        <v>0</v>
      </c>
      <c r="AJ10" s="298">
        <v>0</v>
      </c>
      <c r="AK10" s="298">
        <v>0</v>
      </c>
      <c r="AL10" s="298">
        <v>0</v>
      </c>
      <c r="AM10" s="298">
        <v>0</v>
      </c>
      <c r="AN10" s="298">
        <v>0</v>
      </c>
      <c r="AO10" s="298">
        <v>0</v>
      </c>
      <c r="AP10" s="298">
        <v>0</v>
      </c>
      <c r="AQ10" s="298">
        <v>0</v>
      </c>
      <c r="AR10" s="298">
        <v>0</v>
      </c>
      <c r="AS10" s="298">
        <v>0</v>
      </c>
      <c r="AT10" s="298">
        <v>0</v>
      </c>
      <c r="AU10" s="298">
        <v>0</v>
      </c>
      <c r="AV10" s="298">
        <v>0</v>
      </c>
      <c r="AW10" s="298">
        <v>0</v>
      </c>
      <c r="AX10" s="298">
        <v>0</v>
      </c>
      <c r="AY10" s="298">
        <v>0</v>
      </c>
      <c r="AZ10" s="298">
        <v>0</v>
      </c>
      <c r="BA10" s="298">
        <v>0</v>
      </c>
      <c r="BB10" s="298">
        <v>0</v>
      </c>
      <c r="BC10" s="298">
        <v>0</v>
      </c>
      <c r="BD10" s="298">
        <v>0</v>
      </c>
      <c r="BE10" s="298">
        <v>0</v>
      </c>
      <c r="BF10" s="298">
        <v>0</v>
      </c>
      <c r="BG10" s="298">
        <v>0</v>
      </c>
      <c r="BH10" s="298">
        <v>0</v>
      </c>
      <c r="BI10" s="298">
        <v>0</v>
      </c>
      <c r="BJ10" s="298">
        <v>0</v>
      </c>
      <c r="BK10" s="298">
        <v>0</v>
      </c>
      <c r="BL10" s="298">
        <v>0</v>
      </c>
      <c r="BM10" s="298">
        <v>0</v>
      </c>
      <c r="BN10" s="298">
        <v>0</v>
      </c>
      <c r="BO10" s="298">
        <v>0</v>
      </c>
      <c r="BP10" s="298">
        <v>0</v>
      </c>
      <c r="BQ10" s="298">
        <v>0</v>
      </c>
      <c r="BR10" s="298">
        <v>0</v>
      </c>
      <c r="BS10" s="298">
        <v>0</v>
      </c>
      <c r="BT10" s="298">
        <v>0</v>
      </c>
      <c r="BU10" s="298">
        <v>0</v>
      </c>
      <c r="BV10" s="298">
        <v>0</v>
      </c>
      <c r="BW10" s="298">
        <v>0</v>
      </c>
      <c r="BX10" s="298">
        <v>0</v>
      </c>
      <c r="BY10" s="298">
        <v>0</v>
      </c>
      <c r="BZ10" s="298">
        <v>0</v>
      </c>
      <c r="CA10" s="298">
        <v>0</v>
      </c>
      <c r="CB10" s="298">
        <v>0</v>
      </c>
      <c r="CC10" s="298">
        <v>0</v>
      </c>
      <c r="CD10" s="298">
        <v>0</v>
      </c>
      <c r="CE10" s="298">
        <v>0</v>
      </c>
      <c r="CF10" s="298">
        <v>0</v>
      </c>
      <c r="CG10" s="298">
        <v>0</v>
      </c>
      <c r="CH10" s="298">
        <v>0</v>
      </c>
      <c r="CI10" s="298">
        <v>0</v>
      </c>
      <c r="CJ10" s="298">
        <v>0</v>
      </c>
      <c r="CK10" s="298">
        <v>0</v>
      </c>
      <c r="CL10" s="298">
        <v>0</v>
      </c>
      <c r="CM10" s="298">
        <v>0</v>
      </c>
      <c r="CN10" s="298">
        <v>0</v>
      </c>
      <c r="CO10" s="298">
        <v>0</v>
      </c>
      <c r="CP10" s="298">
        <v>0</v>
      </c>
      <c r="CQ10" s="298">
        <v>0</v>
      </c>
      <c r="CR10" s="298">
        <v>0</v>
      </c>
      <c r="CS10" s="298">
        <v>0</v>
      </c>
      <c r="CT10" s="298">
        <v>0</v>
      </c>
      <c r="CU10" s="298">
        <v>0</v>
      </c>
      <c r="CV10" s="298">
        <v>0</v>
      </c>
      <c r="CW10" s="298">
        <v>0</v>
      </c>
      <c r="CX10" s="298">
        <v>0</v>
      </c>
      <c r="CY10" s="298">
        <v>0</v>
      </c>
      <c r="CZ10" s="298">
        <v>0</v>
      </c>
      <c r="DA10" s="298">
        <v>0</v>
      </c>
      <c r="DB10" s="298">
        <v>0</v>
      </c>
      <c r="DC10" s="298">
        <v>0</v>
      </c>
      <c r="DD10" s="298">
        <v>0</v>
      </c>
      <c r="DE10" s="298">
        <v>0</v>
      </c>
      <c r="DF10" s="298">
        <v>0</v>
      </c>
      <c r="DG10" s="298">
        <v>0</v>
      </c>
      <c r="DH10" s="298">
        <v>0</v>
      </c>
      <c r="DI10" s="298">
        <v>0</v>
      </c>
      <c r="DJ10" s="298">
        <v>0</v>
      </c>
      <c r="DK10" s="298">
        <v>0</v>
      </c>
      <c r="DL10" s="298">
        <v>0</v>
      </c>
      <c r="DM10" s="298">
        <v>0</v>
      </c>
      <c r="DN10" s="298">
        <v>0</v>
      </c>
      <c r="DO10" s="298">
        <v>0</v>
      </c>
      <c r="DP10" s="298">
        <v>0</v>
      </c>
      <c r="DQ10" s="298">
        <v>0</v>
      </c>
      <c r="DR10" s="298">
        <v>0</v>
      </c>
      <c r="DS10" s="298">
        <v>0</v>
      </c>
      <c r="DT10" s="298">
        <v>0</v>
      </c>
    </row>
    <row r="11" spans="1:124" ht="23">
      <c r="A11" s="236" t="s">
        <v>89</v>
      </c>
      <c r="B11" s="237" t="s">
        <v>90</v>
      </c>
      <c r="C11" s="237" t="s">
        <v>35</v>
      </c>
      <c r="D11" s="240">
        <f t="shared" si="0"/>
        <v>0</v>
      </c>
      <c r="E11" s="298">
        <v>0</v>
      </c>
      <c r="F11" s="298">
        <v>0</v>
      </c>
      <c r="G11" s="298">
        <v>0</v>
      </c>
      <c r="H11" s="298">
        <v>0</v>
      </c>
      <c r="I11" s="298">
        <v>0</v>
      </c>
      <c r="J11" s="298">
        <v>0</v>
      </c>
      <c r="K11" s="298">
        <v>0</v>
      </c>
      <c r="L11" s="298">
        <v>0</v>
      </c>
      <c r="M11" s="298">
        <v>0</v>
      </c>
      <c r="N11" s="298">
        <v>0</v>
      </c>
      <c r="O11" s="298">
        <v>0</v>
      </c>
      <c r="P11" s="298">
        <v>0</v>
      </c>
      <c r="Q11" s="298">
        <v>0</v>
      </c>
      <c r="R11" s="298">
        <v>0</v>
      </c>
      <c r="S11" s="298">
        <v>0</v>
      </c>
      <c r="T11" s="298">
        <v>0</v>
      </c>
      <c r="U11" s="298">
        <v>0</v>
      </c>
      <c r="V11" s="298">
        <v>0</v>
      </c>
      <c r="W11" s="298">
        <v>0</v>
      </c>
      <c r="X11" s="298">
        <v>0</v>
      </c>
      <c r="Y11" s="298">
        <v>0</v>
      </c>
      <c r="Z11" s="298">
        <v>0</v>
      </c>
      <c r="AA11" s="298">
        <v>0</v>
      </c>
      <c r="AB11" s="298">
        <v>0</v>
      </c>
      <c r="AC11" s="298">
        <v>0</v>
      </c>
      <c r="AD11" s="298">
        <v>0</v>
      </c>
      <c r="AE11" s="298">
        <v>0</v>
      </c>
      <c r="AF11" s="298">
        <v>0</v>
      </c>
      <c r="AG11" s="298">
        <v>0</v>
      </c>
      <c r="AH11" s="298">
        <v>0</v>
      </c>
      <c r="AI11" s="298">
        <v>0</v>
      </c>
      <c r="AJ11" s="298">
        <v>0</v>
      </c>
      <c r="AK11" s="298">
        <v>0</v>
      </c>
      <c r="AL11" s="298">
        <v>0</v>
      </c>
      <c r="AM11" s="298">
        <v>0</v>
      </c>
      <c r="AN11" s="298">
        <v>0</v>
      </c>
      <c r="AO11" s="298">
        <v>0</v>
      </c>
      <c r="AP11" s="298">
        <v>0</v>
      </c>
      <c r="AQ11" s="298">
        <v>0</v>
      </c>
      <c r="AR11" s="298">
        <v>0</v>
      </c>
      <c r="AS11" s="298">
        <v>0</v>
      </c>
      <c r="AT11" s="298">
        <v>0</v>
      </c>
      <c r="AU11" s="298">
        <v>0</v>
      </c>
      <c r="AV11" s="298">
        <v>0</v>
      </c>
      <c r="AW11" s="298">
        <v>0</v>
      </c>
      <c r="AX11" s="298">
        <v>0</v>
      </c>
      <c r="AY11" s="298">
        <v>0</v>
      </c>
      <c r="AZ11" s="298">
        <v>0</v>
      </c>
      <c r="BA11" s="298">
        <v>0</v>
      </c>
      <c r="BB11" s="298">
        <v>0</v>
      </c>
      <c r="BC11" s="298">
        <v>0</v>
      </c>
      <c r="BD11" s="298">
        <v>0</v>
      </c>
      <c r="BE11" s="298">
        <v>0</v>
      </c>
      <c r="BF11" s="298">
        <v>0</v>
      </c>
      <c r="BG11" s="298">
        <v>0</v>
      </c>
      <c r="BH11" s="298">
        <v>0</v>
      </c>
      <c r="BI11" s="298">
        <v>0</v>
      </c>
      <c r="BJ11" s="298">
        <v>0</v>
      </c>
      <c r="BK11" s="298">
        <v>0</v>
      </c>
      <c r="BL11" s="298">
        <v>0</v>
      </c>
      <c r="BM11" s="298">
        <v>0</v>
      </c>
      <c r="BN11" s="298">
        <v>0</v>
      </c>
      <c r="BO11" s="298">
        <v>0</v>
      </c>
      <c r="BP11" s="298">
        <v>0</v>
      </c>
      <c r="BQ11" s="298">
        <v>0</v>
      </c>
      <c r="BR11" s="298">
        <v>0</v>
      </c>
      <c r="BS11" s="298">
        <v>0</v>
      </c>
      <c r="BT11" s="298">
        <v>0</v>
      </c>
      <c r="BU11" s="298">
        <v>0</v>
      </c>
      <c r="BV11" s="298">
        <v>0</v>
      </c>
      <c r="BW11" s="298">
        <v>0</v>
      </c>
      <c r="BX11" s="298">
        <v>0</v>
      </c>
      <c r="BY11" s="298">
        <v>0</v>
      </c>
      <c r="BZ11" s="298">
        <v>0</v>
      </c>
      <c r="CA11" s="298">
        <v>0</v>
      </c>
      <c r="CB11" s="298">
        <v>0</v>
      </c>
      <c r="CC11" s="298">
        <v>0</v>
      </c>
      <c r="CD11" s="298">
        <v>0</v>
      </c>
      <c r="CE11" s="298">
        <v>0</v>
      </c>
      <c r="CF11" s="298">
        <v>0</v>
      </c>
      <c r="CG11" s="298">
        <v>0</v>
      </c>
      <c r="CH11" s="298">
        <v>0</v>
      </c>
      <c r="CI11" s="298">
        <v>0</v>
      </c>
      <c r="CJ11" s="298">
        <v>0</v>
      </c>
      <c r="CK11" s="298">
        <v>0</v>
      </c>
      <c r="CL11" s="298">
        <v>0</v>
      </c>
      <c r="CM11" s="298">
        <v>0</v>
      </c>
      <c r="CN11" s="298">
        <v>0</v>
      </c>
      <c r="CO11" s="298">
        <v>0</v>
      </c>
      <c r="CP11" s="298">
        <v>0</v>
      </c>
      <c r="CQ11" s="298">
        <v>0</v>
      </c>
      <c r="CR11" s="298">
        <v>0</v>
      </c>
      <c r="CS11" s="298">
        <v>0</v>
      </c>
      <c r="CT11" s="298">
        <v>0</v>
      </c>
      <c r="CU11" s="298">
        <v>0</v>
      </c>
      <c r="CV11" s="298">
        <v>0</v>
      </c>
      <c r="CW11" s="298">
        <v>0</v>
      </c>
      <c r="CX11" s="298">
        <v>0</v>
      </c>
      <c r="CY11" s="298">
        <v>0</v>
      </c>
      <c r="CZ11" s="298">
        <v>0</v>
      </c>
      <c r="DA11" s="298">
        <v>0</v>
      </c>
      <c r="DB11" s="298">
        <v>0</v>
      </c>
      <c r="DC11" s="298">
        <v>0</v>
      </c>
      <c r="DD11" s="298">
        <v>0</v>
      </c>
      <c r="DE11" s="298">
        <v>0</v>
      </c>
      <c r="DF11" s="298">
        <v>0</v>
      </c>
      <c r="DG11" s="298">
        <v>0</v>
      </c>
      <c r="DH11" s="298">
        <v>0</v>
      </c>
      <c r="DI11" s="298">
        <v>0</v>
      </c>
      <c r="DJ11" s="298">
        <v>0</v>
      </c>
      <c r="DK11" s="298">
        <v>0</v>
      </c>
      <c r="DL11" s="298">
        <v>0</v>
      </c>
      <c r="DM11" s="298">
        <v>0</v>
      </c>
      <c r="DN11" s="298">
        <v>0</v>
      </c>
      <c r="DO11" s="298">
        <v>0</v>
      </c>
      <c r="DP11" s="298">
        <v>0</v>
      </c>
      <c r="DQ11" s="298">
        <v>0</v>
      </c>
      <c r="DR11" s="298">
        <v>0</v>
      </c>
      <c r="DS11" s="298">
        <v>0</v>
      </c>
      <c r="DT11" s="298">
        <v>0</v>
      </c>
    </row>
    <row r="12" spans="1:124" ht="23">
      <c r="A12" s="236" t="s">
        <v>91</v>
      </c>
      <c r="B12" s="237" t="s">
        <v>92</v>
      </c>
      <c r="C12" s="237" t="s">
        <v>35</v>
      </c>
      <c r="D12" s="240">
        <f t="shared" si="0"/>
        <v>0</v>
      </c>
      <c r="E12" s="297">
        <v>0</v>
      </c>
      <c r="F12" s="297">
        <v>0</v>
      </c>
      <c r="G12" s="297">
        <v>0</v>
      </c>
      <c r="H12" s="297">
        <v>0</v>
      </c>
      <c r="I12" s="297">
        <v>0</v>
      </c>
      <c r="J12" s="297">
        <v>0</v>
      </c>
      <c r="K12" s="297">
        <v>0</v>
      </c>
      <c r="L12" s="297">
        <v>0</v>
      </c>
      <c r="M12" s="297">
        <v>0</v>
      </c>
      <c r="N12" s="297">
        <v>0</v>
      </c>
      <c r="O12" s="297">
        <v>0</v>
      </c>
      <c r="P12" s="297">
        <v>0</v>
      </c>
      <c r="Q12" s="297">
        <v>0</v>
      </c>
      <c r="R12" s="297">
        <v>0</v>
      </c>
      <c r="S12" s="297">
        <v>0</v>
      </c>
      <c r="T12" s="297">
        <v>0</v>
      </c>
      <c r="U12" s="297">
        <v>0</v>
      </c>
      <c r="V12" s="297">
        <v>0</v>
      </c>
      <c r="W12" s="297">
        <v>0</v>
      </c>
      <c r="X12" s="297">
        <v>0</v>
      </c>
      <c r="Y12" s="297">
        <v>0</v>
      </c>
      <c r="Z12" s="297">
        <v>0</v>
      </c>
      <c r="AA12" s="297">
        <v>0</v>
      </c>
      <c r="AB12" s="297">
        <v>0</v>
      </c>
      <c r="AC12" s="297">
        <v>0</v>
      </c>
      <c r="AD12" s="297">
        <v>0</v>
      </c>
      <c r="AE12" s="297">
        <v>0</v>
      </c>
      <c r="AF12" s="297">
        <v>0</v>
      </c>
      <c r="AG12" s="297">
        <v>0</v>
      </c>
      <c r="AH12" s="297">
        <v>0</v>
      </c>
      <c r="AI12" s="297">
        <v>0</v>
      </c>
      <c r="AJ12" s="297">
        <v>0</v>
      </c>
      <c r="AK12" s="297">
        <v>0</v>
      </c>
      <c r="AL12" s="297">
        <v>0</v>
      </c>
      <c r="AM12" s="297">
        <v>0</v>
      </c>
      <c r="AN12" s="297">
        <v>0</v>
      </c>
      <c r="AO12" s="297">
        <v>0</v>
      </c>
      <c r="AP12" s="297">
        <v>0</v>
      </c>
      <c r="AQ12" s="297">
        <v>0</v>
      </c>
      <c r="AR12" s="297">
        <v>0</v>
      </c>
      <c r="AS12" s="297">
        <v>0</v>
      </c>
      <c r="AT12" s="297">
        <v>0</v>
      </c>
      <c r="AU12" s="297">
        <v>0</v>
      </c>
      <c r="AV12" s="297">
        <v>0</v>
      </c>
      <c r="AW12" s="297">
        <v>0</v>
      </c>
      <c r="AX12" s="297">
        <v>0</v>
      </c>
      <c r="AY12" s="297">
        <v>0</v>
      </c>
      <c r="AZ12" s="297">
        <v>0</v>
      </c>
      <c r="BA12" s="297">
        <v>0</v>
      </c>
      <c r="BB12" s="297">
        <v>0</v>
      </c>
      <c r="BC12" s="297">
        <v>0</v>
      </c>
      <c r="BD12" s="297">
        <v>0</v>
      </c>
      <c r="BE12" s="297">
        <v>0</v>
      </c>
      <c r="BF12" s="297">
        <v>0</v>
      </c>
      <c r="BG12" s="297">
        <v>0</v>
      </c>
      <c r="BH12" s="297">
        <v>0</v>
      </c>
      <c r="BI12" s="297">
        <v>0</v>
      </c>
      <c r="BJ12" s="297">
        <v>0</v>
      </c>
      <c r="BK12" s="297">
        <v>0</v>
      </c>
      <c r="BL12" s="297">
        <v>0</v>
      </c>
      <c r="BM12" s="297">
        <v>0</v>
      </c>
      <c r="BN12" s="297">
        <v>0</v>
      </c>
      <c r="BO12" s="297">
        <v>0</v>
      </c>
      <c r="BP12" s="297">
        <v>0</v>
      </c>
      <c r="BQ12" s="297">
        <v>0</v>
      </c>
      <c r="BR12" s="297">
        <v>0</v>
      </c>
      <c r="BS12" s="297">
        <v>0</v>
      </c>
      <c r="BT12" s="297">
        <v>0</v>
      </c>
      <c r="BU12" s="297">
        <v>0</v>
      </c>
      <c r="BV12" s="297">
        <v>0</v>
      </c>
      <c r="BW12" s="297">
        <v>0</v>
      </c>
      <c r="BX12" s="297">
        <v>0</v>
      </c>
      <c r="BY12" s="297">
        <v>0</v>
      </c>
      <c r="BZ12" s="297">
        <v>0</v>
      </c>
      <c r="CA12" s="297">
        <v>0</v>
      </c>
      <c r="CB12" s="297">
        <v>0</v>
      </c>
      <c r="CC12" s="297">
        <v>0</v>
      </c>
      <c r="CD12" s="297">
        <v>0</v>
      </c>
      <c r="CE12" s="297">
        <v>0</v>
      </c>
      <c r="CF12" s="297">
        <v>0</v>
      </c>
      <c r="CG12" s="297">
        <v>0</v>
      </c>
      <c r="CH12" s="297">
        <v>0</v>
      </c>
      <c r="CI12" s="297">
        <v>0</v>
      </c>
      <c r="CJ12" s="297">
        <v>0</v>
      </c>
      <c r="CK12" s="297">
        <v>0</v>
      </c>
      <c r="CL12" s="297">
        <v>0</v>
      </c>
      <c r="CM12" s="297">
        <v>0</v>
      </c>
      <c r="CN12" s="297">
        <v>0</v>
      </c>
      <c r="CO12" s="297">
        <v>0</v>
      </c>
      <c r="CP12" s="297">
        <v>0</v>
      </c>
      <c r="CQ12" s="297">
        <v>0</v>
      </c>
      <c r="CR12" s="297">
        <v>0</v>
      </c>
      <c r="CS12" s="297">
        <v>0</v>
      </c>
      <c r="CT12" s="297">
        <v>0</v>
      </c>
      <c r="CU12" s="297">
        <v>0</v>
      </c>
      <c r="CV12" s="297">
        <v>0</v>
      </c>
      <c r="CW12" s="297">
        <v>0</v>
      </c>
      <c r="CX12" s="297">
        <v>0</v>
      </c>
      <c r="CY12" s="297">
        <v>0</v>
      </c>
      <c r="CZ12" s="297">
        <v>0</v>
      </c>
      <c r="DA12" s="297">
        <v>0</v>
      </c>
      <c r="DB12" s="297">
        <v>0</v>
      </c>
      <c r="DC12" s="297">
        <v>0</v>
      </c>
      <c r="DD12" s="297">
        <v>0</v>
      </c>
      <c r="DE12" s="297">
        <v>0</v>
      </c>
      <c r="DF12" s="297">
        <v>0</v>
      </c>
      <c r="DG12" s="297">
        <v>0</v>
      </c>
      <c r="DH12" s="297">
        <v>0</v>
      </c>
      <c r="DI12" s="297">
        <v>0</v>
      </c>
      <c r="DJ12" s="297">
        <v>0</v>
      </c>
      <c r="DK12" s="297">
        <v>0</v>
      </c>
      <c r="DL12" s="297">
        <v>0</v>
      </c>
      <c r="DM12" s="297">
        <v>0</v>
      </c>
      <c r="DN12" s="297">
        <v>0</v>
      </c>
      <c r="DO12" s="297">
        <v>0</v>
      </c>
      <c r="DP12" s="297">
        <v>0</v>
      </c>
      <c r="DQ12" s="297">
        <v>0</v>
      </c>
      <c r="DR12" s="297">
        <v>0</v>
      </c>
      <c r="DS12" s="297">
        <v>0</v>
      </c>
      <c r="DT12" s="297">
        <v>0</v>
      </c>
    </row>
    <row r="13" spans="1:124">
      <c r="A13" s="236" t="s">
        <v>93</v>
      </c>
      <c r="B13" s="237" t="s">
        <v>94</v>
      </c>
      <c r="C13" s="237" t="s">
        <v>35</v>
      </c>
      <c r="D13" s="240">
        <f t="shared" si="0"/>
        <v>0</v>
      </c>
      <c r="E13" s="298">
        <v>0</v>
      </c>
      <c r="F13" s="298">
        <v>0</v>
      </c>
      <c r="G13" s="298">
        <v>0</v>
      </c>
      <c r="H13" s="298">
        <v>0</v>
      </c>
      <c r="I13" s="298">
        <v>0</v>
      </c>
      <c r="J13" s="298">
        <v>0</v>
      </c>
      <c r="K13" s="298">
        <v>0</v>
      </c>
      <c r="L13" s="298">
        <v>0</v>
      </c>
      <c r="M13" s="298">
        <v>0</v>
      </c>
      <c r="N13" s="298">
        <v>0</v>
      </c>
      <c r="O13" s="298">
        <v>0</v>
      </c>
      <c r="P13" s="298">
        <v>0</v>
      </c>
      <c r="Q13" s="298">
        <v>0</v>
      </c>
      <c r="R13" s="298">
        <v>0</v>
      </c>
      <c r="S13" s="298">
        <v>0</v>
      </c>
      <c r="T13" s="298">
        <v>0</v>
      </c>
      <c r="U13" s="298">
        <v>0</v>
      </c>
      <c r="V13" s="298">
        <v>0</v>
      </c>
      <c r="W13" s="298">
        <v>0</v>
      </c>
      <c r="X13" s="298">
        <v>0</v>
      </c>
      <c r="Y13" s="298">
        <v>0</v>
      </c>
      <c r="Z13" s="298">
        <v>0</v>
      </c>
      <c r="AA13" s="298">
        <v>0</v>
      </c>
      <c r="AB13" s="298">
        <v>0</v>
      </c>
      <c r="AC13" s="298">
        <v>0</v>
      </c>
      <c r="AD13" s="298">
        <v>0</v>
      </c>
      <c r="AE13" s="298">
        <v>0</v>
      </c>
      <c r="AF13" s="298">
        <v>0</v>
      </c>
      <c r="AG13" s="298">
        <v>0</v>
      </c>
      <c r="AH13" s="298">
        <v>0</v>
      </c>
      <c r="AI13" s="298">
        <v>0</v>
      </c>
      <c r="AJ13" s="298">
        <v>0</v>
      </c>
      <c r="AK13" s="298">
        <v>0</v>
      </c>
      <c r="AL13" s="298">
        <v>0</v>
      </c>
      <c r="AM13" s="298">
        <v>0</v>
      </c>
      <c r="AN13" s="298">
        <v>0</v>
      </c>
      <c r="AO13" s="298">
        <v>0</v>
      </c>
      <c r="AP13" s="298">
        <v>0</v>
      </c>
      <c r="AQ13" s="298">
        <v>0</v>
      </c>
      <c r="AR13" s="298">
        <v>0</v>
      </c>
      <c r="AS13" s="298">
        <v>0</v>
      </c>
      <c r="AT13" s="298">
        <v>0</v>
      </c>
      <c r="AU13" s="298">
        <v>0</v>
      </c>
      <c r="AV13" s="298">
        <v>0</v>
      </c>
      <c r="AW13" s="298">
        <v>0</v>
      </c>
      <c r="AX13" s="298">
        <v>0</v>
      </c>
      <c r="AY13" s="298">
        <v>0</v>
      </c>
      <c r="AZ13" s="298">
        <v>0</v>
      </c>
      <c r="BA13" s="298">
        <v>0</v>
      </c>
      <c r="BB13" s="298">
        <v>0</v>
      </c>
      <c r="BC13" s="298">
        <v>0</v>
      </c>
      <c r="BD13" s="298">
        <v>0</v>
      </c>
      <c r="BE13" s="298">
        <v>0</v>
      </c>
      <c r="BF13" s="298">
        <v>0</v>
      </c>
      <c r="BG13" s="298">
        <v>0</v>
      </c>
      <c r="BH13" s="298">
        <v>0</v>
      </c>
      <c r="BI13" s="298">
        <v>0</v>
      </c>
      <c r="BJ13" s="298">
        <v>0</v>
      </c>
      <c r="BK13" s="298">
        <v>0</v>
      </c>
      <c r="BL13" s="298">
        <v>0</v>
      </c>
      <c r="BM13" s="298">
        <v>0</v>
      </c>
      <c r="BN13" s="298">
        <v>0</v>
      </c>
      <c r="BO13" s="298">
        <v>0</v>
      </c>
      <c r="BP13" s="298">
        <v>0</v>
      </c>
      <c r="BQ13" s="298">
        <v>0</v>
      </c>
      <c r="BR13" s="298">
        <v>0</v>
      </c>
      <c r="BS13" s="298">
        <v>0</v>
      </c>
      <c r="BT13" s="298">
        <v>0</v>
      </c>
      <c r="BU13" s="298">
        <v>0</v>
      </c>
      <c r="BV13" s="298">
        <v>0</v>
      </c>
      <c r="BW13" s="298">
        <v>0</v>
      </c>
      <c r="BX13" s="298">
        <v>0</v>
      </c>
      <c r="BY13" s="298">
        <v>0</v>
      </c>
      <c r="BZ13" s="298">
        <v>0</v>
      </c>
      <c r="CA13" s="298">
        <v>0</v>
      </c>
      <c r="CB13" s="298">
        <v>0</v>
      </c>
      <c r="CC13" s="298">
        <v>0</v>
      </c>
      <c r="CD13" s="298">
        <v>0</v>
      </c>
      <c r="CE13" s="298">
        <v>0</v>
      </c>
      <c r="CF13" s="298">
        <v>0</v>
      </c>
      <c r="CG13" s="298">
        <v>0</v>
      </c>
      <c r="CH13" s="298">
        <v>0</v>
      </c>
      <c r="CI13" s="298">
        <v>0</v>
      </c>
      <c r="CJ13" s="298">
        <v>0</v>
      </c>
      <c r="CK13" s="298">
        <v>0</v>
      </c>
      <c r="CL13" s="298">
        <v>0</v>
      </c>
      <c r="CM13" s="298">
        <v>0</v>
      </c>
      <c r="CN13" s="298">
        <v>0</v>
      </c>
      <c r="CO13" s="298">
        <v>0</v>
      </c>
      <c r="CP13" s="298">
        <v>0</v>
      </c>
      <c r="CQ13" s="298">
        <v>0</v>
      </c>
      <c r="CR13" s="298">
        <v>0</v>
      </c>
      <c r="CS13" s="298">
        <v>0</v>
      </c>
      <c r="CT13" s="298">
        <v>0</v>
      </c>
      <c r="CU13" s="298">
        <v>0</v>
      </c>
      <c r="CV13" s="298">
        <v>0</v>
      </c>
      <c r="CW13" s="298">
        <v>0</v>
      </c>
      <c r="CX13" s="298">
        <v>0</v>
      </c>
      <c r="CY13" s="298">
        <v>0</v>
      </c>
      <c r="CZ13" s="298">
        <v>0</v>
      </c>
      <c r="DA13" s="298">
        <v>0</v>
      </c>
      <c r="DB13" s="298">
        <v>0</v>
      </c>
      <c r="DC13" s="298">
        <v>0</v>
      </c>
      <c r="DD13" s="298">
        <v>0</v>
      </c>
      <c r="DE13" s="298">
        <v>0</v>
      </c>
      <c r="DF13" s="298">
        <v>0</v>
      </c>
      <c r="DG13" s="298">
        <v>0</v>
      </c>
      <c r="DH13" s="298">
        <v>0</v>
      </c>
      <c r="DI13" s="298">
        <v>0</v>
      </c>
      <c r="DJ13" s="298">
        <v>0</v>
      </c>
      <c r="DK13" s="298">
        <v>0</v>
      </c>
      <c r="DL13" s="298">
        <v>0</v>
      </c>
      <c r="DM13" s="298">
        <v>0</v>
      </c>
      <c r="DN13" s="298">
        <v>0</v>
      </c>
      <c r="DO13" s="298">
        <v>0</v>
      </c>
      <c r="DP13" s="298">
        <v>0</v>
      </c>
      <c r="DQ13" s="298">
        <v>0</v>
      </c>
      <c r="DR13" s="298">
        <v>0</v>
      </c>
      <c r="DS13" s="298">
        <v>0</v>
      </c>
      <c r="DT13" s="298">
        <v>0</v>
      </c>
    </row>
    <row r="14" spans="1:124">
      <c r="A14" s="236" t="s">
        <v>95</v>
      </c>
      <c r="B14" s="237" t="s">
        <v>96</v>
      </c>
      <c r="C14" s="237" t="s">
        <v>35</v>
      </c>
      <c r="D14" s="240">
        <f t="shared" si="0"/>
        <v>0</v>
      </c>
      <c r="E14" s="298">
        <v>0</v>
      </c>
      <c r="F14" s="298">
        <v>0</v>
      </c>
      <c r="G14" s="298">
        <v>0</v>
      </c>
      <c r="H14" s="298">
        <v>0</v>
      </c>
      <c r="I14" s="298">
        <v>0</v>
      </c>
      <c r="J14" s="298">
        <v>0</v>
      </c>
      <c r="K14" s="298">
        <v>0</v>
      </c>
      <c r="L14" s="298">
        <v>0</v>
      </c>
      <c r="M14" s="298">
        <v>0</v>
      </c>
      <c r="N14" s="298">
        <v>0</v>
      </c>
      <c r="O14" s="298">
        <v>0</v>
      </c>
      <c r="P14" s="298">
        <v>0</v>
      </c>
      <c r="Q14" s="298">
        <v>0</v>
      </c>
      <c r="R14" s="298">
        <v>0</v>
      </c>
      <c r="S14" s="298">
        <v>0</v>
      </c>
      <c r="T14" s="298">
        <v>0</v>
      </c>
      <c r="U14" s="298">
        <v>0</v>
      </c>
      <c r="V14" s="298">
        <v>0</v>
      </c>
      <c r="W14" s="298">
        <v>0</v>
      </c>
      <c r="X14" s="298">
        <v>0</v>
      </c>
      <c r="Y14" s="298">
        <v>0</v>
      </c>
      <c r="Z14" s="298">
        <v>0</v>
      </c>
      <c r="AA14" s="298">
        <v>0</v>
      </c>
      <c r="AB14" s="298">
        <v>0</v>
      </c>
      <c r="AC14" s="298">
        <v>0</v>
      </c>
      <c r="AD14" s="298">
        <v>0</v>
      </c>
      <c r="AE14" s="298">
        <v>0</v>
      </c>
      <c r="AF14" s="298">
        <v>0</v>
      </c>
      <c r="AG14" s="298">
        <v>0</v>
      </c>
      <c r="AH14" s="298">
        <v>0</v>
      </c>
      <c r="AI14" s="298">
        <v>0</v>
      </c>
      <c r="AJ14" s="298">
        <v>0</v>
      </c>
      <c r="AK14" s="298">
        <v>0</v>
      </c>
      <c r="AL14" s="298">
        <v>0</v>
      </c>
      <c r="AM14" s="298">
        <v>0</v>
      </c>
      <c r="AN14" s="298">
        <v>0</v>
      </c>
      <c r="AO14" s="298">
        <v>0</v>
      </c>
      <c r="AP14" s="298">
        <v>0</v>
      </c>
      <c r="AQ14" s="298">
        <v>0</v>
      </c>
      <c r="AR14" s="298">
        <v>0</v>
      </c>
      <c r="AS14" s="298">
        <v>0</v>
      </c>
      <c r="AT14" s="298">
        <v>0</v>
      </c>
      <c r="AU14" s="298">
        <v>0</v>
      </c>
      <c r="AV14" s="298">
        <v>0</v>
      </c>
      <c r="AW14" s="298">
        <v>0</v>
      </c>
      <c r="AX14" s="298">
        <v>0</v>
      </c>
      <c r="AY14" s="298">
        <v>0</v>
      </c>
      <c r="AZ14" s="298">
        <v>0</v>
      </c>
      <c r="BA14" s="298">
        <v>0</v>
      </c>
      <c r="BB14" s="298">
        <v>0</v>
      </c>
      <c r="BC14" s="298">
        <v>0</v>
      </c>
      <c r="BD14" s="298">
        <v>0</v>
      </c>
      <c r="BE14" s="298">
        <v>0</v>
      </c>
      <c r="BF14" s="298">
        <v>0</v>
      </c>
      <c r="BG14" s="298">
        <v>0</v>
      </c>
      <c r="BH14" s="298">
        <v>0</v>
      </c>
      <c r="BI14" s="298">
        <v>0</v>
      </c>
      <c r="BJ14" s="298">
        <v>0</v>
      </c>
      <c r="BK14" s="298">
        <v>0</v>
      </c>
      <c r="BL14" s="298">
        <v>0</v>
      </c>
      <c r="BM14" s="298">
        <v>0</v>
      </c>
      <c r="BN14" s="298">
        <v>0</v>
      </c>
      <c r="BO14" s="298">
        <v>0</v>
      </c>
      <c r="BP14" s="298">
        <v>0</v>
      </c>
      <c r="BQ14" s="298">
        <v>0</v>
      </c>
      <c r="BR14" s="298">
        <v>0</v>
      </c>
      <c r="BS14" s="298">
        <v>0</v>
      </c>
      <c r="BT14" s="298">
        <v>0</v>
      </c>
      <c r="BU14" s="298">
        <v>0</v>
      </c>
      <c r="BV14" s="298">
        <v>0</v>
      </c>
      <c r="BW14" s="298">
        <v>0</v>
      </c>
      <c r="BX14" s="298">
        <v>0</v>
      </c>
      <c r="BY14" s="298">
        <v>0</v>
      </c>
      <c r="BZ14" s="298">
        <v>0</v>
      </c>
      <c r="CA14" s="298">
        <v>0</v>
      </c>
      <c r="CB14" s="298">
        <v>0</v>
      </c>
      <c r="CC14" s="298">
        <v>0</v>
      </c>
      <c r="CD14" s="298">
        <v>0</v>
      </c>
      <c r="CE14" s="298">
        <v>0</v>
      </c>
      <c r="CF14" s="298">
        <v>0</v>
      </c>
      <c r="CG14" s="298">
        <v>0</v>
      </c>
      <c r="CH14" s="298">
        <v>0</v>
      </c>
      <c r="CI14" s="298">
        <v>0</v>
      </c>
      <c r="CJ14" s="298">
        <v>0</v>
      </c>
      <c r="CK14" s="298">
        <v>0</v>
      </c>
      <c r="CL14" s="298">
        <v>0</v>
      </c>
      <c r="CM14" s="298">
        <v>0</v>
      </c>
      <c r="CN14" s="298">
        <v>0</v>
      </c>
      <c r="CO14" s="298">
        <v>0</v>
      </c>
      <c r="CP14" s="298">
        <v>0</v>
      </c>
      <c r="CQ14" s="298">
        <v>0</v>
      </c>
      <c r="CR14" s="298">
        <v>0</v>
      </c>
      <c r="CS14" s="298">
        <v>0</v>
      </c>
      <c r="CT14" s="298">
        <v>0</v>
      </c>
      <c r="CU14" s="298">
        <v>0</v>
      </c>
      <c r="CV14" s="298">
        <v>0</v>
      </c>
      <c r="CW14" s="298">
        <v>0</v>
      </c>
      <c r="CX14" s="298">
        <v>0</v>
      </c>
      <c r="CY14" s="298">
        <v>0</v>
      </c>
      <c r="CZ14" s="298">
        <v>0</v>
      </c>
      <c r="DA14" s="298">
        <v>0</v>
      </c>
      <c r="DB14" s="298">
        <v>0</v>
      </c>
      <c r="DC14" s="298">
        <v>0</v>
      </c>
      <c r="DD14" s="298">
        <v>0</v>
      </c>
      <c r="DE14" s="298">
        <v>0</v>
      </c>
      <c r="DF14" s="298">
        <v>0</v>
      </c>
      <c r="DG14" s="298">
        <v>0</v>
      </c>
      <c r="DH14" s="298">
        <v>0</v>
      </c>
      <c r="DI14" s="298">
        <v>0</v>
      </c>
      <c r="DJ14" s="298">
        <v>0</v>
      </c>
      <c r="DK14" s="298">
        <v>0</v>
      </c>
      <c r="DL14" s="298">
        <v>0</v>
      </c>
      <c r="DM14" s="298">
        <v>0</v>
      </c>
      <c r="DN14" s="298">
        <v>0</v>
      </c>
      <c r="DO14" s="298">
        <v>0</v>
      </c>
      <c r="DP14" s="298">
        <v>0</v>
      </c>
      <c r="DQ14" s="298">
        <v>0</v>
      </c>
      <c r="DR14" s="298">
        <v>0</v>
      </c>
      <c r="DS14" s="298">
        <v>0</v>
      </c>
      <c r="DT14" s="298">
        <v>0</v>
      </c>
    </row>
    <row r="15" spans="1:124" ht="34">
      <c r="A15" s="236" t="s">
        <v>97</v>
      </c>
      <c r="B15" s="237" t="s">
        <v>98</v>
      </c>
      <c r="C15" s="237" t="s">
        <v>35</v>
      </c>
      <c r="D15" s="240">
        <f t="shared" si="0"/>
        <v>86112908209138.047</v>
      </c>
      <c r="E15" s="297">
        <f>E9+E11-E12+E13-E14</f>
        <v>91278535241.475464</v>
      </c>
      <c r="F15" s="297">
        <f t="shared" ref="F15:H15" si="42">F9+F11-F12+F13-F14</f>
        <v>93644521246.794586</v>
      </c>
      <c r="G15" s="297">
        <f t="shared" si="42"/>
        <v>96074892476.972198</v>
      </c>
      <c r="H15" s="297">
        <f t="shared" si="42"/>
        <v>98571476142.548843</v>
      </c>
      <c r="I15" s="297">
        <f>I9+I11-I12+I13-I14</f>
        <v>101136153066.28827</v>
      </c>
      <c r="J15" s="297">
        <f t="shared" ref="J15:AK15" si="43">J9+J11-J12+J13-J14</f>
        <v>103770859295.63654</v>
      </c>
      <c r="K15" s="297">
        <f t="shared" si="43"/>
        <v>106477587764.53366</v>
      </c>
      <c r="L15" s="297">
        <f t="shared" si="43"/>
        <v>109258390006.10591</v>
      </c>
      <c r="M15" s="297">
        <f t="shared" si="43"/>
        <v>112115377917.8158</v>
      </c>
      <c r="N15" s="297">
        <f t="shared" si="43"/>
        <v>115050725580.69447</v>
      </c>
      <c r="O15" s="297">
        <f t="shared" si="43"/>
        <v>118066671134.33347</v>
      </c>
      <c r="P15" s="297">
        <f t="shared" si="43"/>
        <v>82014455400623.422</v>
      </c>
      <c r="Q15" s="297">
        <f t="shared" si="43"/>
        <v>89539627574.28833</v>
      </c>
      <c r="R15" s="297">
        <f t="shared" si="43"/>
        <v>91901823446.254578</v>
      </c>
      <c r="S15" s="297">
        <f t="shared" si="43"/>
        <v>94328335666.602097</v>
      </c>
      <c r="T15" s="297">
        <f t="shared" si="43"/>
        <v>96820990092.3461</v>
      </c>
      <c r="U15" s="297">
        <f t="shared" si="43"/>
        <v>99381666164.923233</v>
      </c>
      <c r="V15" s="297">
        <f t="shared" si="43"/>
        <v>102012298522.06654</v>
      </c>
      <c r="W15" s="297">
        <f t="shared" si="43"/>
        <v>104714878659.02048</v>
      </c>
      <c r="X15" s="297">
        <f t="shared" si="43"/>
        <v>107491456640.62392</v>
      </c>
      <c r="Y15" s="297">
        <f t="shared" si="43"/>
        <v>110344142865.83792</v>
      </c>
      <c r="Z15" s="297">
        <f t="shared" si="43"/>
        <v>113275109886.34268</v>
      </c>
      <c r="AA15" s="297">
        <f t="shared" si="43"/>
        <v>116286594280.88029</v>
      </c>
      <c r="AB15" s="297">
        <f t="shared" si="43"/>
        <v>119380898587.07185</v>
      </c>
      <c r="AC15" s="297">
        <f t="shared" si="43"/>
        <v>122560383292.4906</v>
      </c>
      <c r="AD15" s="297">
        <f t="shared" si="43"/>
        <v>125827508886.83003</v>
      </c>
      <c r="AE15" s="297">
        <f t="shared" si="43"/>
        <v>129184777977.06204</v>
      </c>
      <c r="AF15" s="297">
        <f t="shared" si="43"/>
        <v>132634777467.5399</v>
      </c>
      <c r="AG15" s="297">
        <f t="shared" si="43"/>
        <v>136180170807.06219</v>
      </c>
      <c r="AH15" s="297">
        <f t="shared" si="43"/>
        <v>139823700304.97635</v>
      </c>
      <c r="AI15" s="297">
        <f t="shared" si="43"/>
        <v>143568189518.46603</v>
      </c>
      <c r="AJ15" s="297">
        <f t="shared" si="43"/>
        <v>147416545713.23291</v>
      </c>
      <c r="AK15" s="297">
        <f t="shared" si="43"/>
        <v>151371762399.85355</v>
      </c>
      <c r="AL15" s="297">
        <f>AL9+AL11-AL12+AL13-AL14</f>
        <v>155436921948.16205</v>
      </c>
      <c r="AM15" s="297">
        <f>AM9+AM11-AM12+AM13-AM14</f>
        <v>159615198282.08435</v>
      </c>
      <c r="AN15" s="297">
        <f>AN9+AN11-AN12+AN13-AN14</f>
        <v>163909859657.42444</v>
      </c>
      <c r="AO15" s="297">
        <f>AO9+AO11-AO12+AO13-AO14</f>
        <v>168324261525.18188</v>
      </c>
      <c r="AP15" s="297">
        <f t="shared" ref="AP15:AR15" si="44">AP9+AP11-AP12+AP13-AP14</f>
        <v>172861889483.06049</v>
      </c>
      <c r="AQ15" s="297">
        <f t="shared" si="44"/>
        <v>177526302317.9115</v>
      </c>
      <c r="AR15" s="297">
        <f t="shared" si="44"/>
        <v>182321175141.93988</v>
      </c>
      <c r="AS15" s="297">
        <f>AS9+AS11-AS12+AS13-AS14</f>
        <v>187250292625.59164</v>
      </c>
      <c r="AT15" s="297">
        <f t="shared" ref="AT15:BU15" si="45">AT9+AT11-AT12+AT13-AT14</f>
        <v>192317552330.13132</v>
      </c>
      <c r="AU15" s="297">
        <f t="shared" si="45"/>
        <v>197526968143.01224</v>
      </c>
      <c r="AV15" s="297">
        <f t="shared" si="45"/>
        <v>202882673819.24042</v>
      </c>
      <c r="AW15" s="297">
        <f t="shared" si="45"/>
        <v>208388926632.03296</v>
      </c>
      <c r="AX15" s="297">
        <f t="shared" si="45"/>
        <v>214050111136.17429</v>
      </c>
      <c r="AY15" s="297">
        <f t="shared" si="45"/>
        <v>219870743047.58173</v>
      </c>
      <c r="AZ15" s="297">
        <f t="shared" si="45"/>
        <v>225855473242.70062</v>
      </c>
      <c r="BA15" s="297">
        <f t="shared" si="45"/>
        <v>232009081881.46368</v>
      </c>
      <c r="BB15" s="297">
        <f t="shared" si="45"/>
        <v>238336522657.66553</v>
      </c>
      <c r="BC15" s="297">
        <f t="shared" si="45"/>
        <v>244842867180.72446</v>
      </c>
      <c r="BD15" s="297">
        <f t="shared" si="45"/>
        <v>251533349492.92792</v>
      </c>
      <c r="BE15" s="297">
        <f t="shared" si="45"/>
        <v>258413360726.3876</v>
      </c>
      <c r="BF15" s="297">
        <f t="shared" si="45"/>
        <v>265488453904.05951</v>
      </c>
      <c r="BG15" s="297">
        <f t="shared" si="45"/>
        <v>272764348889.32608</v>
      </c>
      <c r="BH15" s="297">
        <f t="shared" si="45"/>
        <v>280246937488.77264</v>
      </c>
      <c r="BI15" s="297">
        <f t="shared" si="45"/>
        <v>287942288712.94073</v>
      </c>
      <c r="BJ15" s="297">
        <f t="shared" si="45"/>
        <v>295856654199.98779</v>
      </c>
      <c r="BK15" s="297">
        <f t="shared" si="45"/>
        <v>303996473807.33856</v>
      </c>
      <c r="BL15" s="297">
        <f t="shared" si="45"/>
        <v>312368381376.5733</v>
      </c>
      <c r="BM15" s="297">
        <f t="shared" si="45"/>
        <v>320979200676.96185</v>
      </c>
      <c r="BN15" s="297">
        <f t="shared" si="45"/>
        <v>329835991533.22235</v>
      </c>
      <c r="BO15" s="297">
        <f t="shared" si="45"/>
        <v>338945996143.26062</v>
      </c>
      <c r="BP15" s="297">
        <f t="shared" si="45"/>
        <v>348316685591.82159</v>
      </c>
      <c r="BQ15" s="297">
        <f t="shared" si="45"/>
        <v>357955756566.17865</v>
      </c>
      <c r="BR15" s="297">
        <f t="shared" si="45"/>
        <v>367871138280.1698</v>
      </c>
      <c r="BS15" s="297">
        <f t="shared" si="45"/>
        <v>378070999613.0957</v>
      </c>
      <c r="BT15" s="297">
        <f t="shared" si="45"/>
        <v>388563756470.19379</v>
      </c>
      <c r="BU15" s="297">
        <f t="shared" si="45"/>
        <v>399358079371.61676</v>
      </c>
      <c r="BV15" s="297">
        <f>BV9+BV11-BV12+BV13-BV14</f>
        <v>410462901277.05865</v>
      </c>
      <c r="BW15" s="297">
        <f>BW9+BW11-BW12+BW13-BW14</f>
        <v>421887425653.39941</v>
      </c>
      <c r="BX15" s="297">
        <f>BX9+BX11-BX12+BX13-BX14</f>
        <v>433641134792.96796</v>
      </c>
      <c r="BY15" s="297">
        <f>BY9+BY11-BY12+BY13-BY14</f>
        <v>445733788390.26166</v>
      </c>
      <c r="BZ15" s="297">
        <f t="shared" ref="BZ15:CB15" si="46">BZ9+BZ11-BZ12+BZ13-BZ14</f>
        <v>458175472385.21075</v>
      </c>
      <c r="CA15" s="297">
        <f t="shared" si="46"/>
        <v>470976548081.32513</v>
      </c>
      <c r="CB15" s="297">
        <f t="shared" si="46"/>
        <v>484147701547.32654</v>
      </c>
      <c r="CC15" s="297">
        <f>CC9+CC11-CC12+CC13-CC14</f>
        <v>497699943311.13947</v>
      </c>
      <c r="CD15" s="297">
        <f t="shared" ref="CD15:DE15" si="47">CD9+CD11-CD12+CD13-CD14</f>
        <v>511644618355.38867</v>
      </c>
      <c r="CE15" s="297">
        <f t="shared" si="47"/>
        <v>525993416423.84686</v>
      </c>
      <c r="CF15" s="297">
        <f t="shared" si="47"/>
        <v>540758382648.56403</v>
      </c>
      <c r="CG15" s="297">
        <f t="shared" si="47"/>
        <v>555951928507.72192</v>
      </c>
      <c r="CH15" s="297">
        <f t="shared" si="47"/>
        <v>571586843124.57153</v>
      </c>
      <c r="CI15" s="297">
        <f t="shared" si="47"/>
        <v>587676304918.1366</v>
      </c>
      <c r="CJ15" s="297">
        <f t="shared" si="47"/>
        <v>604233893616.69946</v>
      </c>
      <c r="CK15" s="297">
        <f t="shared" si="47"/>
        <v>621273592645.44092</v>
      </c>
      <c r="CL15" s="297">
        <f t="shared" si="47"/>
        <v>638809841899.94946</v>
      </c>
      <c r="CM15" s="297">
        <f t="shared" si="47"/>
        <v>656857490917.70007</v>
      </c>
      <c r="CN15" s="297">
        <f t="shared" si="47"/>
        <v>675431852459.96716</v>
      </c>
      <c r="CO15" s="297">
        <f t="shared" si="47"/>
        <v>694548706517.04321</v>
      </c>
      <c r="CP15" s="297">
        <f t="shared" si="47"/>
        <v>714224314750.02612</v>
      </c>
      <c r="CQ15" s="297">
        <f t="shared" si="47"/>
        <v>734475435382.86865</v>
      </c>
      <c r="CR15" s="297">
        <f t="shared" si="47"/>
        <v>755319338558.8009</v>
      </c>
      <c r="CS15" s="297">
        <f t="shared" si="47"/>
        <v>776773822175.69556</v>
      </c>
      <c r="CT15" s="297">
        <f t="shared" si="47"/>
        <v>798857228215.38721</v>
      </c>
      <c r="CU15" s="297">
        <f t="shared" si="47"/>
        <v>821588459582.44849</v>
      </c>
      <c r="CV15" s="297">
        <f t="shared" si="47"/>
        <v>844986997468.39343</v>
      </c>
      <c r="CW15" s="297">
        <f t="shared" si="47"/>
        <v>869072909257.80237</v>
      </c>
      <c r="CX15" s="297">
        <f t="shared" si="47"/>
        <v>893866906993.36133</v>
      </c>
      <c r="CY15" s="297">
        <f t="shared" si="47"/>
        <v>919390306417.3606</v>
      </c>
      <c r="CZ15" s="297">
        <f t="shared" si="47"/>
        <v>945665086607.73962</v>
      </c>
      <c r="DA15" s="297">
        <f t="shared" si="47"/>
        <v>972713900227.34033</v>
      </c>
      <c r="DB15" s="297">
        <f t="shared" si="47"/>
        <v>1000560094405.6101</v>
      </c>
      <c r="DC15" s="297">
        <f t="shared" si="47"/>
        <v>1029227732272.6183</v>
      </c>
      <c r="DD15" s="297">
        <f t="shared" si="47"/>
        <v>1058741615165.8533</v>
      </c>
      <c r="DE15" s="297">
        <f t="shared" si="47"/>
        <v>1089127305530.9349</v>
      </c>
      <c r="DF15" s="297">
        <f>DF9+DF11-DF12+DF13-DF14</f>
        <v>1120411150538.021</v>
      </c>
      <c r="DG15" s="297">
        <f>DG9+DG11-DG12+DG13-DG14</f>
        <v>1152620306436.3926</v>
      </c>
      <c r="DH15" s="297">
        <f>DH9+DH11-DH12+DH13-DH14</f>
        <v>1185782763670.3936</v>
      </c>
      <c r="DI15" s="297">
        <f>DI9+DI11-DI12+DI13-DI14</f>
        <v>1219927362780.6448</v>
      </c>
      <c r="DJ15" s="297">
        <f t="shared" ref="DJ15:DL15" si="48">DJ9+DJ11-DJ12+DJ13-DJ14</f>
        <v>1255083861115.1953</v>
      </c>
      <c r="DK15" s="297">
        <f t="shared" si="48"/>
        <v>1291282900376.0576</v>
      </c>
      <c r="DL15" s="297">
        <f t="shared" si="48"/>
        <v>1328556075027.3718</v>
      </c>
      <c r="DM15" s="297">
        <f>DM9+DM11-DM12+DM13-DM14</f>
        <v>1366935951592.272</v>
      </c>
      <c r="DN15" s="297">
        <f t="shared" ref="DN15:DT15" si="49">DN9+DN11-DN12+DN13-DN14</f>
        <v>1406456098866.3835</v>
      </c>
      <c r="DO15" s="297">
        <f t="shared" si="49"/>
        <v>1447151119076.7517</v>
      </c>
      <c r="DP15" s="297">
        <f t="shared" si="49"/>
        <v>1489056680015.9236</v>
      </c>
      <c r="DQ15" s="297">
        <f t="shared" si="49"/>
        <v>1532209548181.8281</v>
      </c>
      <c r="DR15" s="297">
        <f t="shared" si="49"/>
        <v>1576647622955.0713</v>
      </c>
      <c r="DS15" s="297">
        <f t="shared" si="49"/>
        <v>1622409971846.2695</v>
      </c>
      <c r="DT15" s="297">
        <f t="shared" si="49"/>
        <v>1669536866847.0437</v>
      </c>
    </row>
    <row r="16" spans="1:124" ht="23">
      <c r="A16" s="236" t="s">
        <v>99</v>
      </c>
      <c r="B16" s="237" t="s">
        <v>100</v>
      </c>
      <c r="C16" s="237" t="s">
        <v>35</v>
      </c>
      <c r="D16" s="240">
        <f t="shared" si="0"/>
        <v>205057266906.01111</v>
      </c>
      <c r="E16" s="297">
        <v>0</v>
      </c>
      <c r="F16" s="297">
        <v>0</v>
      </c>
      <c r="G16" s="297">
        <v>0</v>
      </c>
      <c r="H16" s="297">
        <v>0</v>
      </c>
      <c r="I16" s="297">
        <v>0</v>
      </c>
      <c r="J16" s="297">
        <v>0</v>
      </c>
      <c r="K16" s="297">
        <v>0</v>
      </c>
      <c r="L16" s="297">
        <v>0</v>
      </c>
      <c r="M16" s="297">
        <v>0</v>
      </c>
      <c r="N16" s="297">
        <v>0</v>
      </c>
      <c r="O16" s="297">
        <v>0</v>
      </c>
      <c r="P16" s="297">
        <v>0</v>
      </c>
      <c r="Q16" s="297">
        <f>'Налоги и сборы до'!Q5</f>
        <v>6217482020.9604845</v>
      </c>
      <c r="R16" s="297">
        <f>'Налоги и сборы до'!R5</f>
        <v>6381073920.6470261</v>
      </c>
      <c r="S16" s="297">
        <f>'Налоги и сборы до'!S5</f>
        <v>6549177349.5571165</v>
      </c>
      <c r="T16" s="297">
        <f>'Налоги и сборы до'!T5</f>
        <v>6721921739.3368979</v>
      </c>
      <c r="U16" s="297">
        <f>'Налоги и сборы до'!U5</f>
        <v>6899440350.6394081</v>
      </c>
      <c r="V16" s="297">
        <f>'Налоги и сборы до'!V5</f>
        <v>7081870388.967351</v>
      </c>
      <c r="W16" s="297">
        <f>'Налоги и сборы до'!W5</f>
        <v>7269353124.0758629</v>
      </c>
      <c r="X16" s="297">
        <f>'Налоги и сборы до'!X5</f>
        <v>7462034013.0458183</v>
      </c>
      <c r="Y16" s="297">
        <f>'Налоги и сборы до'!Y5</f>
        <v>7660062827.1417227</v>
      </c>
      <c r="Z16" s="297">
        <f>'Налоги и сборы до'!Z5</f>
        <v>7863593782.571744</v>
      </c>
      <c r="AA16" s="297">
        <f>'Налоги и сборы до'!AA5</f>
        <v>8072785675.2712021</v>
      </c>
      <c r="AB16" s="297">
        <f>'Налоги и сборы до'!AB5</f>
        <v>8287802019.8345404</v>
      </c>
      <c r="AC16" s="297">
        <f>'Налоги и сборы до'!AC5</f>
        <v>8508811192.7247658</v>
      </c>
      <c r="AD16" s="297">
        <f>'Налоги и сборы до'!AD5</f>
        <v>8735986579.8933868</v>
      </c>
      <c r="AE16" s="297">
        <f>'Налоги и сборы до'!AE5</f>
        <v>8969506728.9480114</v>
      </c>
      <c r="AF16" s="297">
        <f>'Налоги и сборы до'!AF5</f>
        <v>9209555506.0090771</v>
      </c>
      <c r="AG16" s="297">
        <f>'Налоги и сборы до'!AG5</f>
        <v>9456322257.4016075</v>
      </c>
      <c r="AH16" s="297">
        <f>'Налоги и сборы до'!AH5</f>
        <v>9710001976.3325062</v>
      </c>
      <c r="AI16" s="297">
        <f>'Налоги и сборы до'!AI5</f>
        <v>9970795474.7085075</v>
      </c>
      <c r="AJ16" s="297">
        <f>'Налоги и сборы до'!AJ5</f>
        <v>10238909560.25486</v>
      </c>
      <c r="AK16" s="297">
        <f>'Налоги и сборы до'!AK5</f>
        <v>10514557219.099821</v>
      </c>
      <c r="AL16" s="297">
        <f>'Налоги и сборы до'!AL5</f>
        <v>10797957803.995129</v>
      </c>
      <c r="AM16" s="297">
        <f>'Налоги и сборы до'!AM5</f>
        <v>11089337228.348078</v>
      </c>
      <c r="AN16" s="297">
        <f>'Налоги и сборы до'!AN5</f>
        <v>11388928166.246208</v>
      </c>
      <c r="AO16" s="297">
        <f>'Налоги и сборы до'!AO5</f>
        <v>11696970258.661375</v>
      </c>
      <c r="AP16" s="297">
        <f>'Налоги и сборы до'!AP5</f>
        <v>12013710326.025782</v>
      </c>
      <c r="AQ16" s="297">
        <f>'Налоги и сборы до'!AQ5</f>
        <v>12339402587.37859</v>
      </c>
      <c r="AR16" s="297">
        <f>'Налоги и сборы до'!AR5</f>
        <v>12674308886.287964</v>
      </c>
      <c r="AS16" s="297">
        <f>'Налоги и сборы до'!AS5</f>
        <v>13018698923.759867</v>
      </c>
      <c r="AT16" s="297">
        <f>'Налоги и сборы до'!AT5</f>
        <v>13372850498.351414</v>
      </c>
      <c r="AU16" s="297">
        <f>'Налоги и сборы до'!AU5</f>
        <v>13737049753.713646</v>
      </c>
      <c r="AV16" s="297">
        <f>'Налоги и сборы до'!AV5</f>
        <v>14111591433.795393</v>
      </c>
      <c r="AW16" s="297">
        <f>'Налоги и сборы до'!AW5</f>
        <v>14496779145.947351</v>
      </c>
      <c r="AX16" s="297">
        <f>'Налоги и сборы до'!AX5</f>
        <v>14892925632.172907</v>
      </c>
      <c r="AY16" s="297">
        <f>'Налоги и сборы до'!AY5</f>
        <v>15300353048.779991</v>
      </c>
      <c r="AZ16" s="297">
        <f>'Налоги и сборы до'!AZ5</f>
        <v>15719393254.696232</v>
      </c>
      <c r="BA16" s="297">
        <f>'Налоги и сборы до'!BA5</f>
        <v>16150388108.717949</v>
      </c>
      <c r="BB16" s="297">
        <f>'Налоги и сборы до'!BB5</f>
        <v>16593689775.971886</v>
      </c>
      <c r="BC16" s="297">
        <f>'Налоги и сборы до'!BC5</f>
        <v>17049661043.877558</v>
      </c>
      <c r="BD16" s="297">
        <f>'Налоги и сборы до'!BD5</f>
        <v>17518675647.90683</v>
      </c>
      <c r="BE16" s="297">
        <f>'Налоги и сборы до'!BE5</f>
        <v>18001118607.44701</v>
      </c>
      <c r="BF16" s="297">
        <f>'Налоги и сборы до'!BF5</f>
        <v>18497386572.082958</v>
      </c>
      <c r="BG16" s="297">
        <f>'Налоги и сборы до'!BG5</f>
        <v>19007888178.624043</v>
      </c>
      <c r="BH16" s="297">
        <f>'Налоги и сборы до'!BH5</f>
        <v>19533044419.211586</v>
      </c>
      <c r="BI16" s="297">
        <f>'Налоги и сборы до'!BI5</f>
        <v>20073289020.853374</v>
      </c>
      <c r="BJ16" s="297">
        <f>'Налоги и сборы до'!BJ5</f>
        <v>20629068836.742359</v>
      </c>
      <c r="BK16" s="297">
        <f>'Налоги и сборы до'!BK5</f>
        <v>21200844249.728107</v>
      </c>
      <c r="BL16" s="297">
        <f>'Налоги и сборы до'!BL5</f>
        <v>21789089588.321144</v>
      </c>
      <c r="BM16" s="297">
        <f>'Налоги и сборы до'!BM5</f>
        <v>22394293555.622017</v>
      </c>
      <c r="BN16" s="297">
        <f>'Налоги и сборы до'!BN5</f>
        <v>23016959671.579617</v>
      </c>
      <c r="BO16" s="297">
        <f>'Налоги и сборы до'!BO5</f>
        <v>23657606728.995625</v>
      </c>
      <c r="BP16" s="297">
        <f>'Налоги и сборы до'!BP5</f>
        <v>24316769263.705341</v>
      </c>
      <c r="BQ16" s="297">
        <f>'Налоги и сборы до'!BQ5</f>
        <v>24994998039.378517</v>
      </c>
      <c r="BR16" s="297">
        <f>'Налоги и сборы до'!BR5</f>
        <v>25692860547.397728</v>
      </c>
      <c r="BS16" s="297">
        <f>'Налоги и сборы до'!BS5</f>
        <v>26410941522.286427</v>
      </c>
      <c r="BT16" s="297">
        <f>'Налоги и сборы до'!BT5</f>
        <v>27149843473.17337</v>
      </c>
      <c r="BU16" s="297">
        <f>'Налоги и сборы до'!BU5</f>
        <v>27910187231.795563</v>
      </c>
      <c r="BV16" s="297">
        <f>'Налоги и сборы до'!BV5</f>
        <v>28692612517.557785</v>
      </c>
      <c r="BW16" s="297">
        <f>'Налоги и сборы до'!BW5</f>
        <v>29497778520.182693</v>
      </c>
      <c r="BX16" s="297">
        <f>'Налоги и сборы до'!BX5</f>
        <v>30326364500.502655</v>
      </c>
      <c r="BY16" s="297">
        <f>'Налоги и сборы до'!BY5</f>
        <v>31179070409.96167</v>
      </c>
      <c r="BZ16" s="297">
        <f>'Налоги и сборы до'!BZ5</f>
        <v>32056617529.413391</v>
      </c>
      <c r="CA16" s="297">
        <f>'Налоги и сборы до'!CA5</f>
        <v>32959749127.820175</v>
      </c>
      <c r="CB16" s="297">
        <f>'Налоги и сборы до'!CB5</f>
        <v>33889231141.476601</v>
      </c>
      <c r="CC16" s="297">
        <f>'Налоги и сборы до'!CC5</f>
        <v>34845852874.400925</v>
      </c>
      <c r="CD16" s="297">
        <f>'Налоги и сборы до'!CD5</f>
        <v>35830427720.557823</v>
      </c>
      <c r="CE16" s="297">
        <f>'Налоги и сборы до'!CE5</f>
        <v>36843793908.597015</v>
      </c>
      <c r="CF16" s="297">
        <f>'Налоги и сборы до'!CF5</f>
        <v>37886815269.813553</v>
      </c>
      <c r="CG16" s="297">
        <f>'Налоги и сборы до'!CG5</f>
        <v>38960382030.058083</v>
      </c>
      <c r="CH16" s="297">
        <f>'Налоги и сборы до'!CH5</f>
        <v>40065411626.348007</v>
      </c>
      <c r="CI16" s="297">
        <f>'Налоги и сборы до'!CI5</f>
        <v>41202849548.954422</v>
      </c>
      <c r="CJ16" s="297">
        <f>'Налоги и сборы до'!CJ5</f>
        <v>42373670209.763733</v>
      </c>
      <c r="CK16" s="297">
        <f>'Налоги и сборы до'!CK5</f>
        <v>43578877837.738495</v>
      </c>
      <c r="CL16" s="297">
        <f>'Налоги и сборы до'!CL5</f>
        <v>44819507402.327263</v>
      </c>
      <c r="CM16" s="297">
        <f>'Налоги и сборы до'!CM5</f>
        <v>46096625565.70089</v>
      </c>
      <c r="CN16" s="297">
        <f>'Налоги и сборы до'!CN5</f>
        <v>47411331664.719452</v>
      </c>
      <c r="CO16" s="297">
        <f>'Налоги и сборы до'!CO5</f>
        <v>48764758723.563217</v>
      </c>
      <c r="CP16" s="297">
        <f>'Налоги и сборы до'!CP5</f>
        <v>50158074497.989624</v>
      </c>
      <c r="CQ16" s="297">
        <f>'Налоги и сборы до'!CQ5</f>
        <v>51592482552.209686</v>
      </c>
      <c r="CR16" s="297">
        <f>'Налоги и сборы до'!CR5</f>
        <v>53069223369.407082</v>
      </c>
      <c r="CS16" s="297">
        <f>'Налоги и сборы до'!CS5</f>
        <v>54589575496.956963</v>
      </c>
      <c r="CT16" s="297">
        <f>'Налоги и сборы до'!CT5</f>
        <v>56154856727.433228</v>
      </c>
      <c r="CU16" s="297">
        <f>'Налоги и сборы до'!CU5</f>
        <v>57766425316.528923</v>
      </c>
      <c r="CV16" s="297">
        <f>'Налоги и сборы до'!CV5</f>
        <v>59425681239.048256</v>
      </c>
      <c r="CW16" s="297">
        <f>'Налоги и сборы до'!CW5</f>
        <v>61134067484.166656</v>
      </c>
      <c r="CX16" s="297">
        <f>'Налоги и сборы до'!CX5</f>
        <v>62893071391.191849</v>
      </c>
      <c r="CY16" s="297">
        <f>'Налоги и сборы до'!CY5</f>
        <v>64704226027.098549</v>
      </c>
      <c r="CZ16" s="297">
        <f>'Налоги и сборы до'!CZ5</f>
        <v>66569111607.149025</v>
      </c>
      <c r="DA16" s="297">
        <f>'Налоги и сборы до'!DA5</f>
        <v>68489356959.953285</v>
      </c>
      <c r="DB16" s="297">
        <f>'Налоги и сборы до'!DB5</f>
        <v>70466641038.365524</v>
      </c>
      <c r="DC16" s="297">
        <f>'Налоги и сборы до'!DC5</f>
        <v>72502694477.656754</v>
      </c>
      <c r="DD16" s="297">
        <f>'Налоги и сборы до'!DD5</f>
        <v>74599301202.450104</v>
      </c>
      <c r="DE16" s="297">
        <f>'Налоги и сборы до'!DE5</f>
        <v>76758300083.95079</v>
      </c>
      <c r="DF16" s="297">
        <f>'Налоги и сборы до'!DF5</f>
        <v>78981586649.052048</v>
      </c>
      <c r="DG16" s="297">
        <f>'Налоги и сборы до'!DG5</f>
        <v>81271114842.947983</v>
      </c>
      <c r="DH16" s="297">
        <f>'Налоги и сборы до'!DH5</f>
        <v>83628898846.934937</v>
      </c>
      <c r="DI16" s="297">
        <f>'Налоги и сборы до'!DI5</f>
        <v>86057014953.137161</v>
      </c>
      <c r="DJ16" s="297">
        <f>'Налоги и сборы до'!DJ5</f>
        <v>88557603497.946594</v>
      </c>
      <c r="DK16" s="297">
        <f>'Налоги и сборы до'!DK5</f>
        <v>91132870856.022705</v>
      </c>
      <c r="DL16" s="297">
        <f>'Налоги и сборы до'!DL5</f>
        <v>93785091496.75769</v>
      </c>
      <c r="DM16" s="297">
        <f>'Налоги и сборы до'!DM5</f>
        <v>96516610105.170853</v>
      </c>
      <c r="DN16" s="297">
        <f>'Налоги и сборы до'!DN5</f>
        <v>99329843769.25943</v>
      </c>
      <c r="DO16" s="297">
        <f>'Налоги и сборы до'!DO5</f>
        <v>102227284235.89592</v>
      </c>
      <c r="DP16" s="297">
        <f>'Налоги и сборы до'!DP5</f>
        <v>105211500237.42834</v>
      </c>
      <c r="DQ16" s="297">
        <f>'Налоги и сборы до'!DQ5</f>
        <v>108285139891.20813</v>
      </c>
      <c r="DR16" s="297">
        <f>'Налоги и сборы до'!DR5</f>
        <v>111450933174.33992</v>
      </c>
      <c r="DS16" s="297">
        <f>'Налоги и сборы до'!DS5</f>
        <v>114711694476.02026</v>
      </c>
      <c r="DT16" s="297">
        <f>'Налоги и сборы до'!DT5</f>
        <v>118070325229.90692</v>
      </c>
    </row>
    <row r="17" spans="1:124" ht="44">
      <c r="A17" s="239" t="s">
        <v>101</v>
      </c>
      <c r="B17" s="237" t="s">
        <v>102</v>
      </c>
      <c r="C17" s="237" t="s">
        <v>35</v>
      </c>
      <c r="D17" s="240">
        <f t="shared" si="0"/>
        <v>0</v>
      </c>
      <c r="E17" s="298">
        <v>0</v>
      </c>
      <c r="F17" s="298">
        <v>0</v>
      </c>
      <c r="G17" s="298">
        <v>0</v>
      </c>
      <c r="H17" s="298">
        <v>0</v>
      </c>
      <c r="I17" s="298">
        <v>0</v>
      </c>
      <c r="J17" s="298">
        <v>0</v>
      </c>
      <c r="K17" s="298">
        <v>0</v>
      </c>
      <c r="L17" s="298">
        <v>0</v>
      </c>
      <c r="M17" s="298">
        <v>0</v>
      </c>
      <c r="N17" s="298">
        <v>0</v>
      </c>
      <c r="O17" s="298">
        <v>0</v>
      </c>
      <c r="P17" s="298">
        <v>0</v>
      </c>
      <c r="Q17" s="298">
        <v>0</v>
      </c>
      <c r="R17" s="298">
        <v>0</v>
      </c>
      <c r="S17" s="298">
        <v>0</v>
      </c>
      <c r="T17" s="298">
        <v>0</v>
      </c>
      <c r="U17" s="298">
        <v>0</v>
      </c>
      <c r="V17" s="298">
        <v>0</v>
      </c>
      <c r="W17" s="298">
        <v>0</v>
      </c>
      <c r="X17" s="298">
        <v>0</v>
      </c>
      <c r="Y17" s="298">
        <v>0</v>
      </c>
      <c r="Z17" s="298">
        <v>0</v>
      </c>
      <c r="AA17" s="298">
        <v>0</v>
      </c>
      <c r="AB17" s="298">
        <v>0</v>
      </c>
      <c r="AC17" s="298">
        <v>0</v>
      </c>
      <c r="AD17" s="298">
        <v>0</v>
      </c>
      <c r="AE17" s="298">
        <v>0</v>
      </c>
      <c r="AF17" s="298">
        <v>0</v>
      </c>
      <c r="AG17" s="298">
        <v>0</v>
      </c>
      <c r="AH17" s="298">
        <v>0</v>
      </c>
      <c r="AI17" s="298">
        <v>0</v>
      </c>
      <c r="AJ17" s="298">
        <v>0</v>
      </c>
      <c r="AK17" s="298">
        <v>0</v>
      </c>
      <c r="AL17" s="298">
        <v>0</v>
      </c>
      <c r="AM17" s="298">
        <v>0</v>
      </c>
      <c r="AN17" s="298">
        <v>0</v>
      </c>
      <c r="AO17" s="298">
        <v>0</v>
      </c>
      <c r="AP17" s="298">
        <v>0</v>
      </c>
      <c r="AQ17" s="298">
        <v>0</v>
      </c>
      <c r="AR17" s="298">
        <v>0</v>
      </c>
      <c r="AS17" s="298">
        <v>0</v>
      </c>
      <c r="AT17" s="298">
        <v>0</v>
      </c>
      <c r="AU17" s="298">
        <v>0</v>
      </c>
      <c r="AV17" s="298">
        <v>0</v>
      </c>
      <c r="AW17" s="298">
        <v>0</v>
      </c>
      <c r="AX17" s="298">
        <v>0</v>
      </c>
      <c r="AY17" s="298">
        <v>0</v>
      </c>
      <c r="AZ17" s="298">
        <v>0</v>
      </c>
      <c r="BA17" s="298">
        <v>0</v>
      </c>
      <c r="BB17" s="298">
        <v>0</v>
      </c>
      <c r="BC17" s="298">
        <v>0</v>
      </c>
      <c r="BD17" s="298">
        <v>0</v>
      </c>
      <c r="BE17" s="298">
        <v>0</v>
      </c>
      <c r="BF17" s="298">
        <v>0</v>
      </c>
      <c r="BG17" s="298">
        <v>0</v>
      </c>
      <c r="BH17" s="298">
        <v>0</v>
      </c>
      <c r="BI17" s="298">
        <v>0</v>
      </c>
      <c r="BJ17" s="298">
        <v>0</v>
      </c>
      <c r="BK17" s="298">
        <v>0</v>
      </c>
      <c r="BL17" s="298">
        <v>0</v>
      </c>
      <c r="BM17" s="298">
        <v>0</v>
      </c>
      <c r="BN17" s="298">
        <v>0</v>
      </c>
      <c r="BO17" s="298">
        <v>0</v>
      </c>
      <c r="BP17" s="298">
        <v>0</v>
      </c>
      <c r="BQ17" s="298">
        <v>0</v>
      </c>
      <c r="BR17" s="298">
        <v>0</v>
      </c>
      <c r="BS17" s="298">
        <v>0</v>
      </c>
      <c r="BT17" s="298">
        <v>0</v>
      </c>
      <c r="BU17" s="298">
        <v>0</v>
      </c>
      <c r="BV17" s="298">
        <v>0</v>
      </c>
      <c r="BW17" s="298">
        <v>0</v>
      </c>
      <c r="BX17" s="298">
        <v>0</v>
      </c>
      <c r="BY17" s="298">
        <v>0</v>
      </c>
      <c r="BZ17" s="298">
        <v>0</v>
      </c>
      <c r="CA17" s="298">
        <v>0</v>
      </c>
      <c r="CB17" s="298">
        <v>0</v>
      </c>
      <c r="CC17" s="298">
        <v>0</v>
      </c>
      <c r="CD17" s="298">
        <v>0</v>
      </c>
      <c r="CE17" s="298">
        <v>0</v>
      </c>
      <c r="CF17" s="298">
        <v>0</v>
      </c>
      <c r="CG17" s="298">
        <v>0</v>
      </c>
      <c r="CH17" s="298">
        <v>0</v>
      </c>
      <c r="CI17" s="298">
        <v>0</v>
      </c>
      <c r="CJ17" s="298">
        <v>0</v>
      </c>
      <c r="CK17" s="298">
        <v>0</v>
      </c>
      <c r="CL17" s="298">
        <v>0</v>
      </c>
      <c r="CM17" s="298">
        <v>0</v>
      </c>
      <c r="CN17" s="298">
        <v>0</v>
      </c>
      <c r="CO17" s="298">
        <v>0</v>
      </c>
      <c r="CP17" s="298">
        <v>0</v>
      </c>
      <c r="CQ17" s="298">
        <v>0</v>
      </c>
      <c r="CR17" s="298">
        <v>0</v>
      </c>
      <c r="CS17" s="298">
        <v>0</v>
      </c>
      <c r="CT17" s="298">
        <v>0</v>
      </c>
      <c r="CU17" s="298">
        <v>0</v>
      </c>
      <c r="CV17" s="298">
        <v>0</v>
      </c>
      <c r="CW17" s="298">
        <v>0</v>
      </c>
      <c r="CX17" s="298">
        <v>0</v>
      </c>
      <c r="CY17" s="298">
        <v>0</v>
      </c>
      <c r="CZ17" s="298">
        <v>0</v>
      </c>
      <c r="DA17" s="298">
        <v>0</v>
      </c>
      <c r="DB17" s="298">
        <v>0</v>
      </c>
      <c r="DC17" s="298">
        <v>0</v>
      </c>
      <c r="DD17" s="298">
        <v>0</v>
      </c>
      <c r="DE17" s="298">
        <v>0</v>
      </c>
      <c r="DF17" s="298">
        <v>0</v>
      </c>
      <c r="DG17" s="298">
        <v>0</v>
      </c>
      <c r="DH17" s="298">
        <v>0</v>
      </c>
      <c r="DI17" s="298">
        <v>0</v>
      </c>
      <c r="DJ17" s="298">
        <v>0</v>
      </c>
      <c r="DK17" s="298">
        <v>0</v>
      </c>
      <c r="DL17" s="298">
        <v>0</v>
      </c>
      <c r="DM17" s="298">
        <v>0</v>
      </c>
      <c r="DN17" s="298">
        <v>0</v>
      </c>
      <c r="DO17" s="298">
        <v>0</v>
      </c>
      <c r="DP17" s="298">
        <v>0</v>
      </c>
      <c r="DQ17" s="298">
        <v>0</v>
      </c>
      <c r="DR17" s="298">
        <v>0</v>
      </c>
      <c r="DS17" s="298">
        <v>0</v>
      </c>
      <c r="DT17" s="298">
        <v>0</v>
      </c>
    </row>
    <row r="18" spans="1:124" ht="45">
      <c r="A18" s="236" t="s">
        <v>103</v>
      </c>
      <c r="B18" s="237" t="s">
        <v>104</v>
      </c>
      <c r="C18" s="237" t="s">
        <v>35</v>
      </c>
      <c r="D18" s="240">
        <f t="shared" si="0"/>
        <v>0</v>
      </c>
      <c r="E18" s="298">
        <v>0</v>
      </c>
      <c r="F18" s="298">
        <v>0</v>
      </c>
      <c r="G18" s="298">
        <v>0</v>
      </c>
      <c r="H18" s="298">
        <v>0</v>
      </c>
      <c r="I18" s="298">
        <v>0</v>
      </c>
      <c r="J18" s="298">
        <v>0</v>
      </c>
      <c r="K18" s="298">
        <v>0</v>
      </c>
      <c r="L18" s="298">
        <v>0</v>
      </c>
      <c r="M18" s="298">
        <v>0</v>
      </c>
      <c r="N18" s="298">
        <v>0</v>
      </c>
      <c r="O18" s="298">
        <v>0</v>
      </c>
      <c r="P18" s="298">
        <v>0</v>
      </c>
      <c r="Q18" s="298">
        <v>0</v>
      </c>
      <c r="R18" s="298">
        <v>0</v>
      </c>
      <c r="S18" s="298">
        <v>0</v>
      </c>
      <c r="T18" s="298">
        <v>0</v>
      </c>
      <c r="U18" s="298">
        <v>0</v>
      </c>
      <c r="V18" s="298">
        <v>0</v>
      </c>
      <c r="W18" s="298">
        <v>0</v>
      </c>
      <c r="X18" s="298">
        <v>0</v>
      </c>
      <c r="Y18" s="298">
        <v>0</v>
      </c>
      <c r="Z18" s="298">
        <v>0</v>
      </c>
      <c r="AA18" s="298">
        <v>0</v>
      </c>
      <c r="AB18" s="298">
        <v>0</v>
      </c>
      <c r="AC18" s="298">
        <v>0</v>
      </c>
      <c r="AD18" s="298">
        <v>0</v>
      </c>
      <c r="AE18" s="298">
        <v>0</v>
      </c>
      <c r="AF18" s="298">
        <v>0</v>
      </c>
      <c r="AG18" s="298">
        <v>0</v>
      </c>
      <c r="AH18" s="298">
        <v>0</v>
      </c>
      <c r="AI18" s="298">
        <v>0</v>
      </c>
      <c r="AJ18" s="298">
        <v>0</v>
      </c>
      <c r="AK18" s="298">
        <v>0</v>
      </c>
      <c r="AL18" s="298">
        <v>0</v>
      </c>
      <c r="AM18" s="298">
        <v>0</v>
      </c>
      <c r="AN18" s="298">
        <v>0</v>
      </c>
      <c r="AO18" s="298">
        <v>0</v>
      </c>
      <c r="AP18" s="298">
        <v>0</v>
      </c>
      <c r="AQ18" s="298">
        <v>0</v>
      </c>
      <c r="AR18" s="298">
        <v>0</v>
      </c>
      <c r="AS18" s="298">
        <v>0</v>
      </c>
      <c r="AT18" s="298">
        <v>0</v>
      </c>
      <c r="AU18" s="298">
        <v>0</v>
      </c>
      <c r="AV18" s="298">
        <v>0</v>
      </c>
      <c r="AW18" s="298">
        <v>0</v>
      </c>
      <c r="AX18" s="298">
        <v>0</v>
      </c>
      <c r="AY18" s="298">
        <v>0</v>
      </c>
      <c r="AZ18" s="298">
        <v>0</v>
      </c>
      <c r="BA18" s="298">
        <v>0</v>
      </c>
      <c r="BB18" s="298">
        <v>0</v>
      </c>
      <c r="BC18" s="298">
        <v>0</v>
      </c>
      <c r="BD18" s="298">
        <v>0</v>
      </c>
      <c r="BE18" s="298">
        <v>0</v>
      </c>
      <c r="BF18" s="298">
        <v>0</v>
      </c>
      <c r="BG18" s="298">
        <v>0</v>
      </c>
      <c r="BH18" s="298">
        <v>0</v>
      </c>
      <c r="BI18" s="298">
        <v>0</v>
      </c>
      <c r="BJ18" s="298">
        <v>0</v>
      </c>
      <c r="BK18" s="298">
        <v>0</v>
      </c>
      <c r="BL18" s="298">
        <v>0</v>
      </c>
      <c r="BM18" s="298">
        <v>0</v>
      </c>
      <c r="BN18" s="298">
        <v>0</v>
      </c>
      <c r="BO18" s="298">
        <v>0</v>
      </c>
      <c r="BP18" s="298">
        <v>0</v>
      </c>
      <c r="BQ18" s="298">
        <v>0</v>
      </c>
      <c r="BR18" s="298">
        <v>0</v>
      </c>
      <c r="BS18" s="298">
        <v>0</v>
      </c>
      <c r="BT18" s="298">
        <v>0</v>
      </c>
      <c r="BU18" s="298">
        <v>0</v>
      </c>
      <c r="BV18" s="298">
        <v>0</v>
      </c>
      <c r="BW18" s="298">
        <v>0</v>
      </c>
      <c r="BX18" s="298">
        <v>0</v>
      </c>
      <c r="BY18" s="298">
        <v>0</v>
      </c>
      <c r="BZ18" s="298">
        <v>0</v>
      </c>
      <c r="CA18" s="298">
        <v>0</v>
      </c>
      <c r="CB18" s="298">
        <v>0</v>
      </c>
      <c r="CC18" s="298">
        <v>0</v>
      </c>
      <c r="CD18" s="298">
        <v>0</v>
      </c>
      <c r="CE18" s="298">
        <v>0</v>
      </c>
      <c r="CF18" s="298">
        <v>0</v>
      </c>
      <c r="CG18" s="298">
        <v>0</v>
      </c>
      <c r="CH18" s="298">
        <v>0</v>
      </c>
      <c r="CI18" s="298">
        <v>0</v>
      </c>
      <c r="CJ18" s="298">
        <v>0</v>
      </c>
      <c r="CK18" s="298">
        <v>0</v>
      </c>
      <c r="CL18" s="298">
        <v>0</v>
      </c>
      <c r="CM18" s="298">
        <v>0</v>
      </c>
      <c r="CN18" s="298">
        <v>0</v>
      </c>
      <c r="CO18" s="298">
        <v>0</v>
      </c>
      <c r="CP18" s="298">
        <v>0</v>
      </c>
      <c r="CQ18" s="298">
        <v>0</v>
      </c>
      <c r="CR18" s="298">
        <v>0</v>
      </c>
      <c r="CS18" s="298">
        <v>0</v>
      </c>
      <c r="CT18" s="298">
        <v>0</v>
      </c>
      <c r="CU18" s="298">
        <v>0</v>
      </c>
      <c r="CV18" s="298">
        <v>0</v>
      </c>
      <c r="CW18" s="298">
        <v>0</v>
      </c>
      <c r="CX18" s="298">
        <v>0</v>
      </c>
      <c r="CY18" s="298">
        <v>0</v>
      </c>
      <c r="CZ18" s="298">
        <v>0</v>
      </c>
      <c r="DA18" s="298">
        <v>0</v>
      </c>
      <c r="DB18" s="298">
        <v>0</v>
      </c>
      <c r="DC18" s="298">
        <v>0</v>
      </c>
      <c r="DD18" s="298">
        <v>0</v>
      </c>
      <c r="DE18" s="298">
        <v>0</v>
      </c>
      <c r="DF18" s="298">
        <v>0</v>
      </c>
      <c r="DG18" s="298">
        <v>0</v>
      </c>
      <c r="DH18" s="298">
        <v>0</v>
      </c>
      <c r="DI18" s="298">
        <v>0</v>
      </c>
      <c r="DJ18" s="298">
        <v>0</v>
      </c>
      <c r="DK18" s="298">
        <v>0</v>
      </c>
      <c r="DL18" s="298">
        <v>0</v>
      </c>
      <c r="DM18" s="298">
        <v>0</v>
      </c>
      <c r="DN18" s="298">
        <v>0</v>
      </c>
      <c r="DO18" s="298">
        <v>0</v>
      </c>
      <c r="DP18" s="298">
        <v>0</v>
      </c>
      <c r="DQ18" s="298">
        <v>0</v>
      </c>
      <c r="DR18" s="298">
        <v>0</v>
      </c>
      <c r="DS18" s="298">
        <v>0</v>
      </c>
      <c r="DT18" s="298">
        <v>0</v>
      </c>
    </row>
    <row r="19" spans="1:124">
      <c r="A19" s="236" t="s">
        <v>105</v>
      </c>
      <c r="B19" s="237" t="s">
        <v>106</v>
      </c>
      <c r="C19" s="237" t="s">
        <v>35</v>
      </c>
      <c r="D19" s="240">
        <f t="shared" si="0"/>
        <v>0</v>
      </c>
      <c r="E19" s="298">
        <v>0</v>
      </c>
      <c r="F19" s="298">
        <v>0</v>
      </c>
      <c r="G19" s="298">
        <v>0</v>
      </c>
      <c r="H19" s="298">
        <v>0</v>
      </c>
      <c r="I19" s="298">
        <v>0</v>
      </c>
      <c r="J19" s="298">
        <v>0</v>
      </c>
      <c r="K19" s="298">
        <v>0</v>
      </c>
      <c r="L19" s="298">
        <v>0</v>
      </c>
      <c r="M19" s="298">
        <v>0</v>
      </c>
      <c r="N19" s="298">
        <v>0</v>
      </c>
      <c r="O19" s="298">
        <v>0</v>
      </c>
      <c r="P19" s="298">
        <v>0</v>
      </c>
      <c r="Q19" s="298">
        <v>0</v>
      </c>
      <c r="R19" s="298">
        <v>0</v>
      </c>
      <c r="S19" s="298">
        <v>0</v>
      </c>
      <c r="T19" s="298">
        <v>0</v>
      </c>
      <c r="U19" s="298">
        <v>0</v>
      </c>
      <c r="V19" s="298">
        <v>0</v>
      </c>
      <c r="W19" s="298">
        <v>0</v>
      </c>
      <c r="X19" s="298">
        <v>0</v>
      </c>
      <c r="Y19" s="298">
        <v>0</v>
      </c>
      <c r="Z19" s="298">
        <v>0</v>
      </c>
      <c r="AA19" s="298">
        <v>0</v>
      </c>
      <c r="AB19" s="298">
        <v>0</v>
      </c>
      <c r="AC19" s="298">
        <v>0</v>
      </c>
      <c r="AD19" s="298">
        <v>0</v>
      </c>
      <c r="AE19" s="298">
        <v>0</v>
      </c>
      <c r="AF19" s="298">
        <v>0</v>
      </c>
      <c r="AG19" s="298">
        <v>0</v>
      </c>
      <c r="AH19" s="298">
        <v>0</v>
      </c>
      <c r="AI19" s="298">
        <v>0</v>
      </c>
      <c r="AJ19" s="298">
        <v>0</v>
      </c>
      <c r="AK19" s="298">
        <v>0</v>
      </c>
      <c r="AL19" s="298">
        <v>0</v>
      </c>
      <c r="AM19" s="298">
        <v>0</v>
      </c>
      <c r="AN19" s="298">
        <v>0</v>
      </c>
      <c r="AO19" s="298">
        <v>0</v>
      </c>
      <c r="AP19" s="298">
        <v>0</v>
      </c>
      <c r="AQ19" s="298">
        <v>0</v>
      </c>
      <c r="AR19" s="298">
        <v>0</v>
      </c>
      <c r="AS19" s="298">
        <v>0</v>
      </c>
      <c r="AT19" s="298">
        <v>0</v>
      </c>
      <c r="AU19" s="298">
        <v>0</v>
      </c>
      <c r="AV19" s="298">
        <v>0</v>
      </c>
      <c r="AW19" s="298">
        <v>0</v>
      </c>
      <c r="AX19" s="298">
        <v>0</v>
      </c>
      <c r="AY19" s="298">
        <v>0</v>
      </c>
      <c r="AZ19" s="298">
        <v>0</v>
      </c>
      <c r="BA19" s="298">
        <v>0</v>
      </c>
      <c r="BB19" s="298">
        <v>0</v>
      </c>
      <c r="BC19" s="298">
        <v>0</v>
      </c>
      <c r="BD19" s="298">
        <v>0</v>
      </c>
      <c r="BE19" s="298">
        <v>0</v>
      </c>
      <c r="BF19" s="298">
        <v>0</v>
      </c>
      <c r="BG19" s="298">
        <v>0</v>
      </c>
      <c r="BH19" s="298">
        <v>0</v>
      </c>
      <c r="BI19" s="298">
        <v>0</v>
      </c>
      <c r="BJ19" s="298">
        <v>0</v>
      </c>
      <c r="BK19" s="298">
        <v>0</v>
      </c>
      <c r="BL19" s="298">
        <v>0</v>
      </c>
      <c r="BM19" s="298">
        <v>0</v>
      </c>
      <c r="BN19" s="298">
        <v>0</v>
      </c>
      <c r="BO19" s="298">
        <v>0</v>
      </c>
      <c r="BP19" s="298">
        <v>0</v>
      </c>
      <c r="BQ19" s="298">
        <v>0</v>
      </c>
      <c r="BR19" s="298">
        <v>0</v>
      </c>
      <c r="BS19" s="298">
        <v>0</v>
      </c>
      <c r="BT19" s="298">
        <v>0</v>
      </c>
      <c r="BU19" s="298">
        <v>0</v>
      </c>
      <c r="BV19" s="298">
        <v>0</v>
      </c>
      <c r="BW19" s="298">
        <v>0</v>
      </c>
      <c r="BX19" s="298">
        <v>0</v>
      </c>
      <c r="BY19" s="298">
        <v>0</v>
      </c>
      <c r="BZ19" s="298">
        <v>0</v>
      </c>
      <c r="CA19" s="298">
        <v>0</v>
      </c>
      <c r="CB19" s="298">
        <v>0</v>
      </c>
      <c r="CC19" s="298">
        <v>0</v>
      </c>
      <c r="CD19" s="298">
        <v>0</v>
      </c>
      <c r="CE19" s="298">
        <v>0</v>
      </c>
      <c r="CF19" s="298">
        <v>0</v>
      </c>
      <c r="CG19" s="298">
        <v>0</v>
      </c>
      <c r="CH19" s="298">
        <v>0</v>
      </c>
      <c r="CI19" s="298">
        <v>0</v>
      </c>
      <c r="CJ19" s="298">
        <v>0</v>
      </c>
      <c r="CK19" s="298">
        <v>0</v>
      </c>
      <c r="CL19" s="298">
        <v>0</v>
      </c>
      <c r="CM19" s="298">
        <v>0</v>
      </c>
      <c r="CN19" s="298">
        <v>0</v>
      </c>
      <c r="CO19" s="298">
        <v>0</v>
      </c>
      <c r="CP19" s="298">
        <v>0</v>
      </c>
      <c r="CQ19" s="298">
        <v>0</v>
      </c>
      <c r="CR19" s="298">
        <v>0</v>
      </c>
      <c r="CS19" s="298">
        <v>0</v>
      </c>
      <c r="CT19" s="298">
        <v>0</v>
      </c>
      <c r="CU19" s="298">
        <v>0</v>
      </c>
      <c r="CV19" s="298">
        <v>0</v>
      </c>
      <c r="CW19" s="298">
        <v>0</v>
      </c>
      <c r="CX19" s="298">
        <v>0</v>
      </c>
      <c r="CY19" s="298">
        <v>0</v>
      </c>
      <c r="CZ19" s="298">
        <v>0</v>
      </c>
      <c r="DA19" s="298">
        <v>0</v>
      </c>
      <c r="DB19" s="298">
        <v>0</v>
      </c>
      <c r="DC19" s="298">
        <v>0</v>
      </c>
      <c r="DD19" s="298">
        <v>0</v>
      </c>
      <c r="DE19" s="298">
        <v>0</v>
      </c>
      <c r="DF19" s="298">
        <v>0</v>
      </c>
      <c r="DG19" s="298">
        <v>0</v>
      </c>
      <c r="DH19" s="298">
        <v>0</v>
      </c>
      <c r="DI19" s="298">
        <v>0</v>
      </c>
      <c r="DJ19" s="298">
        <v>0</v>
      </c>
      <c r="DK19" s="298">
        <v>0</v>
      </c>
      <c r="DL19" s="298">
        <v>0</v>
      </c>
      <c r="DM19" s="298">
        <v>0</v>
      </c>
      <c r="DN19" s="298">
        <v>0</v>
      </c>
      <c r="DO19" s="298">
        <v>0</v>
      </c>
      <c r="DP19" s="298">
        <v>0</v>
      </c>
      <c r="DQ19" s="298">
        <v>0</v>
      </c>
      <c r="DR19" s="298">
        <v>0</v>
      </c>
      <c r="DS19" s="298">
        <v>0</v>
      </c>
      <c r="DT19" s="298">
        <v>0</v>
      </c>
    </row>
    <row r="20" spans="1:124" ht="23">
      <c r="A20" s="236" t="s">
        <v>107</v>
      </c>
      <c r="B20" s="237" t="s">
        <v>108</v>
      </c>
      <c r="C20" s="237" t="s">
        <v>35</v>
      </c>
      <c r="D20" s="240">
        <f t="shared" ref="D20:D21" si="50">SUM(E20:AN20)</f>
        <v>85907850942232.031</v>
      </c>
      <c r="E20" s="297">
        <f>E4-E5-E7-E8-E14-E16</f>
        <v>91278535241.475464</v>
      </c>
      <c r="F20" s="297">
        <f t="shared" ref="F20:AN20" si="51">F4-F5-F7-F8-F14-F16</f>
        <v>93644521246.794586</v>
      </c>
      <c r="G20" s="297">
        <f t="shared" si="51"/>
        <v>96074892476.972198</v>
      </c>
      <c r="H20" s="297">
        <f>H4-H5-H7-H8-H14-H16</f>
        <v>98571476142.548843</v>
      </c>
      <c r="I20" s="297">
        <f t="shared" si="51"/>
        <v>101136153066.28827</v>
      </c>
      <c r="J20" s="297">
        <f t="shared" si="51"/>
        <v>103770859295.63654</v>
      </c>
      <c r="K20" s="297">
        <f t="shared" si="51"/>
        <v>106477587764.53366</v>
      </c>
      <c r="L20" s="297">
        <f t="shared" si="51"/>
        <v>109258390006.10591</v>
      </c>
      <c r="M20" s="297">
        <f t="shared" si="51"/>
        <v>112115377917.8158</v>
      </c>
      <c r="N20" s="297">
        <f t="shared" si="51"/>
        <v>115050725580.69447</v>
      </c>
      <c r="O20" s="297">
        <f t="shared" si="51"/>
        <v>118066671134.33347</v>
      </c>
      <c r="P20" s="297">
        <f t="shared" si="51"/>
        <v>82014455400623.422</v>
      </c>
      <c r="Q20" s="297">
        <f t="shared" si="51"/>
        <v>83322145553.32785</v>
      </c>
      <c r="R20" s="297">
        <f t="shared" si="51"/>
        <v>85520749525.607544</v>
      </c>
      <c r="S20" s="297">
        <f t="shared" si="51"/>
        <v>87779158317.044983</v>
      </c>
      <c r="T20" s="297">
        <f t="shared" si="51"/>
        <v>90099068353.009201</v>
      </c>
      <c r="U20" s="297">
        <f t="shared" si="51"/>
        <v>92482225814.283829</v>
      </c>
      <c r="V20" s="297">
        <f t="shared" si="51"/>
        <v>94930428133.099197</v>
      </c>
      <c r="W20" s="297">
        <f t="shared" si="51"/>
        <v>97445525534.944611</v>
      </c>
      <c r="X20" s="297">
        <f t="shared" si="51"/>
        <v>100029422627.57809</v>
      </c>
      <c r="Y20" s="297">
        <f t="shared" si="51"/>
        <v>102684080038.6962</v>
      </c>
      <c r="Z20" s="297">
        <f t="shared" si="51"/>
        <v>105411516103.77094</v>
      </c>
      <c r="AA20" s="297">
        <f t="shared" si="51"/>
        <v>108213808605.6091</v>
      </c>
      <c r="AB20" s="297">
        <f t="shared" si="51"/>
        <v>111093096567.23732</v>
      </c>
      <c r="AC20" s="297">
        <f t="shared" si="51"/>
        <v>114051572099.76584</v>
      </c>
      <c r="AD20" s="297">
        <f t="shared" si="51"/>
        <v>117091522306.93665</v>
      </c>
      <c r="AE20" s="297">
        <f t="shared" si="51"/>
        <v>120215271248.11403</v>
      </c>
      <c r="AF20" s="297">
        <f t="shared" si="51"/>
        <v>123425221961.53082</v>
      </c>
      <c r="AG20" s="297">
        <f t="shared" si="51"/>
        <v>126723848549.66058</v>
      </c>
      <c r="AH20" s="297">
        <f t="shared" si="51"/>
        <v>130113698328.64384</v>
      </c>
      <c r="AI20" s="297">
        <f t="shared" si="51"/>
        <v>133597394043.75752</v>
      </c>
      <c r="AJ20" s="297">
        <f t="shared" si="51"/>
        <v>137177636152.97806</v>
      </c>
      <c r="AK20" s="297">
        <f t="shared" si="51"/>
        <v>140857205180.75372</v>
      </c>
      <c r="AL20" s="297">
        <f t="shared" si="51"/>
        <v>144638964144.16693</v>
      </c>
      <c r="AM20" s="297">
        <f t="shared" si="51"/>
        <v>148525861053.73627</v>
      </c>
      <c r="AN20" s="297">
        <f t="shared" si="51"/>
        <v>152520931491.17822</v>
      </c>
      <c r="AO20" s="297">
        <f>AO4-AO5-AO7-AO8-AO14-AO16</f>
        <v>156627291266.52051</v>
      </c>
      <c r="AP20" s="297">
        <f t="shared" ref="AP20:AQ20" si="52">AP4-AP5-AP7-AP8-AP14-AP16</f>
        <v>160848179157.0347</v>
      </c>
      <c r="AQ20" s="297">
        <f t="shared" si="52"/>
        <v>165186899730.5329</v>
      </c>
      <c r="AR20" s="297">
        <f>AR4-AR5-AR7-AR8-AR14-AR16</f>
        <v>169646866255.65192</v>
      </c>
      <c r="AS20" s="297">
        <f t="shared" ref="AS20:BX20" si="53">AS4-AS5-AS7-AS8-AS14-AS16</f>
        <v>174231593701.83179</v>
      </c>
      <c r="AT20" s="297">
        <f t="shared" si="53"/>
        <v>178944701831.77991</v>
      </c>
      <c r="AU20" s="297">
        <f t="shared" si="53"/>
        <v>183789918389.29858</v>
      </c>
      <c r="AV20" s="297">
        <f t="shared" si="53"/>
        <v>188771082385.44504</v>
      </c>
      <c r="AW20" s="297">
        <f t="shared" si="53"/>
        <v>193892147486.0856</v>
      </c>
      <c r="AX20" s="297">
        <f t="shared" si="53"/>
        <v>199157185504.00137</v>
      </c>
      <c r="AY20" s="297">
        <f t="shared" si="53"/>
        <v>204570389998.80173</v>
      </c>
      <c r="AZ20" s="297">
        <f t="shared" si="53"/>
        <v>210136079988.00439</v>
      </c>
      <c r="BA20" s="297">
        <f t="shared" si="53"/>
        <v>215858693772.74573</v>
      </c>
      <c r="BB20" s="297">
        <f t="shared" si="53"/>
        <v>221742832881.69363</v>
      </c>
      <c r="BC20" s="297">
        <f t="shared" si="53"/>
        <v>227793206136.84689</v>
      </c>
      <c r="BD20" s="297">
        <f t="shared" si="53"/>
        <v>234014673845.02109</v>
      </c>
      <c r="BE20" s="297">
        <f t="shared" si="53"/>
        <v>240412242118.94058</v>
      </c>
      <c r="BF20" s="297">
        <f t="shared" si="53"/>
        <v>246991067331.97656</v>
      </c>
      <c r="BG20" s="297">
        <f t="shared" si="53"/>
        <v>253756460710.70203</v>
      </c>
      <c r="BH20" s="297">
        <f t="shared" si="53"/>
        <v>260713893069.56107</v>
      </c>
      <c r="BI20" s="297">
        <f t="shared" si="53"/>
        <v>267868999692.08737</v>
      </c>
      <c r="BJ20" s="297">
        <f t="shared" si="53"/>
        <v>275227585363.24542</v>
      </c>
      <c r="BK20" s="297">
        <f t="shared" si="53"/>
        <v>282795629557.61047</v>
      </c>
      <c r="BL20" s="297">
        <f t="shared" si="53"/>
        <v>290579291788.25214</v>
      </c>
      <c r="BM20" s="297">
        <f t="shared" si="53"/>
        <v>298584907121.33984</v>
      </c>
      <c r="BN20" s="297">
        <f t="shared" si="53"/>
        <v>306819031861.64276</v>
      </c>
      <c r="BO20" s="297">
        <f t="shared" si="53"/>
        <v>315288389414.26501</v>
      </c>
      <c r="BP20" s="297">
        <f t="shared" si="53"/>
        <v>323999916328.11627</v>
      </c>
      <c r="BQ20" s="297">
        <f t="shared" si="53"/>
        <v>332960758526.80011</v>
      </c>
      <c r="BR20" s="297">
        <f t="shared" si="53"/>
        <v>342178277732.77209</v>
      </c>
      <c r="BS20" s="297">
        <f t="shared" si="53"/>
        <v>351660058090.80927</v>
      </c>
      <c r="BT20" s="297">
        <f t="shared" si="53"/>
        <v>361413912997.02039</v>
      </c>
      <c r="BU20" s="297">
        <f t="shared" si="53"/>
        <v>371447892139.82117</v>
      </c>
      <c r="BV20" s="297">
        <f t="shared" si="53"/>
        <v>381770288759.50085</v>
      </c>
      <c r="BW20" s="297">
        <f t="shared" si="53"/>
        <v>392389647133.21674</v>
      </c>
      <c r="BX20" s="297">
        <f t="shared" si="53"/>
        <v>403314770292.46533</v>
      </c>
      <c r="BY20" s="297">
        <f>BY4-BY5-BY7-BY8-BY14-BY16</f>
        <v>414554717980.29999</v>
      </c>
      <c r="BZ20" s="297">
        <f t="shared" ref="BZ20:CA20" si="54">BZ4-BZ5-BZ7-BZ8-BZ14-BZ16</f>
        <v>426118854855.79736</v>
      </c>
      <c r="CA20" s="297">
        <f t="shared" si="54"/>
        <v>438016798953.50494</v>
      </c>
      <c r="CB20" s="297">
        <f>CB4-CB5-CB7-CB8-CB14-CB16</f>
        <v>450258470405.84991</v>
      </c>
      <c r="CC20" s="297">
        <f t="shared" ref="CC20:DH20" si="55">CC4-CC5-CC7-CC8-CC14-CC16</f>
        <v>462854090436.73853</v>
      </c>
      <c r="CD20" s="297">
        <f t="shared" si="55"/>
        <v>475814190634.83087</v>
      </c>
      <c r="CE20" s="297">
        <f t="shared" si="55"/>
        <v>489149622515.24988</v>
      </c>
      <c r="CF20" s="297">
        <f t="shared" si="55"/>
        <v>502871567378.75049</v>
      </c>
      <c r="CG20" s="297">
        <f t="shared" si="55"/>
        <v>516991546477.66382</v>
      </c>
      <c r="CH20" s="297">
        <f t="shared" si="55"/>
        <v>531521431498.22351</v>
      </c>
      <c r="CI20" s="297">
        <f t="shared" si="55"/>
        <v>546473455369.18219</v>
      </c>
      <c r="CJ20" s="297">
        <f t="shared" si="55"/>
        <v>561860223406.93579</v>
      </c>
      <c r="CK20" s="297">
        <f t="shared" si="55"/>
        <v>577694714807.70239</v>
      </c>
      <c r="CL20" s="297">
        <f t="shared" si="55"/>
        <v>593990334497.62219</v>
      </c>
      <c r="CM20" s="297">
        <f t="shared" si="55"/>
        <v>610760865351.99915</v>
      </c>
      <c r="CN20" s="297">
        <f t="shared" si="55"/>
        <v>628020520795.24768</v>
      </c>
      <c r="CO20" s="297">
        <f t="shared" si="55"/>
        <v>645783947793.47998</v>
      </c>
      <c r="CP20" s="297">
        <f t="shared" si="55"/>
        <v>664066240252.0365</v>
      </c>
      <c r="CQ20" s="297">
        <f t="shared" si="55"/>
        <v>682882952830.65894</v>
      </c>
      <c r="CR20" s="297">
        <f t="shared" si="55"/>
        <v>702250115189.3938</v>
      </c>
      <c r="CS20" s="297">
        <f t="shared" si="55"/>
        <v>722184246678.73865</v>
      </c>
      <c r="CT20" s="297">
        <f t="shared" si="55"/>
        <v>742702371487.95398</v>
      </c>
      <c r="CU20" s="297">
        <f t="shared" si="55"/>
        <v>763822034265.91956</v>
      </c>
      <c r="CV20" s="297">
        <f t="shared" si="55"/>
        <v>785561316229.34521</v>
      </c>
      <c r="CW20" s="297">
        <f t="shared" si="55"/>
        <v>807938841773.63574</v>
      </c>
      <c r="CX20" s="297">
        <f t="shared" si="55"/>
        <v>830973835602.16943</v>
      </c>
      <c r="CY20" s="297">
        <f t="shared" si="55"/>
        <v>854686080390.26208</v>
      </c>
      <c r="CZ20" s="297">
        <f t="shared" si="55"/>
        <v>879095975000.59058</v>
      </c>
      <c r="DA20" s="297">
        <f t="shared" si="55"/>
        <v>904224543267.38708</v>
      </c>
      <c r="DB20" s="297">
        <f t="shared" si="55"/>
        <v>930093453367.24463</v>
      </c>
      <c r="DC20" s="297">
        <f t="shared" si="55"/>
        <v>956725037794.96155</v>
      </c>
      <c r="DD20" s="297">
        <f t="shared" si="55"/>
        <v>984142313963.4032</v>
      </c>
      <c r="DE20" s="297">
        <f t="shared" si="55"/>
        <v>1012369005446.9841</v>
      </c>
      <c r="DF20" s="297">
        <f t="shared" si="55"/>
        <v>1041429563888.969</v>
      </c>
      <c r="DG20" s="297">
        <f t="shared" si="55"/>
        <v>1071349191593.4446</v>
      </c>
      <c r="DH20" s="297">
        <f t="shared" si="55"/>
        <v>1102153864823.4585</v>
      </c>
      <c r="DI20" s="297">
        <f>DI4-DI5-DI7-DI8-DI14-DI16</f>
        <v>1133870347827.5076</v>
      </c>
      <c r="DJ20" s="297">
        <f t="shared" ref="DJ20:DK20" si="56">DJ4-DJ5-DJ7-DJ8-DJ14-DJ16</f>
        <v>1166526257617.2488</v>
      </c>
      <c r="DK20" s="297">
        <f t="shared" si="56"/>
        <v>1200150029520.0349</v>
      </c>
      <c r="DL20" s="297">
        <f>DL4-DL5-DL7-DL8-DL14-DL16</f>
        <v>1234770983530.6143</v>
      </c>
      <c r="DM20" s="297">
        <f t="shared" ref="DM20:DT20" si="57">DM4-DM5-DM7-DM8-DM14-DM16</f>
        <v>1270419341487.1011</v>
      </c>
      <c r="DN20" s="297">
        <f t="shared" si="57"/>
        <v>1307126255097.124</v>
      </c>
      <c r="DO20" s="297">
        <f t="shared" si="57"/>
        <v>1344923834840.8557</v>
      </c>
      <c r="DP20" s="297">
        <f t="shared" si="57"/>
        <v>1383845179778.4951</v>
      </c>
      <c r="DQ20" s="297">
        <f t="shared" si="57"/>
        <v>1423924408290.6201</v>
      </c>
      <c r="DR20" s="297">
        <f t="shared" si="57"/>
        <v>1465196689780.7314</v>
      </c>
      <c r="DS20" s="297">
        <f t="shared" si="57"/>
        <v>1507698277370.2493</v>
      </c>
      <c r="DT20" s="297">
        <f t="shared" si="57"/>
        <v>1551466541617.1367</v>
      </c>
    </row>
    <row r="21" spans="1:124" ht="23">
      <c r="A21" s="236" t="s">
        <v>109</v>
      </c>
      <c r="B21" s="265"/>
      <c r="C21" s="237" t="s">
        <v>35</v>
      </c>
      <c r="D21" s="240">
        <f t="shared" si="50"/>
        <v>2116485461139192.8</v>
      </c>
      <c r="E21" s="300">
        <f>E20</f>
        <v>91278535241.475464</v>
      </c>
      <c r="F21" s="300">
        <f t="shared" ref="F21:AN21" si="58">F20+E21</f>
        <v>184923056488.27005</v>
      </c>
      <c r="G21" s="300">
        <f t="shared" si="58"/>
        <v>280997948965.24225</v>
      </c>
      <c r="H21" s="300">
        <f t="shared" si="58"/>
        <v>379569425107.79108</v>
      </c>
      <c r="I21" s="300">
        <f t="shared" si="58"/>
        <v>480705578174.07935</v>
      </c>
      <c r="J21" s="300">
        <f t="shared" si="58"/>
        <v>584476437469.71582</v>
      </c>
      <c r="K21" s="300">
        <f t="shared" si="58"/>
        <v>690954025234.24951</v>
      </c>
      <c r="L21" s="300">
        <f t="shared" si="58"/>
        <v>800212415240.35547</v>
      </c>
      <c r="M21" s="300">
        <f t="shared" si="58"/>
        <v>912327793158.17126</v>
      </c>
      <c r="N21" s="300">
        <f t="shared" si="58"/>
        <v>1027378518738.8657</v>
      </c>
      <c r="O21" s="300">
        <f t="shared" si="58"/>
        <v>1145445189873.1992</v>
      </c>
      <c r="P21" s="300">
        <f t="shared" si="58"/>
        <v>83159900590496.625</v>
      </c>
      <c r="Q21" s="300">
        <f t="shared" si="58"/>
        <v>83243222736049.953</v>
      </c>
      <c r="R21" s="300">
        <f t="shared" si="58"/>
        <v>83328743485575.562</v>
      </c>
      <c r="S21" s="300">
        <f t="shared" si="58"/>
        <v>83416522643892.609</v>
      </c>
      <c r="T21" s="300">
        <f t="shared" si="58"/>
        <v>83506621712245.625</v>
      </c>
      <c r="U21" s="300">
        <f t="shared" si="58"/>
        <v>83599103938059.906</v>
      </c>
      <c r="V21" s="300">
        <f t="shared" si="58"/>
        <v>83694034366193</v>
      </c>
      <c r="W21" s="300">
        <f t="shared" si="58"/>
        <v>83791479891727.938</v>
      </c>
      <c r="X21" s="300">
        <f t="shared" si="58"/>
        <v>83891509314355.516</v>
      </c>
      <c r="Y21" s="300">
        <f t="shared" si="58"/>
        <v>83994193394394.219</v>
      </c>
      <c r="Z21" s="300">
        <f t="shared" si="58"/>
        <v>84099604910497.984</v>
      </c>
      <c r="AA21" s="300">
        <f t="shared" si="58"/>
        <v>84207818719103.594</v>
      </c>
      <c r="AB21" s="300">
        <f t="shared" si="58"/>
        <v>84318911815670.828</v>
      </c>
      <c r="AC21" s="300">
        <f t="shared" si="58"/>
        <v>84432963387770.594</v>
      </c>
      <c r="AD21" s="300">
        <f t="shared" si="58"/>
        <v>84550054910077.531</v>
      </c>
      <c r="AE21" s="300">
        <f t="shared" si="58"/>
        <v>84670270181325.641</v>
      </c>
      <c r="AF21" s="300">
        <f t="shared" si="58"/>
        <v>84793695403287.172</v>
      </c>
      <c r="AG21" s="300">
        <f t="shared" si="58"/>
        <v>84920419251836.828</v>
      </c>
      <c r="AH21" s="300">
        <f t="shared" si="58"/>
        <v>85050532950165.469</v>
      </c>
      <c r="AI21" s="300">
        <f t="shared" si="58"/>
        <v>85184130344209.219</v>
      </c>
      <c r="AJ21" s="300">
        <f t="shared" si="58"/>
        <v>85321307980362.203</v>
      </c>
      <c r="AK21" s="300">
        <f t="shared" si="58"/>
        <v>85462165185542.953</v>
      </c>
      <c r="AL21" s="300">
        <f t="shared" si="58"/>
        <v>85606804149687.125</v>
      </c>
      <c r="AM21" s="300">
        <f t="shared" si="58"/>
        <v>85755330010740.859</v>
      </c>
      <c r="AN21" s="300">
        <f t="shared" si="58"/>
        <v>85907850942232.031</v>
      </c>
      <c r="AO21" s="300">
        <f>AO20</f>
        <v>156627291266.52051</v>
      </c>
      <c r="AP21" s="300">
        <f>AP20+AO21</f>
        <v>317475470423.55518</v>
      </c>
      <c r="AQ21" s="300">
        <f>AQ20+AP21</f>
        <v>482662370154.08807</v>
      </c>
      <c r="AR21" s="300">
        <f t="shared" ref="AR21:DC21" si="59">AR20+AQ21</f>
        <v>652309236409.73999</v>
      </c>
      <c r="AS21" s="300">
        <f t="shared" si="59"/>
        <v>826540830111.57178</v>
      </c>
      <c r="AT21" s="300">
        <f t="shared" si="59"/>
        <v>1005485531943.3517</v>
      </c>
      <c r="AU21" s="300">
        <f t="shared" si="59"/>
        <v>1189275450332.6504</v>
      </c>
      <c r="AV21" s="300">
        <f t="shared" si="59"/>
        <v>1378046532718.0955</v>
      </c>
      <c r="AW21" s="300">
        <f t="shared" si="59"/>
        <v>1571938680204.1812</v>
      </c>
      <c r="AX21" s="300">
        <f t="shared" si="59"/>
        <v>1771095865708.1826</v>
      </c>
      <c r="AY21" s="300">
        <f t="shared" si="59"/>
        <v>1975666255706.9844</v>
      </c>
      <c r="AZ21" s="300">
        <f t="shared" si="59"/>
        <v>2185802335694.9888</v>
      </c>
      <c r="BA21" s="300">
        <f t="shared" si="59"/>
        <v>2401661029467.7344</v>
      </c>
      <c r="BB21" s="300">
        <f t="shared" si="59"/>
        <v>2623403862349.4282</v>
      </c>
      <c r="BC21" s="300">
        <f t="shared" si="59"/>
        <v>2851197068486.2749</v>
      </c>
      <c r="BD21" s="300">
        <f t="shared" si="59"/>
        <v>3085211742331.2959</v>
      </c>
      <c r="BE21" s="300">
        <f t="shared" si="59"/>
        <v>3325623984450.2363</v>
      </c>
      <c r="BF21" s="300">
        <f t="shared" si="59"/>
        <v>3572615051782.2129</v>
      </c>
      <c r="BG21" s="300">
        <f t="shared" si="59"/>
        <v>3826371512492.915</v>
      </c>
      <c r="BH21" s="300">
        <f t="shared" si="59"/>
        <v>4087085405562.4761</v>
      </c>
      <c r="BI21" s="300">
        <f t="shared" si="59"/>
        <v>4354954405254.5635</v>
      </c>
      <c r="BJ21" s="300">
        <f t="shared" si="59"/>
        <v>4630181990617.8086</v>
      </c>
      <c r="BK21" s="300">
        <f t="shared" si="59"/>
        <v>4912977620175.4189</v>
      </c>
      <c r="BL21" s="300">
        <f t="shared" si="59"/>
        <v>5203556911963.6709</v>
      </c>
      <c r="BM21" s="300">
        <f t="shared" si="59"/>
        <v>5502141819085.0107</v>
      </c>
      <c r="BN21" s="300">
        <f t="shared" si="59"/>
        <v>5808960850946.6533</v>
      </c>
      <c r="BO21" s="300">
        <f t="shared" si="59"/>
        <v>6124249240360.918</v>
      </c>
      <c r="BP21" s="300">
        <f t="shared" si="59"/>
        <v>6448249156689.0342</v>
      </c>
      <c r="BQ21" s="300">
        <f t="shared" si="59"/>
        <v>6781209915215.834</v>
      </c>
      <c r="BR21" s="300">
        <f t="shared" si="59"/>
        <v>7123388192948.6064</v>
      </c>
      <c r="BS21" s="300">
        <f t="shared" si="59"/>
        <v>7475048251039.416</v>
      </c>
      <c r="BT21" s="300">
        <f t="shared" si="59"/>
        <v>7836462164036.4365</v>
      </c>
      <c r="BU21" s="300">
        <f t="shared" si="59"/>
        <v>8207910056176.2578</v>
      </c>
      <c r="BV21" s="300">
        <f t="shared" si="59"/>
        <v>8589680344935.7588</v>
      </c>
      <c r="BW21" s="300">
        <f t="shared" si="59"/>
        <v>8982069992068.9746</v>
      </c>
      <c r="BX21" s="300">
        <f t="shared" si="59"/>
        <v>9385384762361.4395</v>
      </c>
      <c r="BY21" s="300">
        <f t="shared" si="59"/>
        <v>9799939480341.7402</v>
      </c>
      <c r="BZ21" s="300">
        <f t="shared" si="59"/>
        <v>10226058335197.537</v>
      </c>
      <c r="CA21" s="300">
        <f t="shared" si="59"/>
        <v>10664075134151.043</v>
      </c>
      <c r="CB21" s="300">
        <f t="shared" si="59"/>
        <v>11114333604556.893</v>
      </c>
      <c r="CC21" s="300">
        <f t="shared" si="59"/>
        <v>11577187694993.631</v>
      </c>
      <c r="CD21" s="300">
        <f t="shared" si="59"/>
        <v>12053001885628.461</v>
      </c>
      <c r="CE21" s="300">
        <f t="shared" si="59"/>
        <v>12542151508143.711</v>
      </c>
      <c r="CF21" s="300">
        <f t="shared" si="59"/>
        <v>13045023075522.461</v>
      </c>
      <c r="CG21" s="300">
        <f t="shared" si="59"/>
        <v>13562014622000.125</v>
      </c>
      <c r="CH21" s="300">
        <f t="shared" si="59"/>
        <v>14093536053498.348</v>
      </c>
      <c r="CI21" s="300">
        <f t="shared" si="59"/>
        <v>14640009508867.529</v>
      </c>
      <c r="CJ21" s="300">
        <f t="shared" si="59"/>
        <v>15201869732274.465</v>
      </c>
      <c r="CK21" s="300">
        <f t="shared" si="59"/>
        <v>15779564447082.168</v>
      </c>
      <c r="CL21" s="300">
        <f t="shared" si="59"/>
        <v>16373554781579.791</v>
      </c>
      <c r="CM21" s="300">
        <f t="shared" si="59"/>
        <v>16984315646931.791</v>
      </c>
      <c r="CN21" s="300">
        <f t="shared" si="59"/>
        <v>17612336167727.039</v>
      </c>
      <c r="CO21" s="300">
        <f t="shared" si="59"/>
        <v>18258120115520.52</v>
      </c>
      <c r="CP21" s="300">
        <f t="shared" si="59"/>
        <v>18922186355772.555</v>
      </c>
      <c r="CQ21" s="300">
        <f t="shared" si="59"/>
        <v>19605069308603.215</v>
      </c>
      <c r="CR21" s="300">
        <f t="shared" si="59"/>
        <v>20307319423792.609</v>
      </c>
      <c r="CS21" s="300">
        <f t="shared" si="59"/>
        <v>21029503670471.348</v>
      </c>
      <c r="CT21" s="300">
        <f t="shared" si="59"/>
        <v>21772206041959.301</v>
      </c>
      <c r="CU21" s="300">
        <f t="shared" si="59"/>
        <v>22536028076225.219</v>
      </c>
      <c r="CV21" s="300">
        <f t="shared" si="59"/>
        <v>23321589392454.562</v>
      </c>
      <c r="CW21" s="300">
        <f t="shared" si="59"/>
        <v>24129528234228.199</v>
      </c>
      <c r="CX21" s="300">
        <f t="shared" si="59"/>
        <v>24960502069830.367</v>
      </c>
      <c r="CY21" s="300">
        <f t="shared" si="59"/>
        <v>25815188150220.629</v>
      </c>
      <c r="CZ21" s="300">
        <f t="shared" si="59"/>
        <v>26694284125221.219</v>
      </c>
      <c r="DA21" s="300">
        <f t="shared" si="59"/>
        <v>27598508668488.605</v>
      </c>
      <c r="DB21" s="300">
        <f t="shared" si="59"/>
        <v>28528602121855.852</v>
      </c>
      <c r="DC21" s="300">
        <f t="shared" si="59"/>
        <v>29485327159650.812</v>
      </c>
      <c r="DD21" s="300">
        <f t="shared" ref="DD21:DT21" si="60">DD20+DC21</f>
        <v>30469469473614.215</v>
      </c>
      <c r="DE21" s="300">
        <f t="shared" si="60"/>
        <v>31481838479061.199</v>
      </c>
      <c r="DF21" s="300">
        <f t="shared" si="60"/>
        <v>32523268042950.168</v>
      </c>
      <c r="DG21" s="300">
        <f t="shared" si="60"/>
        <v>33594617234543.613</v>
      </c>
      <c r="DH21" s="300">
        <f t="shared" si="60"/>
        <v>34696771099367.07</v>
      </c>
      <c r="DI21" s="300">
        <f t="shared" si="60"/>
        <v>35830641447194.578</v>
      </c>
      <c r="DJ21" s="300">
        <f t="shared" si="60"/>
        <v>36997167704811.828</v>
      </c>
      <c r="DK21" s="300">
        <f t="shared" si="60"/>
        <v>38197317734331.859</v>
      </c>
      <c r="DL21" s="300">
        <f t="shared" si="60"/>
        <v>39432088717862.477</v>
      </c>
      <c r="DM21" s="300">
        <f t="shared" si="60"/>
        <v>40702508059349.578</v>
      </c>
      <c r="DN21" s="300">
        <f t="shared" si="60"/>
        <v>42009634314446.703</v>
      </c>
      <c r="DO21" s="300">
        <f t="shared" si="60"/>
        <v>43354558149287.562</v>
      </c>
      <c r="DP21" s="300">
        <f t="shared" si="60"/>
        <v>44738403329066.055</v>
      </c>
      <c r="DQ21" s="300">
        <f t="shared" si="60"/>
        <v>46162327737356.672</v>
      </c>
      <c r="DR21" s="300">
        <f t="shared" si="60"/>
        <v>47627524427137.406</v>
      </c>
      <c r="DS21" s="300">
        <f t="shared" si="60"/>
        <v>49135222704507.656</v>
      </c>
      <c r="DT21" s="300">
        <f t="shared" si="60"/>
        <v>50686689246124.797</v>
      </c>
    </row>
  </sheetData>
  <mergeCells count="11">
    <mergeCell ref="BA1:BL1"/>
    <mergeCell ref="A1:D1"/>
    <mergeCell ref="E1:P1"/>
    <mergeCell ref="Q1:AB1"/>
    <mergeCell ref="AC1:AN1"/>
    <mergeCell ref="AO1:AZ1"/>
    <mergeCell ref="BM1:BX1"/>
    <mergeCell ref="BY1:CJ1"/>
    <mergeCell ref="CK1:CV1"/>
    <mergeCell ref="CW1:DH1"/>
    <mergeCell ref="DI1:DT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B1:DU54"/>
  <sheetViews>
    <sheetView zoomScale="70" workbookViewId="0">
      <pane xSplit="5" ySplit="4" topLeftCell="DJ42" activePane="bottomRight" state="frozen"/>
      <selection activeCell="F19" sqref="F19"/>
      <selection pane="topRight"/>
      <selection pane="bottomLeft"/>
      <selection pane="bottomRight" activeCell="F40" sqref="F40:DU40"/>
    </sheetView>
  </sheetViews>
  <sheetFormatPr baseColWidth="10" defaultColWidth="8.83203125" defaultRowHeight="15"/>
  <cols>
    <col min="2" max="2" width="37.6640625" customWidth="1"/>
    <col min="5" max="5" width="16.5" customWidth="1"/>
    <col min="6" max="125" width="16.33203125" customWidth="1"/>
  </cols>
  <sheetData>
    <row r="1" spans="2:125" ht="16" thickBot="1"/>
    <row r="2" spans="2:125" ht="16">
      <c r="B2" s="358" t="s">
        <v>110</v>
      </c>
      <c r="C2" s="358"/>
      <c r="D2" s="358"/>
      <c r="E2" s="358"/>
      <c r="F2" s="333" t="s">
        <v>23</v>
      </c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6"/>
      <c r="R2" s="333" t="s">
        <v>24</v>
      </c>
      <c r="S2" s="334"/>
      <c r="T2" s="334"/>
      <c r="U2" s="334"/>
      <c r="V2" s="334"/>
      <c r="W2" s="334"/>
      <c r="X2" s="334"/>
      <c r="Y2" s="334"/>
      <c r="Z2" s="334"/>
      <c r="AA2" s="334"/>
      <c r="AB2" s="334"/>
      <c r="AC2" s="336"/>
      <c r="AD2" s="333" t="s">
        <v>25</v>
      </c>
      <c r="AE2" s="334"/>
      <c r="AF2" s="334"/>
      <c r="AG2" s="334"/>
      <c r="AH2" s="334"/>
      <c r="AI2" s="334"/>
      <c r="AJ2" s="334"/>
      <c r="AK2" s="334"/>
      <c r="AL2" s="334"/>
      <c r="AM2" s="334"/>
      <c r="AN2" s="334"/>
      <c r="AO2" s="335"/>
      <c r="AP2" s="333" t="s">
        <v>346</v>
      </c>
      <c r="AQ2" s="334"/>
      <c r="AR2" s="334"/>
      <c r="AS2" s="334"/>
      <c r="AT2" s="334"/>
      <c r="AU2" s="334"/>
      <c r="AV2" s="334"/>
      <c r="AW2" s="334"/>
      <c r="AX2" s="334"/>
      <c r="AY2" s="334"/>
      <c r="AZ2" s="334"/>
      <c r="BA2" s="336"/>
      <c r="BB2" s="333" t="s">
        <v>347</v>
      </c>
      <c r="BC2" s="334"/>
      <c r="BD2" s="334"/>
      <c r="BE2" s="334"/>
      <c r="BF2" s="334"/>
      <c r="BG2" s="334"/>
      <c r="BH2" s="334"/>
      <c r="BI2" s="334"/>
      <c r="BJ2" s="334"/>
      <c r="BK2" s="334"/>
      <c r="BL2" s="334"/>
      <c r="BM2" s="336"/>
      <c r="BN2" s="333" t="s">
        <v>348</v>
      </c>
      <c r="BO2" s="334"/>
      <c r="BP2" s="334"/>
      <c r="BQ2" s="334"/>
      <c r="BR2" s="334"/>
      <c r="BS2" s="334"/>
      <c r="BT2" s="334"/>
      <c r="BU2" s="334"/>
      <c r="BV2" s="334"/>
      <c r="BW2" s="334"/>
      <c r="BX2" s="334"/>
      <c r="BY2" s="335"/>
      <c r="BZ2" s="333" t="s">
        <v>349</v>
      </c>
      <c r="CA2" s="334"/>
      <c r="CB2" s="334"/>
      <c r="CC2" s="334"/>
      <c r="CD2" s="334"/>
      <c r="CE2" s="334"/>
      <c r="CF2" s="334"/>
      <c r="CG2" s="334"/>
      <c r="CH2" s="334"/>
      <c r="CI2" s="334"/>
      <c r="CJ2" s="334"/>
      <c r="CK2" s="336"/>
      <c r="CL2" s="333" t="s">
        <v>350</v>
      </c>
      <c r="CM2" s="334"/>
      <c r="CN2" s="334"/>
      <c r="CO2" s="334"/>
      <c r="CP2" s="334"/>
      <c r="CQ2" s="334"/>
      <c r="CR2" s="334"/>
      <c r="CS2" s="334"/>
      <c r="CT2" s="334"/>
      <c r="CU2" s="334"/>
      <c r="CV2" s="334"/>
      <c r="CW2" s="336"/>
      <c r="CX2" s="333" t="s">
        <v>351</v>
      </c>
      <c r="CY2" s="334"/>
      <c r="CZ2" s="334"/>
      <c r="DA2" s="334"/>
      <c r="DB2" s="334"/>
      <c r="DC2" s="334"/>
      <c r="DD2" s="334"/>
      <c r="DE2" s="334"/>
      <c r="DF2" s="334"/>
      <c r="DG2" s="334"/>
      <c r="DH2" s="334"/>
      <c r="DI2" s="335"/>
      <c r="DJ2" s="333" t="s">
        <v>352</v>
      </c>
      <c r="DK2" s="334"/>
      <c r="DL2" s="334"/>
      <c r="DM2" s="334"/>
      <c r="DN2" s="334"/>
      <c r="DO2" s="334"/>
      <c r="DP2" s="334"/>
      <c r="DQ2" s="334"/>
      <c r="DR2" s="334"/>
      <c r="DS2" s="334"/>
      <c r="DT2" s="334"/>
      <c r="DU2" s="336"/>
    </row>
    <row r="3" spans="2:125" ht="16">
      <c r="F3" s="19">
        <v>1</v>
      </c>
      <c r="G3" s="19">
        <v>2</v>
      </c>
      <c r="H3" s="19">
        <v>3</v>
      </c>
      <c r="I3" s="19">
        <v>4</v>
      </c>
      <c r="J3" s="19">
        <v>5</v>
      </c>
      <c r="K3" s="19">
        <v>6</v>
      </c>
      <c r="L3" s="19">
        <v>7</v>
      </c>
      <c r="M3" s="19">
        <v>8</v>
      </c>
      <c r="N3" s="19">
        <v>9</v>
      </c>
      <c r="O3" s="19">
        <v>10</v>
      </c>
      <c r="P3" s="19">
        <v>11</v>
      </c>
      <c r="Q3" s="19">
        <v>12</v>
      </c>
      <c r="R3" s="19">
        <v>1</v>
      </c>
      <c r="S3" s="19">
        <v>2</v>
      </c>
      <c r="T3" s="19">
        <v>3</v>
      </c>
      <c r="U3" s="19">
        <v>4</v>
      </c>
      <c r="V3" s="19">
        <v>5</v>
      </c>
      <c r="W3" s="19">
        <v>6</v>
      </c>
      <c r="X3" s="19">
        <v>7</v>
      </c>
      <c r="Y3" s="19">
        <v>8</v>
      </c>
      <c r="Z3" s="19">
        <v>9</v>
      </c>
      <c r="AA3" s="19">
        <v>10</v>
      </c>
      <c r="AB3" s="19">
        <v>11</v>
      </c>
      <c r="AC3" s="19">
        <v>12</v>
      </c>
      <c r="AD3" s="19">
        <v>1</v>
      </c>
      <c r="AE3" s="19">
        <v>2</v>
      </c>
      <c r="AF3" s="19">
        <v>3</v>
      </c>
      <c r="AG3" s="19">
        <v>4</v>
      </c>
      <c r="AH3" s="19">
        <v>5</v>
      </c>
      <c r="AI3" s="19">
        <v>6</v>
      </c>
      <c r="AJ3" s="19">
        <v>7</v>
      </c>
      <c r="AK3" s="19">
        <v>8</v>
      </c>
      <c r="AL3" s="19">
        <v>9</v>
      </c>
      <c r="AM3" s="19">
        <v>10</v>
      </c>
      <c r="AN3" s="19">
        <v>11</v>
      </c>
      <c r="AO3" s="20">
        <v>12</v>
      </c>
      <c r="AP3" s="19">
        <v>1</v>
      </c>
      <c r="AQ3" s="19">
        <v>2</v>
      </c>
      <c r="AR3" s="19">
        <v>3</v>
      </c>
      <c r="AS3" s="19">
        <v>4</v>
      </c>
      <c r="AT3" s="19">
        <v>5</v>
      </c>
      <c r="AU3" s="19">
        <v>6</v>
      </c>
      <c r="AV3" s="19">
        <v>7</v>
      </c>
      <c r="AW3" s="19">
        <v>8</v>
      </c>
      <c r="AX3" s="19">
        <v>9</v>
      </c>
      <c r="AY3" s="19">
        <v>10</v>
      </c>
      <c r="AZ3" s="19">
        <v>11</v>
      </c>
      <c r="BA3" s="19">
        <v>12</v>
      </c>
      <c r="BB3" s="19">
        <v>1</v>
      </c>
      <c r="BC3" s="19">
        <v>2</v>
      </c>
      <c r="BD3" s="19">
        <v>3</v>
      </c>
      <c r="BE3" s="19">
        <v>4</v>
      </c>
      <c r="BF3" s="19">
        <v>5</v>
      </c>
      <c r="BG3" s="19">
        <v>6</v>
      </c>
      <c r="BH3" s="19">
        <v>7</v>
      </c>
      <c r="BI3" s="19">
        <v>8</v>
      </c>
      <c r="BJ3" s="19">
        <v>9</v>
      </c>
      <c r="BK3" s="19">
        <v>10</v>
      </c>
      <c r="BL3" s="19">
        <v>11</v>
      </c>
      <c r="BM3" s="19">
        <v>12</v>
      </c>
      <c r="BN3" s="19">
        <v>1</v>
      </c>
      <c r="BO3" s="19">
        <v>2</v>
      </c>
      <c r="BP3" s="19">
        <v>3</v>
      </c>
      <c r="BQ3" s="19">
        <v>4</v>
      </c>
      <c r="BR3" s="19">
        <v>5</v>
      </c>
      <c r="BS3" s="19">
        <v>6</v>
      </c>
      <c r="BT3" s="19">
        <v>7</v>
      </c>
      <c r="BU3" s="19">
        <v>8</v>
      </c>
      <c r="BV3" s="19">
        <v>9</v>
      </c>
      <c r="BW3" s="19">
        <v>10</v>
      </c>
      <c r="BX3" s="19">
        <v>11</v>
      </c>
      <c r="BY3" s="20">
        <v>12</v>
      </c>
      <c r="BZ3" s="19">
        <v>1</v>
      </c>
      <c r="CA3" s="19">
        <v>2</v>
      </c>
      <c r="CB3" s="19">
        <v>3</v>
      </c>
      <c r="CC3" s="19">
        <v>4</v>
      </c>
      <c r="CD3" s="19">
        <v>5</v>
      </c>
      <c r="CE3" s="19">
        <v>6</v>
      </c>
      <c r="CF3" s="19">
        <v>7</v>
      </c>
      <c r="CG3" s="19">
        <v>8</v>
      </c>
      <c r="CH3" s="19">
        <v>9</v>
      </c>
      <c r="CI3" s="19">
        <v>10</v>
      </c>
      <c r="CJ3" s="19">
        <v>11</v>
      </c>
      <c r="CK3" s="19">
        <v>12</v>
      </c>
      <c r="CL3" s="19">
        <v>1</v>
      </c>
      <c r="CM3" s="19">
        <v>2</v>
      </c>
      <c r="CN3" s="19">
        <v>3</v>
      </c>
      <c r="CO3" s="19">
        <v>4</v>
      </c>
      <c r="CP3" s="19">
        <v>5</v>
      </c>
      <c r="CQ3" s="19">
        <v>6</v>
      </c>
      <c r="CR3" s="19">
        <v>7</v>
      </c>
      <c r="CS3" s="19">
        <v>8</v>
      </c>
      <c r="CT3" s="19">
        <v>9</v>
      </c>
      <c r="CU3" s="19">
        <v>10</v>
      </c>
      <c r="CV3" s="19">
        <v>11</v>
      </c>
      <c r="CW3" s="19">
        <v>12</v>
      </c>
      <c r="CX3" s="19">
        <v>1</v>
      </c>
      <c r="CY3" s="19">
        <v>2</v>
      </c>
      <c r="CZ3" s="19">
        <v>3</v>
      </c>
      <c r="DA3" s="19">
        <v>4</v>
      </c>
      <c r="DB3" s="19">
        <v>5</v>
      </c>
      <c r="DC3" s="19">
        <v>6</v>
      </c>
      <c r="DD3" s="19">
        <v>7</v>
      </c>
      <c r="DE3" s="19">
        <v>8</v>
      </c>
      <c r="DF3" s="19">
        <v>9</v>
      </c>
      <c r="DG3" s="19">
        <v>10</v>
      </c>
      <c r="DH3" s="19">
        <v>11</v>
      </c>
      <c r="DI3" s="20">
        <v>12</v>
      </c>
      <c r="DJ3" s="19">
        <v>1</v>
      </c>
      <c r="DK3" s="19">
        <v>2</v>
      </c>
      <c r="DL3" s="19">
        <v>3</v>
      </c>
      <c r="DM3" s="19">
        <v>4</v>
      </c>
      <c r="DN3" s="19">
        <v>5</v>
      </c>
      <c r="DO3" s="19">
        <v>6</v>
      </c>
      <c r="DP3" s="19">
        <v>7</v>
      </c>
      <c r="DQ3" s="19">
        <v>8</v>
      </c>
      <c r="DR3" s="19">
        <v>9</v>
      </c>
      <c r="DS3" s="19">
        <v>10</v>
      </c>
      <c r="DT3" s="19">
        <v>11</v>
      </c>
      <c r="DU3" s="19">
        <v>12</v>
      </c>
    </row>
    <row r="4" spans="2:125">
      <c r="B4" s="84" t="s">
        <v>73</v>
      </c>
      <c r="C4" s="5" t="s">
        <v>74</v>
      </c>
      <c r="D4" s="5" t="s">
        <v>54</v>
      </c>
      <c r="E4" s="5" t="s">
        <v>27</v>
      </c>
      <c r="F4" s="102">
        <v>1</v>
      </c>
      <c r="G4" s="102">
        <v>2</v>
      </c>
      <c r="H4" s="102">
        <v>3</v>
      </c>
      <c r="I4" s="102">
        <v>4</v>
      </c>
      <c r="J4" s="102">
        <v>5</v>
      </c>
      <c r="K4" s="102">
        <v>6</v>
      </c>
      <c r="L4" s="102">
        <v>7</v>
      </c>
      <c r="M4" s="102">
        <v>8</v>
      </c>
      <c r="N4" s="102">
        <v>9</v>
      </c>
      <c r="O4" s="102">
        <v>10</v>
      </c>
      <c r="P4" s="102">
        <v>11</v>
      </c>
      <c r="Q4" s="102">
        <v>12</v>
      </c>
      <c r="R4" s="102">
        <v>13</v>
      </c>
      <c r="S4" s="102">
        <v>14</v>
      </c>
      <c r="T4" s="102">
        <v>15</v>
      </c>
      <c r="U4" s="102">
        <v>16</v>
      </c>
      <c r="V4" s="102">
        <v>17</v>
      </c>
      <c r="W4" s="102">
        <v>18</v>
      </c>
      <c r="X4" s="102">
        <v>19</v>
      </c>
      <c r="Y4" s="102">
        <v>20</v>
      </c>
      <c r="Z4" s="102">
        <v>21</v>
      </c>
      <c r="AA4" s="102">
        <v>22</v>
      </c>
      <c r="AB4" s="102">
        <v>23</v>
      </c>
      <c r="AC4" s="102">
        <v>24</v>
      </c>
      <c r="AD4" s="102">
        <v>25</v>
      </c>
      <c r="AE4" s="102">
        <v>26</v>
      </c>
      <c r="AF4" s="102">
        <v>27</v>
      </c>
      <c r="AG4" s="102">
        <v>28</v>
      </c>
      <c r="AH4" s="102">
        <v>29</v>
      </c>
      <c r="AI4" s="102">
        <v>30</v>
      </c>
      <c r="AJ4" s="102">
        <v>31</v>
      </c>
      <c r="AK4" s="102">
        <v>32</v>
      </c>
      <c r="AL4" s="102">
        <v>33</v>
      </c>
      <c r="AM4" s="102">
        <v>34</v>
      </c>
      <c r="AN4" s="102">
        <v>35</v>
      </c>
      <c r="AO4" s="102">
        <v>36</v>
      </c>
      <c r="AP4" s="102">
        <v>1</v>
      </c>
      <c r="AQ4" s="102">
        <v>2</v>
      </c>
      <c r="AR4" s="102">
        <v>3</v>
      </c>
      <c r="AS4" s="102">
        <v>4</v>
      </c>
      <c r="AT4" s="102">
        <v>5</v>
      </c>
      <c r="AU4" s="102">
        <v>6</v>
      </c>
      <c r="AV4" s="102">
        <v>7</v>
      </c>
      <c r="AW4" s="102">
        <v>8</v>
      </c>
      <c r="AX4" s="102">
        <v>9</v>
      </c>
      <c r="AY4" s="102">
        <v>10</v>
      </c>
      <c r="AZ4" s="102">
        <v>11</v>
      </c>
      <c r="BA4" s="102">
        <v>12</v>
      </c>
      <c r="BB4" s="102">
        <v>13</v>
      </c>
      <c r="BC4" s="102">
        <v>14</v>
      </c>
      <c r="BD4" s="102">
        <v>15</v>
      </c>
      <c r="BE4" s="102">
        <v>16</v>
      </c>
      <c r="BF4" s="102">
        <v>17</v>
      </c>
      <c r="BG4" s="102">
        <v>18</v>
      </c>
      <c r="BH4" s="102">
        <v>19</v>
      </c>
      <c r="BI4" s="102">
        <v>20</v>
      </c>
      <c r="BJ4" s="102">
        <v>21</v>
      </c>
      <c r="BK4" s="102">
        <v>22</v>
      </c>
      <c r="BL4" s="102">
        <v>23</v>
      </c>
      <c r="BM4" s="102">
        <v>24</v>
      </c>
      <c r="BN4" s="102">
        <v>25</v>
      </c>
      <c r="BO4" s="102">
        <v>26</v>
      </c>
      <c r="BP4" s="102">
        <v>27</v>
      </c>
      <c r="BQ4" s="102">
        <v>28</v>
      </c>
      <c r="BR4" s="102">
        <v>29</v>
      </c>
      <c r="BS4" s="102">
        <v>30</v>
      </c>
      <c r="BT4" s="102">
        <v>31</v>
      </c>
      <c r="BU4" s="102">
        <v>32</v>
      </c>
      <c r="BV4" s="102">
        <v>33</v>
      </c>
      <c r="BW4" s="102">
        <v>34</v>
      </c>
      <c r="BX4" s="102">
        <v>35</v>
      </c>
      <c r="BY4" s="102">
        <v>36</v>
      </c>
      <c r="BZ4" s="102">
        <v>1</v>
      </c>
      <c r="CA4" s="102">
        <v>2</v>
      </c>
      <c r="CB4" s="102">
        <v>3</v>
      </c>
      <c r="CC4" s="102">
        <v>4</v>
      </c>
      <c r="CD4" s="102">
        <v>5</v>
      </c>
      <c r="CE4" s="102">
        <v>6</v>
      </c>
      <c r="CF4" s="102">
        <v>7</v>
      </c>
      <c r="CG4" s="102">
        <v>8</v>
      </c>
      <c r="CH4" s="102">
        <v>9</v>
      </c>
      <c r="CI4" s="102">
        <v>10</v>
      </c>
      <c r="CJ4" s="102">
        <v>11</v>
      </c>
      <c r="CK4" s="102">
        <v>12</v>
      </c>
      <c r="CL4" s="102">
        <v>13</v>
      </c>
      <c r="CM4" s="102">
        <v>14</v>
      </c>
      <c r="CN4" s="102">
        <v>15</v>
      </c>
      <c r="CO4" s="102">
        <v>16</v>
      </c>
      <c r="CP4" s="102">
        <v>17</v>
      </c>
      <c r="CQ4" s="102">
        <v>18</v>
      </c>
      <c r="CR4" s="102">
        <v>19</v>
      </c>
      <c r="CS4" s="102">
        <v>20</v>
      </c>
      <c r="CT4" s="102">
        <v>21</v>
      </c>
      <c r="CU4" s="102">
        <v>22</v>
      </c>
      <c r="CV4" s="102">
        <v>23</v>
      </c>
      <c r="CW4" s="102">
        <v>24</v>
      </c>
      <c r="CX4" s="102">
        <v>25</v>
      </c>
      <c r="CY4" s="102">
        <v>26</v>
      </c>
      <c r="CZ4" s="102">
        <v>27</v>
      </c>
      <c r="DA4" s="102">
        <v>28</v>
      </c>
      <c r="DB4" s="102">
        <v>29</v>
      </c>
      <c r="DC4" s="102">
        <v>30</v>
      </c>
      <c r="DD4" s="102">
        <v>31</v>
      </c>
      <c r="DE4" s="102">
        <v>32</v>
      </c>
      <c r="DF4" s="102">
        <v>33</v>
      </c>
      <c r="DG4" s="102">
        <v>34</v>
      </c>
      <c r="DH4" s="102">
        <v>35</v>
      </c>
      <c r="DI4" s="102">
        <v>36</v>
      </c>
      <c r="DJ4" s="102">
        <v>1</v>
      </c>
      <c r="DK4" s="102">
        <v>2</v>
      </c>
      <c r="DL4" s="102">
        <v>3</v>
      </c>
      <c r="DM4" s="102">
        <v>4</v>
      </c>
      <c r="DN4" s="102">
        <v>5</v>
      </c>
      <c r="DO4" s="102">
        <v>6</v>
      </c>
      <c r="DP4" s="102">
        <v>7</v>
      </c>
      <c r="DQ4" s="102">
        <v>8</v>
      </c>
      <c r="DR4" s="102">
        <v>9</v>
      </c>
      <c r="DS4" s="102">
        <v>10</v>
      </c>
      <c r="DT4" s="102">
        <v>11</v>
      </c>
      <c r="DU4" s="102">
        <v>12</v>
      </c>
    </row>
    <row r="5" spans="2:125" ht="28">
      <c r="B5" s="103" t="s">
        <v>111</v>
      </c>
      <c r="C5" s="77"/>
      <c r="D5" s="104"/>
      <c r="E5" s="105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6"/>
      <c r="CR5" s="56"/>
      <c r="CS5" s="56"/>
      <c r="CT5" s="56"/>
      <c r="CU5" s="56"/>
      <c r="CV5" s="56"/>
      <c r="CW5" s="56"/>
      <c r="CX5" s="56"/>
      <c r="CY5" s="56"/>
      <c r="CZ5" s="56"/>
      <c r="DA5" s="56"/>
      <c r="DB5" s="56"/>
      <c r="DC5" s="56"/>
      <c r="DD5" s="56"/>
      <c r="DE5" s="56"/>
      <c r="DF5" s="56"/>
      <c r="DG5" s="56"/>
      <c r="DH5" s="56"/>
      <c r="DI5" s="56"/>
      <c r="DJ5" s="56"/>
      <c r="DK5" s="56"/>
      <c r="DL5" s="56"/>
      <c r="DM5" s="56"/>
      <c r="DN5" s="56"/>
      <c r="DO5" s="56"/>
      <c r="DP5" s="56"/>
      <c r="DQ5" s="56"/>
      <c r="DR5" s="56"/>
      <c r="DS5" s="56"/>
      <c r="DT5" s="56"/>
      <c r="DU5" s="56"/>
    </row>
    <row r="6" spans="2:125">
      <c r="B6" s="106" t="s">
        <v>112</v>
      </c>
      <c r="C6" s="107" t="s">
        <v>113</v>
      </c>
      <c r="D6" s="108" t="s">
        <v>35</v>
      </c>
      <c r="E6" s="109">
        <f>SUM(F6:DU6)</f>
        <v>57707737162161.562</v>
      </c>
      <c r="F6" s="110">
        <f>F8+F9+F10+F11</f>
        <v>0</v>
      </c>
      <c r="G6" s="110">
        <f t="shared" ref="G6:BR6" si="0">G8+G9+G10+G11</f>
        <v>0</v>
      </c>
      <c r="H6" s="110">
        <f t="shared" si="0"/>
        <v>0</v>
      </c>
      <c r="I6" s="110">
        <f t="shared" si="0"/>
        <v>0</v>
      </c>
      <c r="J6" s="110">
        <f t="shared" si="0"/>
        <v>0</v>
      </c>
      <c r="K6" s="110">
        <f t="shared" si="0"/>
        <v>0</v>
      </c>
      <c r="L6" s="110">
        <f t="shared" si="0"/>
        <v>0</v>
      </c>
      <c r="M6" s="110">
        <f t="shared" si="0"/>
        <v>0</v>
      </c>
      <c r="N6" s="110">
        <f t="shared" si="0"/>
        <v>0</v>
      </c>
      <c r="O6" s="110">
        <f t="shared" si="0"/>
        <v>0</v>
      </c>
      <c r="P6" s="110">
        <f t="shared" si="0"/>
        <v>0</v>
      </c>
      <c r="Q6" s="110">
        <f t="shared" si="0"/>
        <v>0</v>
      </c>
      <c r="R6" s="110">
        <f t="shared" si="0"/>
        <v>91278535241.475464</v>
      </c>
      <c r="S6" s="110">
        <f t="shared" si="0"/>
        <v>93644521246.794586</v>
      </c>
      <c r="T6" s="110">
        <f t="shared" si="0"/>
        <v>96074892476.972198</v>
      </c>
      <c r="U6" s="110">
        <f t="shared" si="0"/>
        <v>98571476142.548843</v>
      </c>
      <c r="V6" s="110">
        <f t="shared" si="0"/>
        <v>101136153066.28827</v>
      </c>
      <c r="W6" s="110">
        <f t="shared" si="0"/>
        <v>103770859295.63654</v>
      </c>
      <c r="X6" s="110">
        <f t="shared" si="0"/>
        <v>106477587764.53366</v>
      </c>
      <c r="Y6" s="110">
        <f t="shared" si="0"/>
        <v>109258390006.10591</v>
      </c>
      <c r="Z6" s="110">
        <f t="shared" si="0"/>
        <v>112115377917.8158</v>
      </c>
      <c r="AA6" s="110">
        <f t="shared" si="0"/>
        <v>115050725580.69447</v>
      </c>
      <c r="AB6" s="110">
        <f t="shared" si="0"/>
        <v>118066671134.33347</v>
      </c>
      <c r="AC6" s="110">
        <f t="shared" si="0"/>
        <v>121165518709.36453</v>
      </c>
      <c r="AD6" s="110">
        <f t="shared" si="0"/>
        <v>124349640419.20969</v>
      </c>
      <c r="AE6" s="110">
        <f t="shared" si="0"/>
        <v>127621478412.94052</v>
      </c>
      <c r="AF6" s="110">
        <f t="shared" si="0"/>
        <v>130983546991.14232</v>
      </c>
      <c r="AG6" s="110">
        <f t="shared" si="0"/>
        <v>134438434786.73795</v>
      </c>
      <c r="AH6" s="110">
        <f t="shared" si="0"/>
        <v>137988807012.78815</v>
      </c>
      <c r="AI6" s="110">
        <f t="shared" si="0"/>
        <v>141637407779.34702</v>
      </c>
      <c r="AJ6" s="110">
        <f t="shared" si="0"/>
        <v>145387062481.51724</v>
      </c>
      <c r="AK6" s="110">
        <f t="shared" si="0"/>
        <v>149240680260.91635</v>
      </c>
      <c r="AL6" s="110">
        <f t="shared" si="0"/>
        <v>153201256542.83444</v>
      </c>
      <c r="AM6" s="110">
        <f t="shared" si="0"/>
        <v>157271875651.43488</v>
      </c>
      <c r="AN6" s="110">
        <f t="shared" si="0"/>
        <v>161455713505.42404</v>
      </c>
      <c r="AO6" s="110">
        <f t="shared" si="0"/>
        <v>165756040396.6908</v>
      </c>
      <c r="AP6" s="110">
        <f t="shared" si="0"/>
        <v>170176223854.4953</v>
      </c>
      <c r="AQ6" s="110">
        <f t="shared" si="0"/>
        <v>174719731597.86774</v>
      </c>
      <c r="AR6" s="110">
        <f t="shared" si="0"/>
        <v>179390134578.96024</v>
      </c>
      <c r="AS6" s="110">
        <f t="shared" si="0"/>
        <v>184191110120.18152</v>
      </c>
      <c r="AT6" s="110">
        <f t="shared" si="0"/>
        <v>189126445148.03214</v>
      </c>
      <c r="AU6" s="110">
        <f t="shared" si="0"/>
        <v>194200039526.65012</v>
      </c>
      <c r="AV6" s="110">
        <f t="shared" si="0"/>
        <v>199415909494.17014</v>
      </c>
      <c r="AW6" s="110">
        <f t="shared" si="0"/>
        <v>204778191205.0972</v>
      </c>
      <c r="AX6" s="110">
        <f t="shared" si="0"/>
        <v>210291144381.9964</v>
      </c>
      <c r="AY6" s="110">
        <f t="shared" si="0"/>
        <v>215959156079.90256</v>
      </c>
      <c r="AZ6" s="110">
        <f t="shared" si="0"/>
        <v>221786744566.96155</v>
      </c>
      <c r="BA6" s="110">
        <f t="shared" si="0"/>
        <v>227778563324.92413</v>
      </c>
      <c r="BB6" s="110">
        <f t="shared" si="0"/>
        <v>233939405173.22748</v>
      </c>
      <c r="BC6" s="110">
        <f t="shared" si="0"/>
        <v>240274206520.51562</v>
      </c>
      <c r="BD6" s="110">
        <f t="shared" si="0"/>
        <v>246788051747.57178</v>
      </c>
      <c r="BE6" s="110">
        <f t="shared" si="0"/>
        <v>253486177725.75928</v>
      </c>
      <c r="BF6" s="110">
        <f t="shared" si="0"/>
        <v>260373978475.19733</v>
      </c>
      <c r="BG6" s="110">
        <f t="shared" si="0"/>
        <v>267457009967.02826</v>
      </c>
      <c r="BH6" s="110">
        <f t="shared" si="0"/>
        <v>274740995074.27289</v>
      </c>
      <c r="BI6" s="110">
        <f t="shared" si="0"/>
        <v>282231828675.90784</v>
      </c>
      <c r="BJ6" s="110">
        <f t="shared" si="0"/>
        <v>289935582918.94702</v>
      </c>
      <c r="BK6" s="110">
        <f t="shared" si="0"/>
        <v>297858512643.45813</v>
      </c>
      <c r="BL6" s="110">
        <f t="shared" si="0"/>
        <v>306007060975.59979</v>
      </c>
      <c r="BM6" s="110">
        <f t="shared" si="0"/>
        <v>314387865093.92462</v>
      </c>
      <c r="BN6" s="110">
        <f t="shared" si="0"/>
        <v>323007762174.35895</v>
      </c>
      <c r="BO6" s="110">
        <f t="shared" si="0"/>
        <v>331873795519.43768</v>
      </c>
      <c r="BP6" s="110">
        <f t="shared" si="0"/>
        <v>340993220877.55115</v>
      </c>
      <c r="BQ6" s="110">
        <f t="shared" si="0"/>
        <v>350373512958.1366</v>
      </c>
      <c r="BR6" s="110">
        <f t="shared" si="0"/>
        <v>360022372148.94019</v>
      </c>
      <c r="BS6" s="110">
        <f t="shared" ref="BS6:DU6" si="1">BS8+BS9+BS10+BS11</f>
        <v>369947731441.65918</v>
      </c>
      <c r="BT6" s="110">
        <f t="shared" si="1"/>
        <v>380157763572.48083</v>
      </c>
      <c r="BU6" s="110">
        <f t="shared" si="1"/>
        <v>390660888384.23169</v>
      </c>
      <c r="BV6" s="110">
        <f t="shared" si="1"/>
        <v>401465780417.0675</v>
      </c>
      <c r="BW6" s="110">
        <f t="shared" si="1"/>
        <v>412581376734.84717</v>
      </c>
      <c r="BX6" s="110">
        <f t="shared" si="1"/>
        <v>424016884994.56213</v>
      </c>
      <c r="BY6" s="110">
        <f t="shared" si="1"/>
        <v>435781791766.42285</v>
      </c>
      <c r="BZ6" s="110">
        <f t="shared" si="1"/>
        <v>447885871112.44031</v>
      </c>
      <c r="CA6" s="110">
        <f t="shared" si="1"/>
        <v>460339193431.59229</v>
      </c>
      <c r="CB6" s="110">
        <f t="shared" si="1"/>
        <v>473152134579.91248</v>
      </c>
      <c r="CC6" s="110">
        <f t="shared" si="1"/>
        <v>486335385274.10681</v>
      </c>
      <c r="CD6" s="110">
        <f t="shared" si="1"/>
        <v>499899960787.57031</v>
      </c>
      <c r="CE6" s="110">
        <f t="shared" si="1"/>
        <v>513857210947.95453</v>
      </c>
      <c r="CF6" s="110">
        <f t="shared" si="1"/>
        <v>528218830445.72852</v>
      </c>
      <c r="CG6" s="110">
        <f t="shared" si="1"/>
        <v>542996869463.46735</v>
      </c>
      <c r="CH6" s="110">
        <f t="shared" si="1"/>
        <v>558203744635.91125</v>
      </c>
      <c r="CI6" s="110">
        <f t="shared" si="1"/>
        <v>573852250351.15564</v>
      </c>
      <c r="CJ6" s="110">
        <f t="shared" si="1"/>
        <v>589955570403.65381</v>
      </c>
      <c r="CK6" s="110">
        <f t="shared" si="1"/>
        <v>606527290010.0531</v>
      </c>
      <c r="CL6" s="110">
        <f t="shared" si="1"/>
        <v>623581408199.2334</v>
      </c>
      <c r="CM6" s="110">
        <f t="shared" si="1"/>
        <v>641132350588.26782</v>
      </c>
      <c r="CN6" s="110">
        <f t="shared" si="1"/>
        <v>659194982556.40344</v>
      </c>
      <c r="CO6" s="110">
        <f t="shared" si="1"/>
        <v>677784622829.53198</v>
      </c>
      <c r="CP6" s="110">
        <f t="shared" si="1"/>
        <v>696917057488.01843</v>
      </c>
      <c r="CQ6" s="110">
        <f t="shared" si="1"/>
        <v>716608554411.15637</v>
      </c>
      <c r="CR6" s="110">
        <f t="shared" si="1"/>
        <v>736875878171.94031</v>
      </c>
      <c r="CS6" s="110">
        <f t="shared" si="1"/>
        <v>757736305396.271</v>
      </c>
      <c r="CT6" s="110">
        <f t="shared" si="1"/>
        <v>779207640601.16162</v>
      </c>
      <c r="CU6" s="110">
        <f t="shared" si="1"/>
        <v>801308232526.96008</v>
      </c>
      <c r="CV6" s="110">
        <f t="shared" si="1"/>
        <v>824056990979.08838</v>
      </c>
      <c r="CW6" s="110">
        <f t="shared" si="1"/>
        <v>847473404195.27466</v>
      </c>
      <c r="CX6" s="110">
        <f t="shared" si="1"/>
        <v>871577556754.76978</v>
      </c>
      <c r="CY6" s="110">
        <f t="shared" si="1"/>
        <v>896390148046.54517</v>
      </c>
      <c r="CZ6" s="110">
        <f t="shared" si="1"/>
        <v>921932511314.0177</v>
      </c>
      <c r="DA6" s="110">
        <f t="shared" si="1"/>
        <v>948226633294.38904</v>
      </c>
      <c r="DB6" s="110">
        <f t="shared" si="1"/>
        <v>975295174471.26428</v>
      </c>
      <c r="DC6" s="110">
        <f t="shared" si="1"/>
        <v>1003161489959.7925</v>
      </c>
      <c r="DD6" s="110">
        <f t="shared" si="1"/>
        <v>1031849651044.1936</v>
      </c>
      <c r="DE6" s="110">
        <f t="shared" si="1"/>
        <v>1061384467388.1416</v>
      </c>
      <c r="DF6" s="110">
        <f t="shared" si="1"/>
        <v>1091791509939.1392</v>
      </c>
      <c r="DG6" s="110">
        <f t="shared" si="1"/>
        <v>1123097134548.6646</v>
      </c>
      <c r="DH6" s="110">
        <f t="shared" si="1"/>
        <v>1155328506330.5784</v>
      </c>
      <c r="DI6" s="110">
        <f t="shared" si="1"/>
        <v>1188513624780.9651</v>
      </c>
      <c r="DJ6" s="110">
        <f t="shared" si="1"/>
        <v>1222681349683.333</v>
      </c>
      <c r="DK6" s="110">
        <f t="shared" si="1"/>
        <v>1257861427823.8369</v>
      </c>
      <c r="DL6" s="110">
        <f t="shared" si="1"/>
        <v>1294084520541.9709</v>
      </c>
      <c r="DM6" s="110">
        <f t="shared" si="1"/>
        <v>1331382232142.9805</v>
      </c>
      <c r="DN6" s="110">
        <f t="shared" si="1"/>
        <v>1369787139199.0657</v>
      </c>
      <c r="DO6" s="110">
        <f t="shared" si="1"/>
        <v>1409332820767.3103</v>
      </c>
      <c r="DP6" s="110">
        <f t="shared" si="1"/>
        <v>1450053889553.135</v>
      </c>
      <c r="DQ6" s="110">
        <f t="shared" si="1"/>
        <v>1491986024049.002</v>
      </c>
      <c r="DR6" s="110">
        <f t="shared" si="1"/>
        <v>1535166001679.0156</v>
      </c>
      <c r="DS6" s="110">
        <f t="shared" si="1"/>
        <v>1579631732981.0408</v>
      </c>
      <c r="DT6" s="110">
        <f t="shared" si="1"/>
        <v>1625422296858.9597</v>
      </c>
      <c r="DU6" s="110">
        <f t="shared" si="1"/>
        <v>1672577976938.6987</v>
      </c>
    </row>
    <row r="7" spans="2:125">
      <c r="B7" s="111" t="s">
        <v>114</v>
      </c>
      <c r="C7" s="77"/>
      <c r="D7" s="104"/>
      <c r="E7" s="105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  <c r="CX7" s="56"/>
      <c r="CY7" s="56"/>
      <c r="CZ7" s="56"/>
      <c r="DA7" s="56"/>
      <c r="DB7" s="56"/>
      <c r="DC7" s="56"/>
      <c r="DD7" s="56"/>
      <c r="DE7" s="56"/>
      <c r="DF7" s="56"/>
      <c r="DG7" s="56"/>
      <c r="DH7" s="56"/>
      <c r="DI7" s="56"/>
      <c r="DJ7" s="56"/>
      <c r="DK7" s="56"/>
      <c r="DL7" s="56"/>
      <c r="DM7" s="56"/>
      <c r="DN7" s="56"/>
      <c r="DO7" s="56"/>
      <c r="DP7" s="56"/>
      <c r="DQ7" s="56"/>
      <c r="DR7" s="56"/>
      <c r="DS7" s="56"/>
      <c r="DT7" s="56"/>
      <c r="DU7" s="56"/>
    </row>
    <row r="8" spans="2:125">
      <c r="B8" s="112" t="s">
        <v>115</v>
      </c>
      <c r="C8" s="78" t="s">
        <v>116</v>
      </c>
      <c r="D8" s="78" t="s">
        <v>35</v>
      </c>
      <c r="E8" s="56">
        <f>SUM(F8:DU8)</f>
        <v>57707737162161.562</v>
      </c>
      <c r="F8" s="56">
        <v>0</v>
      </c>
      <c r="G8" s="56">
        <f>'Экономический эффект'!F15</f>
        <v>0</v>
      </c>
      <c r="H8" s="56">
        <f>'Экономический эффект'!G15</f>
        <v>0</v>
      </c>
      <c r="I8" s="56">
        <f>'Экономический эффект'!H15</f>
        <v>0</v>
      </c>
      <c r="J8" s="56">
        <f>'Экономический эффект'!I15</f>
        <v>0</v>
      </c>
      <c r="K8" s="56">
        <f>'Экономический эффект'!J15</f>
        <v>0</v>
      </c>
      <c r="L8" s="56">
        <f>'Экономический эффект'!K15</f>
        <v>0</v>
      </c>
      <c r="M8" s="56">
        <f>'Экономический эффект'!L15</f>
        <v>0</v>
      </c>
      <c r="N8" s="56">
        <f>'Экономический эффект'!M15</f>
        <v>0</v>
      </c>
      <c r="O8" s="56">
        <f>'Экономический эффект'!N15</f>
        <v>0</v>
      </c>
      <c r="P8" s="56">
        <f>'Экономический эффект'!O15</f>
        <v>0</v>
      </c>
      <c r="Q8" s="56">
        <f>'Экономический эффект'!P15</f>
        <v>0</v>
      </c>
      <c r="R8" s="56">
        <f>'Выручка, до'!D9</f>
        <v>91278535241.475464</v>
      </c>
      <c r="S8" s="56">
        <f>'Выручка, до'!E9</f>
        <v>93644521246.794586</v>
      </c>
      <c r="T8" s="56">
        <f>'Выручка, до'!F9</f>
        <v>96074892476.972198</v>
      </c>
      <c r="U8" s="56">
        <f>'Выручка, до'!G9</f>
        <v>98571476142.548843</v>
      </c>
      <c r="V8" s="56">
        <f>'Выручка, до'!H9</f>
        <v>101136153066.28827</v>
      </c>
      <c r="W8" s="56">
        <f>'Выручка, до'!I9</f>
        <v>103770859295.63654</v>
      </c>
      <c r="X8" s="56">
        <f>'Выручка, до'!J9</f>
        <v>106477587764.53366</v>
      </c>
      <c r="Y8" s="56">
        <f>'Выручка, до'!K9</f>
        <v>109258390006.10591</v>
      </c>
      <c r="Z8" s="56">
        <f>'Выручка, до'!L9</f>
        <v>112115377917.8158</v>
      </c>
      <c r="AA8" s="56">
        <f>'Выручка, до'!M9</f>
        <v>115050725580.69447</v>
      </c>
      <c r="AB8" s="56">
        <f>'Выручка, до'!N9</f>
        <v>118066671134.33347</v>
      </c>
      <c r="AC8" s="56">
        <f>'Выручка, до'!O9</f>
        <v>121165518709.36453</v>
      </c>
      <c r="AD8" s="56">
        <f>'Выручка, до'!P9</f>
        <v>124349640419.20969</v>
      </c>
      <c r="AE8" s="56">
        <f>'Выручка, до'!Q9</f>
        <v>127621478412.94052</v>
      </c>
      <c r="AF8" s="56">
        <f>'Выручка, до'!R9</f>
        <v>130983546991.14232</v>
      </c>
      <c r="AG8" s="56">
        <f>'Выручка, до'!S9</f>
        <v>134438434786.73795</v>
      </c>
      <c r="AH8" s="56">
        <f>'Выручка, до'!T9</f>
        <v>137988807012.78815</v>
      </c>
      <c r="AI8" s="56">
        <f>'Выручка, до'!U9</f>
        <v>141637407779.34702</v>
      </c>
      <c r="AJ8" s="56">
        <f>'Выручка, до'!V9</f>
        <v>145387062481.51724</v>
      </c>
      <c r="AK8" s="56">
        <f>'Выручка, до'!W9</f>
        <v>149240680260.91635</v>
      </c>
      <c r="AL8" s="56">
        <f>'Выручка, до'!X9</f>
        <v>153201256542.83444</v>
      </c>
      <c r="AM8" s="56">
        <f>'Выручка, до'!Y9</f>
        <v>157271875651.43488</v>
      </c>
      <c r="AN8" s="56">
        <f>'Выручка, до'!Z9</f>
        <v>161455713505.42404</v>
      </c>
      <c r="AO8" s="56">
        <f>'Выручка, до'!AA9</f>
        <v>165756040396.6908</v>
      </c>
      <c r="AP8" s="56">
        <f>'Выручка, до'!AB9</f>
        <v>170176223854.4953</v>
      </c>
      <c r="AQ8" s="56">
        <f>'Выручка, до'!AC9</f>
        <v>174719731597.86774</v>
      </c>
      <c r="AR8" s="56">
        <f>'Выручка, до'!AD9</f>
        <v>179390134578.96024</v>
      </c>
      <c r="AS8" s="56">
        <f>'Выручка, до'!AE9</f>
        <v>184191110120.18152</v>
      </c>
      <c r="AT8" s="56">
        <f>'Выручка, до'!AF9</f>
        <v>189126445148.03214</v>
      </c>
      <c r="AU8" s="56">
        <f>'Выручка, до'!AG9</f>
        <v>194200039526.65012</v>
      </c>
      <c r="AV8" s="56">
        <f>'Выручка, до'!AH9</f>
        <v>199415909494.17014</v>
      </c>
      <c r="AW8" s="56">
        <f>'Выручка, до'!AI9</f>
        <v>204778191205.0972</v>
      </c>
      <c r="AX8" s="56">
        <f>'Выручка, до'!AJ9</f>
        <v>210291144381.9964</v>
      </c>
      <c r="AY8" s="56">
        <f>'Выручка, до'!AK9</f>
        <v>215959156079.90256</v>
      </c>
      <c r="AZ8" s="56">
        <f>'Выручка, до'!AL9</f>
        <v>221786744566.96155</v>
      </c>
      <c r="BA8" s="56">
        <f>'Выручка, до'!AM9</f>
        <v>227778563324.92413</v>
      </c>
      <c r="BB8" s="56">
        <f>'Выручка, до'!AN9</f>
        <v>233939405173.22748</v>
      </c>
      <c r="BC8" s="56">
        <f>'Выручка, до'!AO9</f>
        <v>240274206520.51562</v>
      </c>
      <c r="BD8" s="56">
        <f>'Выручка, до'!AP9</f>
        <v>246788051747.57178</v>
      </c>
      <c r="BE8" s="56">
        <f>'Выручка, до'!AQ9</f>
        <v>253486177725.75928</v>
      </c>
      <c r="BF8" s="56">
        <f>'Выручка, до'!AR9</f>
        <v>260373978475.19733</v>
      </c>
      <c r="BG8" s="56">
        <f>'Выручка, до'!AS9</f>
        <v>267457009967.02826</v>
      </c>
      <c r="BH8" s="56">
        <f>'Выручка, до'!AT9</f>
        <v>274740995074.27289</v>
      </c>
      <c r="BI8" s="56">
        <f>'Выручка, до'!AU9</f>
        <v>282231828675.90784</v>
      </c>
      <c r="BJ8" s="56">
        <f>'Выручка, до'!AV9</f>
        <v>289935582918.94702</v>
      </c>
      <c r="BK8" s="56">
        <f>'Выручка, до'!AW9</f>
        <v>297858512643.45813</v>
      </c>
      <c r="BL8" s="56">
        <f>'Выручка, до'!AX9</f>
        <v>306007060975.59979</v>
      </c>
      <c r="BM8" s="56">
        <f>'Выручка, до'!AY9</f>
        <v>314387865093.92462</v>
      </c>
      <c r="BN8" s="56">
        <f>'Выручка, до'!AZ9</f>
        <v>323007762174.35895</v>
      </c>
      <c r="BO8" s="56">
        <f>'Выручка, до'!BA9</f>
        <v>331873795519.43768</v>
      </c>
      <c r="BP8" s="56">
        <f>'Выручка, до'!BB9</f>
        <v>340993220877.55115</v>
      </c>
      <c r="BQ8" s="56">
        <f>'Выручка, до'!BC9</f>
        <v>350373512958.1366</v>
      </c>
      <c r="BR8" s="56">
        <f>'Выручка, до'!BD9</f>
        <v>360022372148.94019</v>
      </c>
      <c r="BS8" s="56">
        <f>'Выручка, до'!BE9</f>
        <v>369947731441.65918</v>
      </c>
      <c r="BT8" s="56">
        <f>'Выручка, до'!BF9</f>
        <v>380157763572.48083</v>
      </c>
      <c r="BU8" s="56">
        <f>'Выручка, до'!BG9</f>
        <v>390660888384.23169</v>
      </c>
      <c r="BV8" s="56">
        <f>'Выручка, до'!BH9</f>
        <v>401465780417.0675</v>
      </c>
      <c r="BW8" s="56">
        <f>'Выручка, до'!BI9</f>
        <v>412581376734.84717</v>
      </c>
      <c r="BX8" s="56">
        <f>'Выручка, до'!BJ9</f>
        <v>424016884994.56213</v>
      </c>
      <c r="BY8" s="56">
        <f>'Выручка, до'!BK9</f>
        <v>435781791766.42285</v>
      </c>
      <c r="BZ8" s="56">
        <f>'Выручка, до'!BL9</f>
        <v>447885871112.44031</v>
      </c>
      <c r="CA8" s="56">
        <f>'Выручка, до'!BM9</f>
        <v>460339193431.59229</v>
      </c>
      <c r="CB8" s="56">
        <f>'Выручка, до'!BN9</f>
        <v>473152134579.91248</v>
      </c>
      <c r="CC8" s="56">
        <f>'Выручка, до'!BO9</f>
        <v>486335385274.10681</v>
      </c>
      <c r="CD8" s="56">
        <f>'Выручка, до'!BP9</f>
        <v>499899960787.57031</v>
      </c>
      <c r="CE8" s="56">
        <f>'Выручка, до'!BQ9</f>
        <v>513857210947.95453</v>
      </c>
      <c r="CF8" s="56">
        <f>'Выручка, до'!BR9</f>
        <v>528218830445.72852</v>
      </c>
      <c r="CG8" s="56">
        <f>'Выручка, до'!BS9</f>
        <v>542996869463.46735</v>
      </c>
      <c r="CH8" s="56">
        <f>'Выручка, до'!BT9</f>
        <v>558203744635.91125</v>
      </c>
      <c r="CI8" s="56">
        <f>'Выручка, до'!BU9</f>
        <v>573852250351.15564</v>
      </c>
      <c r="CJ8" s="56">
        <f>'Выручка, до'!BV9</f>
        <v>589955570403.65381</v>
      </c>
      <c r="CK8" s="56">
        <f>'Выручка, до'!BW9</f>
        <v>606527290010.0531</v>
      </c>
      <c r="CL8" s="56">
        <f>'Выручка, до'!BX9</f>
        <v>623581408199.2334</v>
      </c>
      <c r="CM8" s="56">
        <f>'Выручка, до'!BY9</f>
        <v>641132350588.26782</v>
      </c>
      <c r="CN8" s="56">
        <f>'Выручка, до'!BZ9</f>
        <v>659194982556.40344</v>
      </c>
      <c r="CO8" s="56">
        <f>'Выручка, до'!CA9</f>
        <v>677784622829.53198</v>
      </c>
      <c r="CP8" s="56">
        <f>'Выручка, до'!CB9</f>
        <v>696917057488.01843</v>
      </c>
      <c r="CQ8" s="56">
        <f>'Выручка, до'!CC9</f>
        <v>716608554411.15637</v>
      </c>
      <c r="CR8" s="56">
        <f>'Выручка, до'!CD9</f>
        <v>736875878171.94031</v>
      </c>
      <c r="CS8" s="56">
        <f>'Выручка, до'!CE9</f>
        <v>757736305396.271</v>
      </c>
      <c r="CT8" s="56">
        <f>'Выручка, до'!CF9</f>
        <v>779207640601.16162</v>
      </c>
      <c r="CU8" s="56">
        <f>'Выручка, до'!CG9</f>
        <v>801308232526.96008</v>
      </c>
      <c r="CV8" s="56">
        <f>'Выручка, до'!CH9</f>
        <v>824056990979.08838</v>
      </c>
      <c r="CW8" s="56">
        <f>'Выручка, до'!CI9</f>
        <v>847473404195.27466</v>
      </c>
      <c r="CX8" s="56">
        <f>'Выручка, до'!CJ9</f>
        <v>871577556754.76978</v>
      </c>
      <c r="CY8" s="56">
        <f>'Выручка, до'!CK9</f>
        <v>896390148046.54517</v>
      </c>
      <c r="CZ8" s="56">
        <f>'Выручка, до'!CL9</f>
        <v>921932511314.0177</v>
      </c>
      <c r="DA8" s="56">
        <f>'Выручка, до'!CM9</f>
        <v>948226633294.38904</v>
      </c>
      <c r="DB8" s="56">
        <f>'Выручка, до'!CN9</f>
        <v>975295174471.26428</v>
      </c>
      <c r="DC8" s="56">
        <f>'Выручка, до'!CO9</f>
        <v>1003161489959.7925</v>
      </c>
      <c r="DD8" s="56">
        <f>'Выручка, до'!CP9</f>
        <v>1031849651044.1936</v>
      </c>
      <c r="DE8" s="56">
        <f>'Выручка, до'!CQ9</f>
        <v>1061384467388.1416</v>
      </c>
      <c r="DF8" s="56">
        <f>'Выручка, до'!CR9</f>
        <v>1091791509939.1392</v>
      </c>
      <c r="DG8" s="56">
        <f>'Выручка, до'!CS9</f>
        <v>1123097134548.6646</v>
      </c>
      <c r="DH8" s="56">
        <f>'Выручка, до'!CT9</f>
        <v>1155328506330.5784</v>
      </c>
      <c r="DI8" s="56">
        <f>'Выручка, до'!CU9</f>
        <v>1188513624780.9651</v>
      </c>
      <c r="DJ8" s="56">
        <f>'Выручка, до'!CV9</f>
        <v>1222681349683.333</v>
      </c>
      <c r="DK8" s="56">
        <f>'Выручка, до'!CW9</f>
        <v>1257861427823.8369</v>
      </c>
      <c r="DL8" s="56">
        <f>'Выручка, до'!CX9</f>
        <v>1294084520541.9709</v>
      </c>
      <c r="DM8" s="56">
        <f>'Выручка, до'!CY9</f>
        <v>1331382232142.9805</v>
      </c>
      <c r="DN8" s="56">
        <f>'Выручка, до'!CZ9</f>
        <v>1369787139199.0657</v>
      </c>
      <c r="DO8" s="56">
        <f>'Выручка, до'!DA9</f>
        <v>1409332820767.3103</v>
      </c>
      <c r="DP8" s="56">
        <f>'Выручка, до'!DB9</f>
        <v>1450053889553.135</v>
      </c>
      <c r="DQ8" s="56">
        <f>'Выручка, до'!DC9</f>
        <v>1491986024049.002</v>
      </c>
      <c r="DR8" s="56">
        <f>'Выручка, до'!DD9</f>
        <v>1535166001679.0156</v>
      </c>
      <c r="DS8" s="56">
        <f>'Выручка, до'!DE9</f>
        <v>1579631732981.0408</v>
      </c>
      <c r="DT8" s="56">
        <f>'Выручка, до'!DF9</f>
        <v>1625422296858.9597</v>
      </c>
      <c r="DU8" s="56">
        <f>'Выручка, до'!DG9</f>
        <v>1672577976938.6987</v>
      </c>
    </row>
    <row r="9" spans="2:125" ht="35" customHeight="1">
      <c r="B9" s="114" t="s">
        <v>117</v>
      </c>
      <c r="C9" s="5" t="s">
        <v>118</v>
      </c>
      <c r="D9" s="78" t="s">
        <v>35</v>
      </c>
      <c r="E9" s="113">
        <f t="shared" ref="E9:E11" si="2">SUM(F9:AO9)</f>
        <v>0</v>
      </c>
      <c r="F9" s="56">
        <v>0</v>
      </c>
      <c r="G9" s="56">
        <v>0</v>
      </c>
      <c r="H9" s="56">
        <v>0</v>
      </c>
      <c r="I9" s="56">
        <v>0</v>
      </c>
      <c r="J9" s="56">
        <v>0</v>
      </c>
      <c r="K9" s="56">
        <v>0</v>
      </c>
      <c r="L9" s="56">
        <v>0</v>
      </c>
      <c r="M9" s="56">
        <v>0</v>
      </c>
      <c r="N9" s="56">
        <v>0</v>
      </c>
      <c r="O9" s="56">
        <v>0</v>
      </c>
      <c r="P9" s="56">
        <v>0</v>
      </c>
      <c r="Q9" s="56">
        <v>0</v>
      </c>
      <c r="R9" s="56">
        <v>0</v>
      </c>
      <c r="S9" s="56">
        <v>0</v>
      </c>
      <c r="T9" s="56">
        <v>0</v>
      </c>
      <c r="U9" s="56">
        <v>0</v>
      </c>
      <c r="V9" s="56">
        <v>0</v>
      </c>
      <c r="W9" s="56">
        <v>0</v>
      </c>
      <c r="X9" s="56">
        <v>0</v>
      </c>
      <c r="Y9" s="56">
        <v>0</v>
      </c>
      <c r="Z9" s="56">
        <v>0</v>
      </c>
      <c r="AA9" s="56">
        <v>0</v>
      </c>
      <c r="AB9" s="56">
        <v>0</v>
      </c>
      <c r="AC9" s="56">
        <v>0</v>
      </c>
      <c r="AD9" s="56">
        <v>0</v>
      </c>
      <c r="AE9" s="56">
        <v>0</v>
      </c>
      <c r="AF9" s="56">
        <v>0</v>
      </c>
      <c r="AG9" s="56">
        <v>0</v>
      </c>
      <c r="AH9" s="56">
        <v>0</v>
      </c>
      <c r="AI9" s="56">
        <v>0</v>
      </c>
      <c r="AJ9" s="56">
        <v>0</v>
      </c>
      <c r="AK9" s="56">
        <v>0</v>
      </c>
      <c r="AL9" s="56">
        <v>0</v>
      </c>
      <c r="AM9" s="56">
        <v>0</v>
      </c>
      <c r="AN9" s="56">
        <v>0</v>
      </c>
      <c r="AO9" s="56">
        <v>0</v>
      </c>
      <c r="AP9" s="56">
        <v>0</v>
      </c>
      <c r="AQ9" s="56">
        <v>0</v>
      </c>
      <c r="AR9" s="56">
        <v>0</v>
      </c>
      <c r="AS9" s="56">
        <v>0</v>
      </c>
      <c r="AT9" s="56">
        <v>0</v>
      </c>
      <c r="AU9" s="56">
        <v>0</v>
      </c>
      <c r="AV9" s="56">
        <v>0</v>
      </c>
      <c r="AW9" s="56">
        <v>0</v>
      </c>
      <c r="AX9" s="56">
        <v>0</v>
      </c>
      <c r="AY9" s="56">
        <v>0</v>
      </c>
      <c r="AZ9" s="56">
        <v>0</v>
      </c>
      <c r="BA9" s="56">
        <v>0</v>
      </c>
      <c r="BB9" s="56">
        <v>0</v>
      </c>
      <c r="BC9" s="56">
        <v>0</v>
      </c>
      <c r="BD9" s="56">
        <v>0</v>
      </c>
      <c r="BE9" s="56">
        <v>0</v>
      </c>
      <c r="BF9" s="56">
        <v>0</v>
      </c>
      <c r="BG9" s="56">
        <v>0</v>
      </c>
      <c r="BH9" s="56">
        <v>0</v>
      </c>
      <c r="BI9" s="56">
        <v>0</v>
      </c>
      <c r="BJ9" s="56">
        <v>0</v>
      </c>
      <c r="BK9" s="56">
        <v>0</v>
      </c>
      <c r="BL9" s="56">
        <v>0</v>
      </c>
      <c r="BM9" s="56">
        <v>0</v>
      </c>
      <c r="BN9" s="56">
        <v>0</v>
      </c>
      <c r="BO9" s="56">
        <v>0</v>
      </c>
      <c r="BP9" s="56">
        <v>0</v>
      </c>
      <c r="BQ9" s="56">
        <v>0</v>
      </c>
      <c r="BR9" s="56">
        <v>0</v>
      </c>
      <c r="BS9" s="56">
        <v>0</v>
      </c>
      <c r="BT9" s="56">
        <v>0</v>
      </c>
      <c r="BU9" s="56">
        <v>0</v>
      </c>
      <c r="BV9" s="56">
        <v>0</v>
      </c>
      <c r="BW9" s="56">
        <v>0</v>
      </c>
      <c r="BX9" s="56">
        <v>0</v>
      </c>
      <c r="BY9" s="56">
        <v>0</v>
      </c>
      <c r="BZ9" s="56">
        <v>0</v>
      </c>
      <c r="CA9" s="56">
        <v>0</v>
      </c>
      <c r="CB9" s="56">
        <v>0</v>
      </c>
      <c r="CC9" s="56">
        <v>0</v>
      </c>
      <c r="CD9" s="56">
        <v>0</v>
      </c>
      <c r="CE9" s="56">
        <v>0</v>
      </c>
      <c r="CF9" s="56">
        <v>0</v>
      </c>
      <c r="CG9" s="56">
        <v>0</v>
      </c>
      <c r="CH9" s="56">
        <v>0</v>
      </c>
      <c r="CI9" s="56">
        <v>0</v>
      </c>
      <c r="CJ9" s="56">
        <v>0</v>
      </c>
      <c r="CK9" s="56">
        <v>0</v>
      </c>
      <c r="CL9" s="56">
        <v>0</v>
      </c>
      <c r="CM9" s="56">
        <v>0</v>
      </c>
      <c r="CN9" s="56">
        <v>0</v>
      </c>
      <c r="CO9" s="56">
        <v>0</v>
      </c>
      <c r="CP9" s="56">
        <v>0</v>
      </c>
      <c r="CQ9" s="56">
        <v>0</v>
      </c>
      <c r="CR9" s="56">
        <v>0</v>
      </c>
      <c r="CS9" s="56">
        <v>0</v>
      </c>
      <c r="CT9" s="56">
        <v>0</v>
      </c>
      <c r="CU9" s="56">
        <v>0</v>
      </c>
      <c r="CV9" s="56">
        <v>0</v>
      </c>
      <c r="CW9" s="56">
        <v>0</v>
      </c>
      <c r="CX9" s="56">
        <v>0</v>
      </c>
      <c r="CY9" s="56">
        <v>0</v>
      </c>
      <c r="CZ9" s="56">
        <v>0</v>
      </c>
      <c r="DA9" s="56">
        <v>0</v>
      </c>
      <c r="DB9" s="56">
        <v>0</v>
      </c>
      <c r="DC9" s="56">
        <v>0</v>
      </c>
      <c r="DD9" s="56">
        <v>0</v>
      </c>
      <c r="DE9" s="56">
        <v>0</v>
      </c>
      <c r="DF9" s="56">
        <v>0</v>
      </c>
      <c r="DG9" s="56">
        <v>0</v>
      </c>
      <c r="DH9" s="56">
        <v>0</v>
      </c>
      <c r="DI9" s="56">
        <v>0</v>
      </c>
      <c r="DJ9" s="56">
        <v>0</v>
      </c>
      <c r="DK9" s="56">
        <v>0</v>
      </c>
      <c r="DL9" s="56">
        <v>0</v>
      </c>
      <c r="DM9" s="56">
        <v>0</v>
      </c>
      <c r="DN9" s="56">
        <v>0</v>
      </c>
      <c r="DO9" s="56">
        <v>0</v>
      </c>
      <c r="DP9" s="56">
        <v>0</v>
      </c>
      <c r="DQ9" s="56">
        <v>0</v>
      </c>
      <c r="DR9" s="56">
        <v>0</v>
      </c>
      <c r="DS9" s="56">
        <v>0</v>
      </c>
      <c r="DT9" s="56">
        <v>0</v>
      </c>
      <c r="DU9" s="56">
        <v>0</v>
      </c>
    </row>
    <row r="10" spans="2:125" ht="15" customHeight="1">
      <c r="B10" s="114" t="s">
        <v>119</v>
      </c>
      <c r="C10" s="5" t="s">
        <v>120</v>
      </c>
      <c r="D10" s="78" t="s">
        <v>35</v>
      </c>
      <c r="E10" s="113">
        <f t="shared" si="2"/>
        <v>0</v>
      </c>
      <c r="F10" s="56">
        <v>0</v>
      </c>
      <c r="G10" s="56">
        <v>0</v>
      </c>
      <c r="H10" s="56">
        <v>0</v>
      </c>
      <c r="I10" s="56">
        <v>0</v>
      </c>
      <c r="J10" s="56">
        <v>0</v>
      </c>
      <c r="K10" s="56">
        <v>0</v>
      </c>
      <c r="L10" s="56">
        <v>0</v>
      </c>
      <c r="M10" s="56">
        <v>0</v>
      </c>
      <c r="N10" s="56">
        <v>0</v>
      </c>
      <c r="O10" s="56">
        <v>0</v>
      </c>
      <c r="P10" s="56">
        <v>0</v>
      </c>
      <c r="Q10" s="56">
        <v>0</v>
      </c>
      <c r="R10" s="56">
        <v>0</v>
      </c>
      <c r="S10" s="56">
        <v>0</v>
      </c>
      <c r="T10" s="56">
        <v>0</v>
      </c>
      <c r="U10" s="56">
        <v>0</v>
      </c>
      <c r="V10" s="56">
        <v>0</v>
      </c>
      <c r="W10" s="56">
        <v>0</v>
      </c>
      <c r="X10" s="56">
        <v>0</v>
      </c>
      <c r="Y10" s="56">
        <v>0</v>
      </c>
      <c r="Z10" s="56">
        <v>0</v>
      </c>
      <c r="AA10" s="56">
        <v>0</v>
      </c>
      <c r="AB10" s="56">
        <v>0</v>
      </c>
      <c r="AC10" s="56">
        <v>0</v>
      </c>
      <c r="AD10" s="56">
        <v>0</v>
      </c>
      <c r="AE10" s="56">
        <v>0</v>
      </c>
      <c r="AF10" s="56">
        <v>0</v>
      </c>
      <c r="AG10" s="56">
        <v>0</v>
      </c>
      <c r="AH10" s="56">
        <v>0</v>
      </c>
      <c r="AI10" s="56">
        <v>0</v>
      </c>
      <c r="AJ10" s="56">
        <v>0</v>
      </c>
      <c r="AK10" s="56">
        <v>0</v>
      </c>
      <c r="AL10" s="56">
        <v>0</v>
      </c>
      <c r="AM10" s="56">
        <v>0</v>
      </c>
      <c r="AN10" s="56">
        <v>0</v>
      </c>
      <c r="AO10" s="56">
        <v>0</v>
      </c>
      <c r="AP10" s="56">
        <v>0</v>
      </c>
      <c r="AQ10" s="56">
        <v>0</v>
      </c>
      <c r="AR10" s="56">
        <v>0</v>
      </c>
      <c r="AS10" s="56">
        <v>0</v>
      </c>
      <c r="AT10" s="56">
        <v>0</v>
      </c>
      <c r="AU10" s="56">
        <v>0</v>
      </c>
      <c r="AV10" s="56">
        <v>0</v>
      </c>
      <c r="AW10" s="56">
        <v>0</v>
      </c>
      <c r="AX10" s="56">
        <v>0</v>
      </c>
      <c r="AY10" s="56">
        <v>0</v>
      </c>
      <c r="AZ10" s="56">
        <v>0</v>
      </c>
      <c r="BA10" s="56">
        <v>0</v>
      </c>
      <c r="BB10" s="56">
        <v>0</v>
      </c>
      <c r="BC10" s="56">
        <v>0</v>
      </c>
      <c r="BD10" s="56">
        <v>0</v>
      </c>
      <c r="BE10" s="56">
        <v>0</v>
      </c>
      <c r="BF10" s="56">
        <v>0</v>
      </c>
      <c r="BG10" s="56">
        <v>0</v>
      </c>
      <c r="BH10" s="56">
        <v>0</v>
      </c>
      <c r="BI10" s="56">
        <v>0</v>
      </c>
      <c r="BJ10" s="56">
        <v>0</v>
      </c>
      <c r="BK10" s="56">
        <v>0</v>
      </c>
      <c r="BL10" s="56">
        <v>0</v>
      </c>
      <c r="BM10" s="56">
        <v>0</v>
      </c>
      <c r="BN10" s="56">
        <v>0</v>
      </c>
      <c r="BO10" s="56">
        <v>0</v>
      </c>
      <c r="BP10" s="56">
        <v>0</v>
      </c>
      <c r="BQ10" s="56">
        <v>0</v>
      </c>
      <c r="BR10" s="56">
        <v>0</v>
      </c>
      <c r="BS10" s="56">
        <v>0</v>
      </c>
      <c r="BT10" s="56">
        <v>0</v>
      </c>
      <c r="BU10" s="56">
        <v>0</v>
      </c>
      <c r="BV10" s="56">
        <v>0</v>
      </c>
      <c r="BW10" s="56">
        <v>0</v>
      </c>
      <c r="BX10" s="56">
        <v>0</v>
      </c>
      <c r="BY10" s="56">
        <v>0</v>
      </c>
      <c r="BZ10" s="56">
        <v>0</v>
      </c>
      <c r="CA10" s="56">
        <v>0</v>
      </c>
      <c r="CB10" s="56">
        <v>0</v>
      </c>
      <c r="CC10" s="56">
        <v>0</v>
      </c>
      <c r="CD10" s="56">
        <v>0</v>
      </c>
      <c r="CE10" s="56">
        <v>0</v>
      </c>
      <c r="CF10" s="56">
        <v>0</v>
      </c>
      <c r="CG10" s="56">
        <v>0</v>
      </c>
      <c r="CH10" s="56">
        <v>0</v>
      </c>
      <c r="CI10" s="56">
        <v>0</v>
      </c>
      <c r="CJ10" s="56">
        <v>0</v>
      </c>
      <c r="CK10" s="56">
        <v>0</v>
      </c>
      <c r="CL10" s="56">
        <v>0</v>
      </c>
      <c r="CM10" s="56">
        <v>0</v>
      </c>
      <c r="CN10" s="56">
        <v>0</v>
      </c>
      <c r="CO10" s="56">
        <v>0</v>
      </c>
      <c r="CP10" s="56">
        <v>0</v>
      </c>
      <c r="CQ10" s="56">
        <v>0</v>
      </c>
      <c r="CR10" s="56">
        <v>0</v>
      </c>
      <c r="CS10" s="56">
        <v>0</v>
      </c>
      <c r="CT10" s="56">
        <v>0</v>
      </c>
      <c r="CU10" s="56">
        <v>0</v>
      </c>
      <c r="CV10" s="56">
        <v>0</v>
      </c>
      <c r="CW10" s="56">
        <v>0</v>
      </c>
      <c r="CX10" s="56">
        <v>0</v>
      </c>
      <c r="CY10" s="56">
        <v>0</v>
      </c>
      <c r="CZ10" s="56">
        <v>0</v>
      </c>
      <c r="DA10" s="56">
        <v>0</v>
      </c>
      <c r="DB10" s="56">
        <v>0</v>
      </c>
      <c r="DC10" s="56">
        <v>0</v>
      </c>
      <c r="DD10" s="56">
        <v>0</v>
      </c>
      <c r="DE10" s="56">
        <v>0</v>
      </c>
      <c r="DF10" s="56">
        <v>0</v>
      </c>
      <c r="DG10" s="56">
        <v>0</v>
      </c>
      <c r="DH10" s="56">
        <v>0</v>
      </c>
      <c r="DI10" s="56">
        <v>0</v>
      </c>
      <c r="DJ10" s="56">
        <v>0</v>
      </c>
      <c r="DK10" s="56">
        <v>0</v>
      </c>
      <c r="DL10" s="56">
        <v>0</v>
      </c>
      <c r="DM10" s="56">
        <v>0</v>
      </c>
      <c r="DN10" s="56">
        <v>0</v>
      </c>
      <c r="DO10" s="56">
        <v>0</v>
      </c>
      <c r="DP10" s="56">
        <v>0</v>
      </c>
      <c r="DQ10" s="56">
        <v>0</v>
      </c>
      <c r="DR10" s="56">
        <v>0</v>
      </c>
      <c r="DS10" s="56">
        <v>0</v>
      </c>
      <c r="DT10" s="56">
        <v>0</v>
      </c>
      <c r="DU10" s="56">
        <v>0</v>
      </c>
    </row>
    <row r="11" spans="2:125">
      <c r="B11" s="114" t="s">
        <v>121</v>
      </c>
      <c r="C11" s="5" t="s">
        <v>122</v>
      </c>
      <c r="D11" s="78" t="s">
        <v>35</v>
      </c>
      <c r="E11" s="113">
        <f t="shared" si="2"/>
        <v>0</v>
      </c>
      <c r="F11" s="56">
        <v>0</v>
      </c>
      <c r="G11" s="56">
        <v>0</v>
      </c>
      <c r="H11" s="56">
        <v>0</v>
      </c>
      <c r="I11" s="56">
        <v>0</v>
      </c>
      <c r="J11" s="56">
        <v>0</v>
      </c>
      <c r="K11" s="56">
        <v>0</v>
      </c>
      <c r="L11" s="56">
        <v>0</v>
      </c>
      <c r="M11" s="56">
        <v>0</v>
      </c>
      <c r="N11" s="56">
        <v>0</v>
      </c>
      <c r="O11" s="56">
        <v>0</v>
      </c>
      <c r="P11" s="56">
        <v>0</v>
      </c>
      <c r="Q11" s="56">
        <v>0</v>
      </c>
      <c r="R11" s="56">
        <v>0</v>
      </c>
      <c r="S11" s="56">
        <v>0</v>
      </c>
      <c r="T11" s="56">
        <v>0</v>
      </c>
      <c r="U11" s="56">
        <v>0</v>
      </c>
      <c r="V11" s="56">
        <v>0</v>
      </c>
      <c r="W11" s="56">
        <v>0</v>
      </c>
      <c r="X11" s="56">
        <v>0</v>
      </c>
      <c r="Y11" s="56">
        <v>0</v>
      </c>
      <c r="Z11" s="56">
        <v>0</v>
      </c>
      <c r="AA11" s="56">
        <v>0</v>
      </c>
      <c r="AB11" s="56">
        <v>0</v>
      </c>
      <c r="AC11" s="56">
        <v>0</v>
      </c>
      <c r="AD11" s="56">
        <v>0</v>
      </c>
      <c r="AE11" s="56">
        <v>0</v>
      </c>
      <c r="AF11" s="56">
        <v>0</v>
      </c>
      <c r="AG11" s="56">
        <v>0</v>
      </c>
      <c r="AH11" s="56">
        <v>0</v>
      </c>
      <c r="AI11" s="56">
        <v>0</v>
      </c>
      <c r="AJ11" s="56">
        <v>0</v>
      </c>
      <c r="AK11" s="56">
        <v>0</v>
      </c>
      <c r="AL11" s="56">
        <v>0</v>
      </c>
      <c r="AM11" s="56">
        <v>0</v>
      </c>
      <c r="AN11" s="56">
        <v>0</v>
      </c>
      <c r="AO11" s="56">
        <v>0</v>
      </c>
      <c r="AP11" s="56">
        <v>0</v>
      </c>
      <c r="AQ11" s="56">
        <v>0</v>
      </c>
      <c r="AR11" s="56">
        <v>0</v>
      </c>
      <c r="AS11" s="56">
        <v>0</v>
      </c>
      <c r="AT11" s="56">
        <v>0</v>
      </c>
      <c r="AU11" s="56">
        <v>0</v>
      </c>
      <c r="AV11" s="56">
        <v>0</v>
      </c>
      <c r="AW11" s="56">
        <v>0</v>
      </c>
      <c r="AX11" s="56">
        <v>0</v>
      </c>
      <c r="AY11" s="56">
        <v>0</v>
      </c>
      <c r="AZ11" s="56">
        <v>0</v>
      </c>
      <c r="BA11" s="56">
        <v>0</v>
      </c>
      <c r="BB11" s="56">
        <v>0</v>
      </c>
      <c r="BC11" s="56">
        <v>0</v>
      </c>
      <c r="BD11" s="56">
        <v>0</v>
      </c>
      <c r="BE11" s="56">
        <v>0</v>
      </c>
      <c r="BF11" s="56">
        <v>0</v>
      </c>
      <c r="BG11" s="56">
        <v>0</v>
      </c>
      <c r="BH11" s="56">
        <v>0</v>
      </c>
      <c r="BI11" s="56">
        <v>0</v>
      </c>
      <c r="BJ11" s="56">
        <v>0</v>
      </c>
      <c r="BK11" s="56">
        <v>0</v>
      </c>
      <c r="BL11" s="56">
        <v>0</v>
      </c>
      <c r="BM11" s="56">
        <v>0</v>
      </c>
      <c r="BN11" s="56">
        <v>0</v>
      </c>
      <c r="BO11" s="56">
        <v>0</v>
      </c>
      <c r="BP11" s="56">
        <v>0</v>
      </c>
      <c r="BQ11" s="56">
        <v>0</v>
      </c>
      <c r="BR11" s="56">
        <v>0</v>
      </c>
      <c r="BS11" s="56">
        <v>0</v>
      </c>
      <c r="BT11" s="56">
        <v>0</v>
      </c>
      <c r="BU11" s="56">
        <v>0</v>
      </c>
      <c r="BV11" s="56">
        <v>0</v>
      </c>
      <c r="BW11" s="56">
        <v>0</v>
      </c>
      <c r="BX11" s="56">
        <v>0</v>
      </c>
      <c r="BY11" s="56">
        <v>0</v>
      </c>
      <c r="BZ11" s="56">
        <v>0</v>
      </c>
      <c r="CA11" s="56">
        <v>0</v>
      </c>
      <c r="CB11" s="56">
        <v>0</v>
      </c>
      <c r="CC11" s="56">
        <v>0</v>
      </c>
      <c r="CD11" s="56">
        <v>0</v>
      </c>
      <c r="CE11" s="56">
        <v>0</v>
      </c>
      <c r="CF11" s="56">
        <v>0</v>
      </c>
      <c r="CG11" s="56">
        <v>0</v>
      </c>
      <c r="CH11" s="56">
        <v>0</v>
      </c>
      <c r="CI11" s="56">
        <v>0</v>
      </c>
      <c r="CJ11" s="56">
        <v>0</v>
      </c>
      <c r="CK11" s="56">
        <v>0</v>
      </c>
      <c r="CL11" s="56">
        <v>0</v>
      </c>
      <c r="CM11" s="56">
        <v>0</v>
      </c>
      <c r="CN11" s="56">
        <v>0</v>
      </c>
      <c r="CO11" s="56">
        <v>0</v>
      </c>
      <c r="CP11" s="56">
        <v>0</v>
      </c>
      <c r="CQ11" s="56">
        <v>0</v>
      </c>
      <c r="CR11" s="56">
        <v>0</v>
      </c>
      <c r="CS11" s="56">
        <v>0</v>
      </c>
      <c r="CT11" s="56">
        <v>0</v>
      </c>
      <c r="CU11" s="56">
        <v>0</v>
      </c>
      <c r="CV11" s="56">
        <v>0</v>
      </c>
      <c r="CW11" s="56">
        <v>0</v>
      </c>
      <c r="CX11" s="56">
        <v>0</v>
      </c>
      <c r="CY11" s="56">
        <v>0</v>
      </c>
      <c r="CZ11" s="56">
        <v>0</v>
      </c>
      <c r="DA11" s="56">
        <v>0</v>
      </c>
      <c r="DB11" s="56">
        <v>0</v>
      </c>
      <c r="DC11" s="56">
        <v>0</v>
      </c>
      <c r="DD11" s="56">
        <v>0</v>
      </c>
      <c r="DE11" s="56">
        <v>0</v>
      </c>
      <c r="DF11" s="56">
        <v>0</v>
      </c>
      <c r="DG11" s="56">
        <v>0</v>
      </c>
      <c r="DH11" s="56">
        <v>0</v>
      </c>
      <c r="DI11" s="56">
        <v>0</v>
      </c>
      <c r="DJ11" s="56">
        <v>0</v>
      </c>
      <c r="DK11" s="56">
        <v>0</v>
      </c>
      <c r="DL11" s="56">
        <v>0</v>
      </c>
      <c r="DM11" s="56">
        <v>0</v>
      </c>
      <c r="DN11" s="56">
        <v>0</v>
      </c>
      <c r="DO11" s="56">
        <v>0</v>
      </c>
      <c r="DP11" s="56">
        <v>0</v>
      </c>
      <c r="DQ11" s="56">
        <v>0</v>
      </c>
      <c r="DR11" s="56">
        <v>0</v>
      </c>
      <c r="DS11" s="56">
        <v>0</v>
      </c>
      <c r="DT11" s="56">
        <v>0</v>
      </c>
      <c r="DU11" s="56">
        <v>0</v>
      </c>
    </row>
    <row r="12" spans="2:125">
      <c r="B12" s="115" t="s">
        <v>123</v>
      </c>
      <c r="C12" s="116" t="s">
        <v>124</v>
      </c>
      <c r="D12" s="108" t="s">
        <v>35</v>
      </c>
      <c r="E12" s="109">
        <f>SUM(F12:DU12)</f>
        <v>29932535580728.629</v>
      </c>
      <c r="F12" s="110">
        <f>F14+F15+F16+F17+F18</f>
        <v>36209562398.547173</v>
      </c>
      <c r="G12" s="110">
        <f t="shared" ref="G12:AO12" si="3">G14+G15+G16+G17+G18</f>
        <v>37061317360.462051</v>
      </c>
      <c r="H12" s="110">
        <f t="shared" si="3"/>
        <v>37936251003.325989</v>
      </c>
      <c r="I12" s="110">
        <f t="shared" si="3"/>
        <v>38835021122.933586</v>
      </c>
      <c r="J12" s="110">
        <f t="shared" si="3"/>
        <v>39758304815.479774</v>
      </c>
      <c r="K12" s="110">
        <f t="shared" si="3"/>
        <v>40706799058.045158</v>
      </c>
      <c r="L12" s="110">
        <f t="shared" si="3"/>
        <v>41681221306.848114</v>
      </c>
      <c r="M12" s="110">
        <f t="shared" si="3"/>
        <v>42682310113.814133</v>
      </c>
      <c r="N12" s="110">
        <f t="shared" si="3"/>
        <v>43710825762.029678</v>
      </c>
      <c r="O12" s="110">
        <f t="shared" si="3"/>
        <v>44767550920.666016</v>
      </c>
      <c r="P12" s="110">
        <f t="shared" si="3"/>
        <v>45853291319.976044</v>
      </c>
      <c r="Q12" s="110">
        <f t="shared" si="3"/>
        <v>46968876446.987228</v>
      </c>
      <c r="R12" s="110">
        <f t="shared" si="3"/>
        <v>48165296476.515488</v>
      </c>
      <c r="S12" s="110">
        <f t="shared" si="3"/>
        <v>49343158154.258583</v>
      </c>
      <c r="T12" s="110">
        <f t="shared" si="3"/>
        <v>50553502842.41124</v>
      </c>
      <c r="U12" s="110">
        <f t="shared" si="3"/>
        <v>51797262448.825661</v>
      </c>
      <c r="V12" s="110">
        <f t="shared" si="3"/>
        <v>53075396450.203735</v>
      </c>
      <c r="W12" s="110">
        <f t="shared" si="3"/>
        <v>54388892726.164932</v>
      </c>
      <c r="X12" s="110">
        <f t="shared" si="3"/>
        <v>55738768418.946205</v>
      </c>
      <c r="Y12" s="110">
        <f t="shared" si="3"/>
        <v>57126070819.529884</v>
      </c>
      <c r="Z12" s="110">
        <f t="shared" si="3"/>
        <v>58551878281.020393</v>
      </c>
      <c r="AA12" s="110">
        <f t="shared" si="3"/>
        <v>60017301160.116554</v>
      </c>
      <c r="AB12" s="110">
        <f t="shared" si="3"/>
        <v>61523482787.552658</v>
      </c>
      <c r="AC12" s="110">
        <f t="shared" si="3"/>
        <v>63071600468.408691</v>
      </c>
      <c r="AD12" s="110">
        <f t="shared" si="3"/>
        <v>64662871513.218307</v>
      </c>
      <c r="AE12" s="110">
        <f t="shared" si="3"/>
        <v>66298534300.832382</v>
      </c>
      <c r="AF12" s="110">
        <f t="shared" si="3"/>
        <v>67979879374.025688</v>
      </c>
      <c r="AG12" s="110">
        <f t="shared" si="3"/>
        <v>69708230568.865356</v>
      </c>
      <c r="AH12" s="110">
        <f t="shared" si="3"/>
        <v>71484951178.891571</v>
      </c>
      <c r="AI12" s="110">
        <f t="shared" si="3"/>
        <v>73311445155.194046</v>
      </c>
      <c r="AJ12" s="110">
        <f t="shared" si="3"/>
        <v>75189158343.501251</v>
      </c>
      <c r="AK12" s="110">
        <f t="shared" si="3"/>
        <v>77119579759.434998</v>
      </c>
      <c r="AL12" s="110">
        <f t="shared" si="3"/>
        <v>79104242903.118713</v>
      </c>
      <c r="AM12" s="110">
        <f t="shared" si="3"/>
        <v>81144727114.364914</v>
      </c>
      <c r="AN12" s="110">
        <f t="shared" si="3"/>
        <v>83242658969.706161</v>
      </c>
      <c r="AO12" s="110">
        <f t="shared" si="3"/>
        <v>85399713722.572693</v>
      </c>
      <c r="AP12" s="110">
        <f>AP14+AP15+AP16+AP17+AP18</f>
        <v>87617621787.961884</v>
      </c>
      <c r="AQ12" s="110">
        <f t="shared" ref="AQ12:BY12" si="4">AQ14+AQ15+AQ16+AQ17+AQ18</f>
        <v>89898150272.985626</v>
      </c>
      <c r="AR12" s="110">
        <f t="shared" si="4"/>
        <v>92243134554.725845</v>
      </c>
      <c r="AS12" s="110">
        <f t="shared" si="4"/>
        <v>94654459906.873337</v>
      </c>
      <c r="AT12" s="110">
        <f t="shared" si="4"/>
        <v>97134068176.671036</v>
      </c>
      <c r="AU12" s="110">
        <f t="shared" si="4"/>
        <v>99683959513.730179</v>
      </c>
      <c r="AV12" s="110">
        <f t="shared" si="4"/>
        <v>102306194152.33824</v>
      </c>
      <c r="AW12" s="110">
        <f t="shared" si="4"/>
        <v>105002894248.92682</v>
      </c>
      <c r="AX12" s="110">
        <f t="shared" si="4"/>
        <v>107776245776.42091</v>
      </c>
      <c r="AY12" s="110">
        <f t="shared" si="4"/>
        <v>110628500477.24492</v>
      </c>
      <c r="AZ12" s="110">
        <f t="shared" si="4"/>
        <v>113561977876.81593</v>
      </c>
      <c r="BA12" s="110">
        <f t="shared" si="4"/>
        <v>116579067359.41287</v>
      </c>
      <c r="BB12" s="110">
        <f t="shared" si="4"/>
        <v>119682235308.36922</v>
      </c>
      <c r="BC12" s="110">
        <f t="shared" si="4"/>
        <v>122874007312.59756</v>
      </c>
      <c r="BD12" s="110">
        <f t="shared" si="4"/>
        <v>126157000441.51842</v>
      </c>
      <c r="BE12" s="110">
        <f t="shared" si="4"/>
        <v>129533905590.52917</v>
      </c>
      <c r="BF12" s="110">
        <f t="shared" si="4"/>
        <v>133007494899.21848</v>
      </c>
      <c r="BG12" s="110">
        <f t="shared" si="4"/>
        <v>136580624244.59729</v>
      </c>
      <c r="BH12" s="110">
        <f t="shared" si="4"/>
        <v>140256235811.69308</v>
      </c>
      <c r="BI12" s="110">
        <f t="shared" si="4"/>
        <v>144037360743.9234</v>
      </c>
      <c r="BJ12" s="110">
        <f t="shared" si="4"/>
        <v>147927121875.74429</v>
      </c>
      <c r="BK12" s="110">
        <f t="shared" si="4"/>
        <v>151928736550.14499</v>
      </c>
      <c r="BL12" s="110">
        <f t="shared" si="4"/>
        <v>156045519523.64236</v>
      </c>
      <c r="BM12" s="110">
        <f t="shared" si="4"/>
        <v>160280885961.51224</v>
      </c>
      <c r="BN12" s="110">
        <f t="shared" si="4"/>
        <v>164638359526.07852</v>
      </c>
      <c r="BO12" s="110">
        <f t="shared" si="4"/>
        <v>169121555560.97324</v>
      </c>
      <c r="BP12" s="110">
        <f t="shared" si="4"/>
        <v>173734214374.3685</v>
      </c>
      <c r="BQ12" s="110">
        <f t="shared" si="4"/>
        <v>178480184624.27844</v>
      </c>
      <c r="BR12" s="110">
        <f t="shared" si="4"/>
        <v>183363431809.12531</v>
      </c>
      <c r="BS12" s="110">
        <f t="shared" si="4"/>
        <v>188388041866.86365</v>
      </c>
      <c r="BT12" s="110">
        <f t="shared" si="4"/>
        <v>193558224886.06226</v>
      </c>
      <c r="BU12" s="110">
        <f t="shared" si="4"/>
        <v>198878318932.44824</v>
      </c>
      <c r="BV12" s="110">
        <f t="shared" si="4"/>
        <v>204352793994.52808</v>
      </c>
      <c r="BW12" s="110">
        <f t="shared" si="4"/>
        <v>209986256052.01602</v>
      </c>
      <c r="BX12" s="110">
        <f t="shared" si="4"/>
        <v>215783451270.91537</v>
      </c>
      <c r="BY12" s="110">
        <f t="shared" si="4"/>
        <v>221749270329.21912</v>
      </c>
      <c r="BZ12" s="110">
        <f>BZ14+BZ15+BZ16+BZ17+BZ18</f>
        <v>227888757877.32404</v>
      </c>
      <c r="CA12" s="110">
        <f t="shared" ref="CA12:DI12" si="5">CA14+CA15+CA16+CA17+CA18</f>
        <v>234207097137.37643</v>
      </c>
      <c r="CB12" s="110">
        <f t="shared" si="5"/>
        <v>240709644645.90521</v>
      </c>
      <c r="CC12" s="110">
        <f t="shared" si="5"/>
        <v>247401915144.23151</v>
      </c>
      <c r="CD12" s="110">
        <f t="shared" si="5"/>
        <v>254289591621.28662</v>
      </c>
      <c r="CE12" s="110">
        <f t="shared" si="5"/>
        <v>261378530513.61633</v>
      </c>
      <c r="CF12" s="110">
        <f t="shared" si="5"/>
        <v>268674767067.49854</v>
      </c>
      <c r="CG12" s="110">
        <f t="shared" si="5"/>
        <v>276184520868.25757</v>
      </c>
      <c r="CH12" s="110">
        <f t="shared" si="5"/>
        <v>283914201542.01819</v>
      </c>
      <c r="CI12" s="110">
        <f t="shared" si="5"/>
        <v>291870414635.30566</v>
      </c>
      <c r="CJ12" s="110">
        <f t="shared" si="5"/>
        <v>300059967678.07184</v>
      </c>
      <c r="CK12" s="110">
        <f t="shared" si="5"/>
        <v>308489876435.89886</v>
      </c>
      <c r="CL12" s="110">
        <f t="shared" si="5"/>
        <v>317167376357.31714</v>
      </c>
      <c r="CM12" s="110">
        <f t="shared" si="5"/>
        <v>326099909222.3562</v>
      </c>
      <c r="CN12" s="110">
        <f t="shared" si="5"/>
        <v>335295159998.64642</v>
      </c>
      <c r="CO12" s="110">
        <f t="shared" si="5"/>
        <v>344761043911.58008</v>
      </c>
      <c r="CP12" s="110">
        <f t="shared" si="5"/>
        <v>354505718735.25513</v>
      </c>
      <c r="CQ12" s="110">
        <f t="shared" si="5"/>
        <v>364537592311.12524</v>
      </c>
      <c r="CR12" s="110">
        <f t="shared" si="5"/>
        <v>374865330301.5097</v>
      </c>
      <c r="CS12" s="110">
        <f t="shared" si="5"/>
        <v>385497864185.33093</v>
      </c>
      <c r="CT12" s="110">
        <f t="shared" si="5"/>
        <v>396444399503.69012</v>
      </c>
      <c r="CU12" s="110">
        <f t="shared" si="5"/>
        <v>407714424363.1192</v>
      </c>
      <c r="CV12" s="110">
        <f t="shared" si="5"/>
        <v>419317718204.60815</v>
      </c>
      <c r="CW12" s="110">
        <f t="shared" si="5"/>
        <v>431264360846.74738</v>
      </c>
      <c r="CX12" s="110">
        <f t="shared" si="5"/>
        <v>443564746811.59991</v>
      </c>
      <c r="CY12" s="110">
        <f t="shared" si="5"/>
        <v>456229574942.18134</v>
      </c>
      <c r="CZ12" s="110">
        <f t="shared" si="5"/>
        <v>469269888320.70953</v>
      </c>
      <c r="DA12" s="110">
        <f t="shared" si="5"/>
        <v>482697064497.073</v>
      </c>
      <c r="DB12" s="110">
        <f t="shared" si="5"/>
        <v>496522831037.26361</v>
      </c>
      <c r="DC12" s="110">
        <f t="shared" si="5"/>
        <v>510759276401.83173</v>
      </c>
      <c r="DD12" s="110">
        <f t="shared" si="5"/>
        <v>525418861164.72864</v>
      </c>
      <c r="DE12" s="110">
        <f t="shared" si="5"/>
        <v>540514429583.24072</v>
      </c>
      <c r="DF12" s="110">
        <f t="shared" si="5"/>
        <v>556059221530.04565</v>
      </c>
      <c r="DG12" s="110">
        <f t="shared" si="5"/>
        <v>572066884798.77478</v>
      </c>
      <c r="DH12" s="110">
        <f t="shared" si="5"/>
        <v>588551487794.82544</v>
      </c>
      <c r="DI12" s="110">
        <f t="shared" si="5"/>
        <v>605527532623.53149</v>
      </c>
      <c r="DJ12" s="110">
        <f>DJ14+DJ15+DJ16+DJ17+DJ18</f>
        <v>623009973588.1875</v>
      </c>
      <c r="DK12" s="110">
        <f t="shared" ref="DK12:DU12" si="6">DK14+DK15+DK16+DK17+DK18</f>
        <v>641014211110.81543</v>
      </c>
      <c r="DL12" s="110">
        <f t="shared" si="6"/>
        <v>659556136088.96338</v>
      </c>
      <c r="DM12" s="110">
        <f t="shared" si="6"/>
        <v>678652124702.25525</v>
      </c>
      <c r="DN12" s="110">
        <f t="shared" si="6"/>
        <v>698319058682.8302</v>
      </c>
      <c r="DO12" s="110">
        <f t="shared" si="6"/>
        <v>718574341064.26782</v>
      </c>
      <c r="DP12" s="110">
        <f t="shared" si="6"/>
        <v>739435912424.05066</v>
      </c>
      <c r="DQ12" s="110">
        <f t="shared" si="6"/>
        <v>760922267635.08398</v>
      </c>
      <c r="DR12" s="110">
        <f t="shared" si="6"/>
        <v>783052473142.29858</v>
      </c>
      <c r="DS12" s="110">
        <f t="shared" si="6"/>
        <v>805846184780.84741</v>
      </c>
      <c r="DT12" s="110">
        <f t="shared" si="6"/>
        <v>829323666152.94592</v>
      </c>
      <c r="DU12" s="110">
        <f t="shared" si="6"/>
        <v>853505807580.92981</v>
      </c>
    </row>
    <row r="13" spans="2:125">
      <c r="B13" s="111" t="s">
        <v>114</v>
      </c>
      <c r="C13" s="77"/>
      <c r="D13" s="104"/>
      <c r="E13" s="105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  <c r="CX13" s="56"/>
      <c r="CY13" s="56"/>
      <c r="CZ13" s="56"/>
      <c r="DA13" s="56"/>
      <c r="DB13" s="56"/>
      <c r="DC13" s="56"/>
      <c r="DD13" s="56"/>
      <c r="DE13" s="56"/>
      <c r="DF13" s="56"/>
      <c r="DG13" s="56"/>
      <c r="DH13" s="56"/>
      <c r="DI13" s="56"/>
      <c r="DJ13" s="56"/>
      <c r="DK13" s="56"/>
      <c r="DL13" s="56"/>
      <c r="DM13" s="56"/>
      <c r="DN13" s="56"/>
      <c r="DO13" s="56"/>
      <c r="DP13" s="56"/>
      <c r="DQ13" s="56"/>
      <c r="DR13" s="56"/>
      <c r="DS13" s="56"/>
      <c r="DT13" s="56"/>
      <c r="DU13" s="56"/>
    </row>
    <row r="14" spans="2:125" ht="24.5" customHeight="1">
      <c r="B14" s="112" t="s">
        <v>125</v>
      </c>
      <c r="C14" s="78" t="s">
        <v>126</v>
      </c>
      <c r="D14" s="78" t="s">
        <v>35</v>
      </c>
      <c r="E14" s="56">
        <f t="shared" ref="E14:E19" si="7">SUM(F14:DU14)</f>
        <v>257857419952.80051</v>
      </c>
      <c r="F14" s="56">
        <f>'Операционные затраты'!E37</f>
        <v>2103504999</v>
      </c>
      <c r="G14" s="56">
        <f>'Операционные затраты'!F37</f>
        <v>2103504999</v>
      </c>
      <c r="H14" s="56">
        <f>'Операционные затраты'!G37</f>
        <v>2103504999</v>
      </c>
      <c r="I14" s="56">
        <f>'Операционные затраты'!H37</f>
        <v>2103504999</v>
      </c>
      <c r="J14" s="56">
        <f>'Операционные затраты'!I37</f>
        <v>2103504999</v>
      </c>
      <c r="K14" s="56">
        <f>'Операционные затраты'!J37</f>
        <v>2103504999</v>
      </c>
      <c r="L14" s="56">
        <f>'Операционные затраты'!K37</f>
        <v>2103504999</v>
      </c>
      <c r="M14" s="56">
        <f>'Операционные затраты'!L37</f>
        <v>2103504999</v>
      </c>
      <c r="N14" s="56">
        <f>'Операционные затраты'!M37</f>
        <v>2103504999</v>
      </c>
      <c r="O14" s="56">
        <f>'Операционные затраты'!N37</f>
        <v>2103504999</v>
      </c>
      <c r="P14" s="56">
        <f>'Операционные затраты'!O37</f>
        <v>2103504999</v>
      </c>
      <c r="Q14" s="56">
        <f>'Операционные затраты'!P37</f>
        <v>2103504999</v>
      </c>
      <c r="R14" s="56">
        <f>'Операционные затраты'!Q37</f>
        <v>2153825925.5999999</v>
      </c>
      <c r="S14" s="56">
        <f>'Операционные затраты'!R37</f>
        <v>2153825925.5999999</v>
      </c>
      <c r="T14" s="56">
        <f>'Операционные затраты'!S37</f>
        <v>2153825925.5999999</v>
      </c>
      <c r="U14" s="56">
        <f>'Операционные затраты'!T37</f>
        <v>2153825925.5999999</v>
      </c>
      <c r="V14" s="56">
        <f>'Операционные затраты'!U37</f>
        <v>2153825925.5999999</v>
      </c>
      <c r="W14" s="56">
        <f>'Операционные затраты'!V37</f>
        <v>2153825925.5999999</v>
      </c>
      <c r="X14" s="56">
        <f>'Операционные затраты'!W37</f>
        <v>2153825925.5999999</v>
      </c>
      <c r="Y14" s="56">
        <f>'Операционные затраты'!X37</f>
        <v>2153825925.5999999</v>
      </c>
      <c r="Z14" s="56">
        <f>'Операционные затраты'!Y37</f>
        <v>2153825925.5999999</v>
      </c>
      <c r="AA14" s="56">
        <f>'Операционные затраты'!Z37</f>
        <v>2153825925.5999999</v>
      </c>
      <c r="AB14" s="56">
        <f>'Операционные затраты'!AA37</f>
        <v>2153825925.5999999</v>
      </c>
      <c r="AC14" s="56">
        <f>'Операционные затраты'!AB37</f>
        <v>2153825925.5999999</v>
      </c>
      <c r="AD14" s="56">
        <f>'Операционные затраты'!AC37</f>
        <v>2153830925.5999999</v>
      </c>
      <c r="AE14" s="56">
        <f>'Операционные затраты'!AD37</f>
        <v>2153830925.5999999</v>
      </c>
      <c r="AF14" s="56">
        <f>'Операционные затраты'!AE37</f>
        <v>2153830925.5999999</v>
      </c>
      <c r="AG14" s="56">
        <f>'Операционные затраты'!AF37</f>
        <v>2153830925.5999999</v>
      </c>
      <c r="AH14" s="56">
        <f>'Операционные затраты'!AG37</f>
        <v>2153830925.5999999</v>
      </c>
      <c r="AI14" s="56">
        <f>'Операционные затраты'!AH37</f>
        <v>2153830925.5999999</v>
      </c>
      <c r="AJ14" s="56">
        <f>'Операционные затраты'!AI37</f>
        <v>2153830925.5999999</v>
      </c>
      <c r="AK14" s="56">
        <f>'Операционные затраты'!AJ37</f>
        <v>2153830925.5999999</v>
      </c>
      <c r="AL14" s="56">
        <f>'Операционные затраты'!AK37</f>
        <v>2153830925.5999999</v>
      </c>
      <c r="AM14" s="56">
        <f>'Операционные затраты'!AL37</f>
        <v>2153830925.5999999</v>
      </c>
      <c r="AN14" s="56">
        <f>'Операционные затраты'!AM37</f>
        <v>2153830925.5999999</v>
      </c>
      <c r="AO14" s="56">
        <f>'Операционные затраты'!AN37</f>
        <v>2153830925.5999999</v>
      </c>
      <c r="AP14" s="56">
        <f>'Операционные затраты'!AO37</f>
        <v>2153835925.5999999</v>
      </c>
      <c r="AQ14" s="56">
        <f>'Операционные затраты'!AP37</f>
        <v>2153835925.5999999</v>
      </c>
      <c r="AR14" s="56">
        <f>'Операционные затраты'!AQ37</f>
        <v>2153835925.5999999</v>
      </c>
      <c r="AS14" s="56">
        <f>'Операционные затраты'!AR37</f>
        <v>2153835925.5999999</v>
      </c>
      <c r="AT14" s="56">
        <f>'Операционные затраты'!AS37</f>
        <v>2153835925.5999999</v>
      </c>
      <c r="AU14" s="56">
        <f>'Операционные затраты'!AT37</f>
        <v>2153835925.5999999</v>
      </c>
      <c r="AV14" s="56">
        <f>'Операционные затраты'!AU37</f>
        <v>2153835925.5999999</v>
      </c>
      <c r="AW14" s="56">
        <f>'Операционные затраты'!AV37</f>
        <v>2153835925.5999999</v>
      </c>
      <c r="AX14" s="56">
        <f>'Операционные затраты'!AW37</f>
        <v>2153835925.5999999</v>
      </c>
      <c r="AY14" s="56">
        <f>'Операционные затраты'!AX37</f>
        <v>2153835925.5999999</v>
      </c>
      <c r="AZ14" s="56">
        <f>'Операционные затраты'!AY37</f>
        <v>2153835925.5999999</v>
      </c>
      <c r="BA14" s="56">
        <f>'Операционные затраты'!AZ37</f>
        <v>2153835925.5999999</v>
      </c>
      <c r="BB14" s="56">
        <f>'Операционные затраты'!BA37</f>
        <v>2153840925.5999999</v>
      </c>
      <c r="BC14" s="56">
        <f>'Операционные затраты'!BB37</f>
        <v>2153840925.5999999</v>
      </c>
      <c r="BD14" s="56">
        <f>'Операционные затраты'!BC37</f>
        <v>2153840925.5999999</v>
      </c>
      <c r="BE14" s="56">
        <f>'Операционные затраты'!BD37</f>
        <v>2153840925.5999999</v>
      </c>
      <c r="BF14" s="56">
        <f>'Операционные затраты'!BE37</f>
        <v>2153840925.5999999</v>
      </c>
      <c r="BG14" s="56">
        <f>'Операционные затраты'!BF37</f>
        <v>2153840925.5999999</v>
      </c>
      <c r="BH14" s="56">
        <f>'Операционные затраты'!BG37</f>
        <v>2153840925.5999999</v>
      </c>
      <c r="BI14" s="56">
        <f>'Операционные затраты'!BH37</f>
        <v>2153840925.5999999</v>
      </c>
      <c r="BJ14" s="56">
        <f>'Операционные затраты'!BI37</f>
        <v>2153840925.5999999</v>
      </c>
      <c r="BK14" s="56">
        <f>'Операционные затраты'!BJ37</f>
        <v>2153840925.5999999</v>
      </c>
      <c r="BL14" s="56">
        <f>'Операционные затраты'!BK37</f>
        <v>2153840925.5999999</v>
      </c>
      <c r="BM14" s="56">
        <f>'Операционные затраты'!BL37</f>
        <v>2153840925.5999999</v>
      </c>
      <c r="BN14" s="56">
        <f>'Операционные затраты'!BM37</f>
        <v>2153845925.5999999</v>
      </c>
      <c r="BO14" s="56">
        <f>'Операционные затраты'!BN37</f>
        <v>2153845925.5999999</v>
      </c>
      <c r="BP14" s="56">
        <f>'Операционные затраты'!BO37</f>
        <v>2153845925.5999999</v>
      </c>
      <c r="BQ14" s="56">
        <f>'Операционные затраты'!BP37</f>
        <v>2153845925.5999999</v>
      </c>
      <c r="BR14" s="56">
        <f>'Операционные затраты'!BQ37</f>
        <v>2153845925.5999999</v>
      </c>
      <c r="BS14" s="56">
        <f>'Операционные затраты'!BR37</f>
        <v>2153845925.5999999</v>
      </c>
      <c r="BT14" s="56">
        <f>'Операционные затраты'!BS37</f>
        <v>2153845925.5999999</v>
      </c>
      <c r="BU14" s="56">
        <f>'Операционные затраты'!BT37</f>
        <v>2153845925.5999999</v>
      </c>
      <c r="BV14" s="56">
        <f>'Операционные затраты'!BU37</f>
        <v>2153845925.5999999</v>
      </c>
      <c r="BW14" s="56">
        <f>'Операционные затраты'!BV37</f>
        <v>2153845925.5999999</v>
      </c>
      <c r="BX14" s="56">
        <f>'Операционные затраты'!BW37</f>
        <v>2153845925.5999999</v>
      </c>
      <c r="BY14" s="56">
        <f>'Операционные затраты'!BX37</f>
        <v>2153845925.5999999</v>
      </c>
      <c r="BZ14" s="56">
        <f>'Операционные затраты'!BY37</f>
        <v>2153850925.5999999</v>
      </c>
      <c r="CA14" s="56">
        <f>'Операционные затраты'!BZ37</f>
        <v>2153850925.5999999</v>
      </c>
      <c r="CB14" s="56">
        <f>'Операционные затраты'!CA37</f>
        <v>2153850925.5999999</v>
      </c>
      <c r="CC14" s="56">
        <f>'Операционные затраты'!CB37</f>
        <v>2153850925.5999999</v>
      </c>
      <c r="CD14" s="56">
        <f>'Операционные затраты'!CC37</f>
        <v>2153850925.5999999</v>
      </c>
      <c r="CE14" s="56">
        <f>'Операционные затраты'!CD37</f>
        <v>2153850925.5999999</v>
      </c>
      <c r="CF14" s="56">
        <f>'Операционные затраты'!CE37</f>
        <v>2153850925.5999999</v>
      </c>
      <c r="CG14" s="56">
        <f>'Операционные затраты'!CF37</f>
        <v>2153850925.5999999</v>
      </c>
      <c r="CH14" s="56">
        <f>'Операционные затраты'!CG37</f>
        <v>2153850925.5999999</v>
      </c>
      <c r="CI14" s="56">
        <f>'Операционные затраты'!CH37</f>
        <v>2153850925.5999999</v>
      </c>
      <c r="CJ14" s="56">
        <f>'Операционные затраты'!CI37</f>
        <v>2153850925.5999999</v>
      </c>
      <c r="CK14" s="56">
        <f>'Операционные затраты'!CJ37</f>
        <v>2153850925.5999999</v>
      </c>
      <c r="CL14" s="56">
        <f>'Операционные затраты'!CK37</f>
        <v>2153855925.5999999</v>
      </c>
      <c r="CM14" s="56">
        <f>'Операционные затраты'!CL37</f>
        <v>2153855925.5999999</v>
      </c>
      <c r="CN14" s="56">
        <f>'Операционные затраты'!CM37</f>
        <v>2153855925.5999999</v>
      </c>
      <c r="CO14" s="56">
        <f>'Операционные затраты'!CN37</f>
        <v>2153855925.5999999</v>
      </c>
      <c r="CP14" s="56">
        <f>'Операционные затраты'!CO37</f>
        <v>2153855925.5999999</v>
      </c>
      <c r="CQ14" s="56">
        <f>'Операционные затраты'!CP37</f>
        <v>2153855925.5999999</v>
      </c>
      <c r="CR14" s="56">
        <f>'Операционные затраты'!CQ37</f>
        <v>2153855925.5999999</v>
      </c>
      <c r="CS14" s="56">
        <f>'Операционные затраты'!CR37</f>
        <v>2153855925.5999999</v>
      </c>
      <c r="CT14" s="56">
        <f>'Операционные затраты'!CS37</f>
        <v>2153855925.5999999</v>
      </c>
      <c r="CU14" s="56">
        <f>'Операционные затраты'!CT37</f>
        <v>2153855925.5999999</v>
      </c>
      <c r="CV14" s="56">
        <f>'Операционные затраты'!CU37</f>
        <v>2153855925.5999999</v>
      </c>
      <c r="CW14" s="56">
        <f>'Операционные затраты'!CV37</f>
        <v>2153855925.5999999</v>
      </c>
      <c r="CX14" s="56">
        <f>'Операционные затраты'!CW37</f>
        <v>2153860925.5999999</v>
      </c>
      <c r="CY14" s="56">
        <f>'Операционные затраты'!CX37</f>
        <v>2153860925.5999999</v>
      </c>
      <c r="CZ14" s="56">
        <f>'Операционные затраты'!CY37</f>
        <v>2153860925.5999999</v>
      </c>
      <c r="DA14" s="56">
        <f>'Операционные затраты'!CZ37</f>
        <v>2153860925.5999999</v>
      </c>
      <c r="DB14" s="56">
        <f>'Операционные затраты'!DA37</f>
        <v>2153860925.5999999</v>
      </c>
      <c r="DC14" s="56">
        <f>'Операционные затраты'!DB37</f>
        <v>2153860925.5999999</v>
      </c>
      <c r="DD14" s="56">
        <f>'Операционные затраты'!DC37</f>
        <v>2153860925.5999999</v>
      </c>
      <c r="DE14" s="56">
        <f>'Операционные затраты'!DD37</f>
        <v>2153860925.5999999</v>
      </c>
      <c r="DF14" s="56">
        <f>'Операционные затраты'!DE37</f>
        <v>2153860925.5999999</v>
      </c>
      <c r="DG14" s="56">
        <f>'Операционные затраты'!DF37</f>
        <v>2153860925.5999999</v>
      </c>
      <c r="DH14" s="56">
        <f>'Операционные затраты'!DG37</f>
        <v>2153860925.5999999</v>
      </c>
      <c r="DI14" s="56">
        <f>'Операционные затраты'!DH37</f>
        <v>2153860925.5999999</v>
      </c>
      <c r="DJ14" s="56">
        <f>'Операционные затраты'!DI37</f>
        <v>2153865925.5999999</v>
      </c>
      <c r="DK14" s="56">
        <f>'Операционные затраты'!DJ37</f>
        <v>2153865925.5999999</v>
      </c>
      <c r="DL14" s="56">
        <f>'Операционные затраты'!DK37</f>
        <v>2153865925.5999999</v>
      </c>
      <c r="DM14" s="56">
        <f>'Операционные затраты'!DL37</f>
        <v>2153865925.5999999</v>
      </c>
      <c r="DN14" s="56">
        <f>'Операционные затраты'!DM37</f>
        <v>2153865925.5999999</v>
      </c>
      <c r="DO14" s="56">
        <f>'Операционные затраты'!DN37</f>
        <v>2153865925.5999999</v>
      </c>
      <c r="DP14" s="56">
        <f>'Операционные затраты'!DO37</f>
        <v>2153865925.5999999</v>
      </c>
      <c r="DQ14" s="56">
        <f>'Операционные затраты'!DP37</f>
        <v>2153865925.5999999</v>
      </c>
      <c r="DR14" s="56">
        <f>'Операционные затраты'!DQ37</f>
        <v>2153865925.5999999</v>
      </c>
      <c r="DS14" s="56">
        <f>'Операционные затраты'!DR37</f>
        <v>2153865925.5999999</v>
      </c>
      <c r="DT14" s="56">
        <f>'Операционные затраты'!DS37</f>
        <v>2153865925.5999999</v>
      </c>
      <c r="DU14" s="56">
        <f>'Операционные затраты'!DT37</f>
        <v>2153865925.5999999</v>
      </c>
    </row>
    <row r="15" spans="2:125">
      <c r="B15" s="114" t="s">
        <v>127</v>
      </c>
      <c r="C15" s="5" t="s">
        <v>128</v>
      </c>
      <c r="D15" s="78" t="s">
        <v>35</v>
      </c>
      <c r="E15" s="56">
        <f t="shared" si="7"/>
        <v>144002059992</v>
      </c>
      <c r="F15" s="56">
        <f>SUM('Операционные затраты'!E23:E26)</f>
        <v>1200171666</v>
      </c>
      <c r="G15" s="56">
        <f>SUM('Операционные затраты'!F23:F26)</f>
        <v>1200171666</v>
      </c>
      <c r="H15" s="56">
        <f>SUM('Операционные затраты'!G23:G26)</f>
        <v>1200171666</v>
      </c>
      <c r="I15" s="56">
        <f>SUM('Операционные затраты'!H23:H26)</f>
        <v>1200171666</v>
      </c>
      <c r="J15" s="56">
        <f>SUM('Операционные затраты'!I23:I26)</f>
        <v>1200171666</v>
      </c>
      <c r="K15" s="56">
        <f>SUM('Операционные затраты'!J23:J26)</f>
        <v>1200171666</v>
      </c>
      <c r="L15" s="56">
        <f>SUM('Операционные затраты'!K23:K26)</f>
        <v>1200171666</v>
      </c>
      <c r="M15" s="56">
        <f>SUM('Операционные затраты'!L23:L26)</f>
        <v>1200171666</v>
      </c>
      <c r="N15" s="56">
        <f>SUM('Операционные затраты'!M23:M26)</f>
        <v>1200171666</v>
      </c>
      <c r="O15" s="56">
        <f>SUM('Операционные затраты'!N23:N26)</f>
        <v>1200171666</v>
      </c>
      <c r="P15" s="56">
        <f>SUM('Операционные затраты'!O23:O26)</f>
        <v>1200171666</v>
      </c>
      <c r="Q15" s="56">
        <f>SUM('Операционные затраты'!P23:P26)</f>
        <v>1200171666</v>
      </c>
      <c r="R15" s="56">
        <f>SUM('Операционные затраты'!Q23:Q26)</f>
        <v>1200000000</v>
      </c>
      <c r="S15" s="56">
        <f>SUM('Операционные затраты'!R23:R26)</f>
        <v>1200000000</v>
      </c>
      <c r="T15" s="56">
        <f>SUM('Операционные затраты'!S23:S26)</f>
        <v>1200000000</v>
      </c>
      <c r="U15" s="56">
        <f>SUM('Операционные затраты'!T23:T26)</f>
        <v>1200000000</v>
      </c>
      <c r="V15" s="56">
        <f>SUM('Операционные затраты'!U23:U26)</f>
        <v>1200000000</v>
      </c>
      <c r="W15" s="56">
        <f>SUM('Операционные затраты'!V23:V26)</f>
        <v>1200000000</v>
      </c>
      <c r="X15" s="56">
        <f>SUM('Операционные затраты'!W23:W26)</f>
        <v>1200000000</v>
      </c>
      <c r="Y15" s="56">
        <f>SUM('Операционные затраты'!X23:X26)</f>
        <v>1200000000</v>
      </c>
      <c r="Z15" s="56">
        <f>SUM('Операционные затраты'!Y23:Y26)</f>
        <v>1200000000</v>
      </c>
      <c r="AA15" s="56">
        <f>SUM('Операционные затраты'!Z23:Z26)</f>
        <v>1200000000</v>
      </c>
      <c r="AB15" s="56">
        <f>SUM('Операционные затраты'!AA23:AA26)</f>
        <v>1200000000</v>
      </c>
      <c r="AC15" s="56">
        <f>SUM('Операционные затраты'!AB23:AB26)</f>
        <v>1200000000</v>
      </c>
      <c r="AD15" s="56">
        <f>SUM('Операционные затраты'!AC23:AC26)</f>
        <v>1200000000</v>
      </c>
      <c r="AE15" s="56">
        <f>SUM('Операционные затраты'!AD23:AD26)</f>
        <v>1200000000</v>
      </c>
      <c r="AF15" s="56">
        <f>SUM('Операционные затраты'!AE23:AE26)</f>
        <v>1200000000</v>
      </c>
      <c r="AG15" s="56">
        <f>SUM('Операционные затраты'!AF23:AF26)</f>
        <v>1200000000</v>
      </c>
      <c r="AH15" s="56">
        <f>SUM('Операционные затраты'!AG23:AG26)</f>
        <v>1200000000</v>
      </c>
      <c r="AI15" s="56">
        <f>SUM('Операционные затраты'!AH23:AH26)</f>
        <v>1200000000</v>
      </c>
      <c r="AJ15" s="56">
        <f>SUM('Операционные затраты'!AI23:AI26)</f>
        <v>1200000000</v>
      </c>
      <c r="AK15" s="56">
        <f>SUM('Операционные затраты'!AJ23:AJ26)</f>
        <v>1200000000</v>
      </c>
      <c r="AL15" s="56">
        <f>SUM('Операционные затраты'!AK23:AK26)</f>
        <v>1200000000</v>
      </c>
      <c r="AM15" s="56">
        <f>SUM('Операционные затраты'!AL23:AL26)</f>
        <v>1200000000</v>
      </c>
      <c r="AN15" s="56">
        <f>SUM('Операционные затраты'!AM23:AM26)</f>
        <v>1200000000</v>
      </c>
      <c r="AO15" s="56">
        <f>SUM('Операционные затраты'!AN23:AN26)</f>
        <v>1200000000</v>
      </c>
      <c r="AP15" s="56">
        <f>SUM('Операционные затраты'!AO23:AO26)</f>
        <v>1200000000</v>
      </c>
      <c r="AQ15" s="56">
        <f>SUM('Операционные затраты'!AP23:AP26)</f>
        <v>1200000000</v>
      </c>
      <c r="AR15" s="56">
        <f>SUM('Операционные затраты'!AQ23:AQ26)</f>
        <v>1200000000</v>
      </c>
      <c r="AS15" s="56">
        <f>SUM('Операционные затраты'!AR23:AR26)</f>
        <v>1200000000</v>
      </c>
      <c r="AT15" s="56">
        <f>SUM('Операционные затраты'!AS23:AS26)</f>
        <v>1200000000</v>
      </c>
      <c r="AU15" s="56">
        <f>SUM('Операционные затраты'!AT23:AT26)</f>
        <v>1200000000</v>
      </c>
      <c r="AV15" s="56">
        <f>SUM('Операционные затраты'!AU23:AU26)</f>
        <v>1200000000</v>
      </c>
      <c r="AW15" s="56">
        <f>SUM('Операционные затраты'!AV23:AV26)</f>
        <v>1200000000</v>
      </c>
      <c r="AX15" s="56">
        <f>SUM('Операционные затраты'!AW23:AW26)</f>
        <v>1200000000</v>
      </c>
      <c r="AY15" s="56">
        <f>SUM('Операционные затраты'!AX23:AX26)</f>
        <v>1200000000</v>
      </c>
      <c r="AZ15" s="56">
        <f>SUM('Операционные затраты'!AY23:AY26)</f>
        <v>1200000000</v>
      </c>
      <c r="BA15" s="56">
        <f>SUM('Операционные затраты'!AZ23:AZ26)</f>
        <v>1200000000</v>
      </c>
      <c r="BB15" s="56">
        <f>SUM('Операционные затраты'!BA23:BA26)</f>
        <v>1200000000</v>
      </c>
      <c r="BC15" s="56">
        <f>SUM('Операционные затраты'!BB23:BB26)</f>
        <v>1200000000</v>
      </c>
      <c r="BD15" s="56">
        <f>SUM('Операционные затраты'!BC23:BC26)</f>
        <v>1200000000</v>
      </c>
      <c r="BE15" s="56">
        <f>SUM('Операционные затраты'!BD23:BD26)</f>
        <v>1200000000</v>
      </c>
      <c r="BF15" s="56">
        <f>SUM('Операционные затраты'!BE23:BE26)</f>
        <v>1200000000</v>
      </c>
      <c r="BG15" s="56">
        <f>SUM('Операционные затраты'!BF23:BF26)</f>
        <v>1200000000</v>
      </c>
      <c r="BH15" s="56">
        <f>SUM('Операционные затраты'!BG23:BG26)</f>
        <v>1200000000</v>
      </c>
      <c r="BI15" s="56">
        <f>SUM('Операционные затраты'!BH23:BH26)</f>
        <v>1200000000</v>
      </c>
      <c r="BJ15" s="56">
        <f>SUM('Операционные затраты'!BI23:BI26)</f>
        <v>1200000000</v>
      </c>
      <c r="BK15" s="56">
        <f>SUM('Операционные затраты'!BJ23:BJ26)</f>
        <v>1200000000</v>
      </c>
      <c r="BL15" s="56">
        <f>SUM('Операционные затраты'!BK23:BK26)</f>
        <v>1200000000</v>
      </c>
      <c r="BM15" s="56">
        <f>SUM('Операционные затраты'!BL23:BL26)</f>
        <v>1200000000</v>
      </c>
      <c r="BN15" s="56">
        <f>SUM('Операционные затраты'!BM23:BM26)</f>
        <v>1200000000</v>
      </c>
      <c r="BO15" s="56">
        <f>SUM('Операционные затраты'!BN23:BN26)</f>
        <v>1200000000</v>
      </c>
      <c r="BP15" s="56">
        <f>SUM('Операционные затраты'!BO23:BO26)</f>
        <v>1200000000</v>
      </c>
      <c r="BQ15" s="56">
        <f>SUM('Операционные затраты'!BP23:BP26)</f>
        <v>1200000000</v>
      </c>
      <c r="BR15" s="56">
        <f>SUM('Операционные затраты'!BQ23:BQ26)</f>
        <v>1200000000</v>
      </c>
      <c r="BS15" s="56">
        <f>SUM('Операционные затраты'!BR23:BR26)</f>
        <v>1200000000</v>
      </c>
      <c r="BT15" s="56">
        <f>SUM('Операционные затраты'!BS23:BS26)</f>
        <v>1200000000</v>
      </c>
      <c r="BU15" s="56">
        <f>SUM('Операционные затраты'!BT23:BT26)</f>
        <v>1200000000</v>
      </c>
      <c r="BV15" s="56">
        <f>SUM('Операционные затраты'!BU23:BU26)</f>
        <v>1200000000</v>
      </c>
      <c r="BW15" s="56">
        <f>SUM('Операционные затраты'!BV23:BV26)</f>
        <v>1200000000</v>
      </c>
      <c r="BX15" s="56">
        <f>SUM('Операционные затраты'!BW23:BW26)</f>
        <v>1200000000</v>
      </c>
      <c r="BY15" s="56">
        <f>SUM('Операционные затраты'!BX23:BX26)</f>
        <v>1200000000</v>
      </c>
      <c r="BZ15" s="56">
        <f>SUM('Операционные затраты'!BY23:BY26)</f>
        <v>1200000000</v>
      </c>
      <c r="CA15" s="56">
        <f>SUM('Операционные затраты'!BZ23:BZ26)</f>
        <v>1200000000</v>
      </c>
      <c r="CB15" s="56">
        <f>SUM('Операционные затраты'!CA23:CA26)</f>
        <v>1200000000</v>
      </c>
      <c r="CC15" s="56">
        <f>SUM('Операционные затраты'!CB23:CB26)</f>
        <v>1200000000</v>
      </c>
      <c r="CD15" s="56">
        <f>SUM('Операционные затраты'!CC23:CC26)</f>
        <v>1200000000</v>
      </c>
      <c r="CE15" s="56">
        <f>SUM('Операционные затраты'!CD23:CD26)</f>
        <v>1200000000</v>
      </c>
      <c r="CF15" s="56">
        <f>SUM('Операционные затраты'!CE23:CE26)</f>
        <v>1200000000</v>
      </c>
      <c r="CG15" s="56">
        <f>SUM('Операционные затраты'!CF23:CF26)</f>
        <v>1200000000</v>
      </c>
      <c r="CH15" s="56">
        <f>SUM('Операционные затраты'!CG23:CG26)</f>
        <v>1200000000</v>
      </c>
      <c r="CI15" s="56">
        <f>SUM('Операционные затраты'!CH23:CH26)</f>
        <v>1200000000</v>
      </c>
      <c r="CJ15" s="56">
        <f>SUM('Операционные затраты'!CI23:CI26)</f>
        <v>1200000000</v>
      </c>
      <c r="CK15" s="56">
        <f>SUM('Операционные затраты'!CJ23:CJ26)</f>
        <v>1200000000</v>
      </c>
      <c r="CL15" s="56">
        <f>SUM('Операционные затраты'!CK23:CK26)</f>
        <v>1200000000</v>
      </c>
      <c r="CM15" s="56">
        <f>SUM('Операционные затраты'!CL23:CL26)</f>
        <v>1200000000</v>
      </c>
      <c r="CN15" s="56">
        <f>SUM('Операционные затраты'!CM23:CM26)</f>
        <v>1200000000</v>
      </c>
      <c r="CO15" s="56">
        <f>SUM('Операционные затраты'!CN23:CN26)</f>
        <v>1200000000</v>
      </c>
      <c r="CP15" s="56">
        <f>SUM('Операционные затраты'!CO23:CO26)</f>
        <v>1200000000</v>
      </c>
      <c r="CQ15" s="56">
        <f>SUM('Операционные затраты'!CP23:CP26)</f>
        <v>1200000000</v>
      </c>
      <c r="CR15" s="56">
        <f>SUM('Операционные затраты'!CQ23:CQ26)</f>
        <v>1200000000</v>
      </c>
      <c r="CS15" s="56">
        <f>SUM('Операционные затраты'!CR23:CR26)</f>
        <v>1200000000</v>
      </c>
      <c r="CT15" s="56">
        <f>SUM('Операционные затраты'!CS23:CS26)</f>
        <v>1200000000</v>
      </c>
      <c r="CU15" s="56">
        <f>SUM('Операционные затраты'!CT23:CT26)</f>
        <v>1200000000</v>
      </c>
      <c r="CV15" s="56">
        <f>SUM('Операционные затраты'!CU23:CU26)</f>
        <v>1200000000</v>
      </c>
      <c r="CW15" s="56">
        <f>SUM('Операционные затраты'!CV23:CV26)</f>
        <v>1200000000</v>
      </c>
      <c r="CX15" s="56">
        <f>SUM('Операционные затраты'!CW23:CW26)</f>
        <v>1200000000</v>
      </c>
      <c r="CY15" s="56">
        <f>SUM('Операционные затраты'!CX23:CX26)</f>
        <v>1200000000</v>
      </c>
      <c r="CZ15" s="56">
        <f>SUM('Операционные затраты'!CY23:CY26)</f>
        <v>1200000000</v>
      </c>
      <c r="DA15" s="56">
        <f>SUM('Операционные затраты'!CZ23:CZ26)</f>
        <v>1200000000</v>
      </c>
      <c r="DB15" s="56">
        <f>SUM('Операционные затраты'!DA23:DA26)</f>
        <v>1200000000</v>
      </c>
      <c r="DC15" s="56">
        <f>SUM('Операционные затраты'!DB23:DB26)</f>
        <v>1200000000</v>
      </c>
      <c r="DD15" s="56">
        <f>SUM('Операционные затраты'!DC23:DC26)</f>
        <v>1200000000</v>
      </c>
      <c r="DE15" s="56">
        <f>SUM('Операционные затраты'!DD23:DD26)</f>
        <v>1200000000</v>
      </c>
      <c r="DF15" s="56">
        <f>SUM('Операционные затраты'!DE23:DE26)</f>
        <v>1200000000</v>
      </c>
      <c r="DG15" s="56">
        <f>SUM('Операционные затраты'!DF23:DF26)</f>
        <v>1200000000</v>
      </c>
      <c r="DH15" s="56">
        <f>SUM('Операционные затраты'!DG23:DG26)</f>
        <v>1200000000</v>
      </c>
      <c r="DI15" s="56">
        <f>SUM('Операционные затраты'!DH23:DH26)</f>
        <v>1200000000</v>
      </c>
      <c r="DJ15" s="56">
        <f>SUM('Операционные затраты'!DI23:DI26)</f>
        <v>1200000000</v>
      </c>
      <c r="DK15" s="56">
        <f>SUM('Операционные затраты'!DJ23:DJ26)</f>
        <v>1200000000</v>
      </c>
      <c r="DL15" s="56">
        <f>SUM('Операционные затраты'!DK23:DK26)</f>
        <v>1200000000</v>
      </c>
      <c r="DM15" s="56">
        <f>SUM('Операционные затраты'!DL23:DL26)</f>
        <v>1200000000</v>
      </c>
      <c r="DN15" s="56">
        <f>SUM('Операционные затраты'!DM23:DM26)</f>
        <v>1200000000</v>
      </c>
      <c r="DO15" s="56">
        <f>SUM('Операционные затраты'!DN23:DN26)</f>
        <v>1200000000</v>
      </c>
      <c r="DP15" s="56">
        <f>SUM('Операционные затраты'!DO23:DO26)</f>
        <v>1200000000</v>
      </c>
      <c r="DQ15" s="56">
        <f>SUM('Операционные затраты'!DP23:DP26)</f>
        <v>1200000000</v>
      </c>
      <c r="DR15" s="56">
        <f>SUM('Операционные затраты'!DQ23:DQ26)</f>
        <v>1200000000</v>
      </c>
      <c r="DS15" s="56">
        <f>SUM('Операционные затраты'!DR23:DR26)</f>
        <v>1200000000</v>
      </c>
      <c r="DT15" s="56">
        <f>SUM('Операционные затраты'!DS23:DS26)</f>
        <v>1200000000</v>
      </c>
      <c r="DU15" s="56">
        <f>SUM('Операционные затраты'!DT23:DT26)</f>
        <v>1200000000</v>
      </c>
    </row>
    <row r="16" spans="2:125" ht="16.5" customHeight="1">
      <c r="B16" s="114" t="s">
        <v>129</v>
      </c>
      <c r="C16" s="5" t="s">
        <v>130</v>
      </c>
      <c r="D16" s="78" t="s">
        <v>35</v>
      </c>
      <c r="E16" s="56">
        <f t="shared" si="7"/>
        <v>0</v>
      </c>
      <c r="F16" s="56">
        <v>0</v>
      </c>
      <c r="G16" s="56">
        <v>0</v>
      </c>
      <c r="H16" s="56">
        <v>0</v>
      </c>
      <c r="I16" s="56">
        <v>0</v>
      </c>
      <c r="J16" s="56">
        <v>0</v>
      </c>
      <c r="K16" s="56">
        <v>0</v>
      </c>
      <c r="L16" s="56">
        <v>0</v>
      </c>
      <c r="M16" s="56">
        <v>0</v>
      </c>
      <c r="N16" s="56">
        <v>0</v>
      </c>
      <c r="O16" s="56">
        <v>0</v>
      </c>
      <c r="P16" s="56">
        <v>0</v>
      </c>
      <c r="Q16" s="56">
        <v>0</v>
      </c>
      <c r="R16" s="56">
        <v>0</v>
      </c>
      <c r="S16" s="56">
        <v>0</v>
      </c>
      <c r="T16" s="56">
        <v>0</v>
      </c>
      <c r="U16" s="56">
        <v>0</v>
      </c>
      <c r="V16" s="56">
        <v>0</v>
      </c>
      <c r="W16" s="56">
        <v>0</v>
      </c>
      <c r="X16" s="56">
        <v>0</v>
      </c>
      <c r="Y16" s="56">
        <v>0</v>
      </c>
      <c r="Z16" s="56">
        <v>0</v>
      </c>
      <c r="AA16" s="56">
        <v>0</v>
      </c>
      <c r="AB16" s="56">
        <v>0</v>
      </c>
      <c r="AC16" s="56">
        <v>0</v>
      </c>
      <c r="AD16" s="56">
        <v>0</v>
      </c>
      <c r="AE16" s="56">
        <v>0</v>
      </c>
      <c r="AF16" s="56">
        <v>0</v>
      </c>
      <c r="AG16" s="56">
        <v>0</v>
      </c>
      <c r="AH16" s="56">
        <v>0</v>
      </c>
      <c r="AI16" s="56">
        <v>0</v>
      </c>
      <c r="AJ16" s="56">
        <v>0</v>
      </c>
      <c r="AK16" s="56">
        <v>0</v>
      </c>
      <c r="AL16" s="56">
        <v>0</v>
      </c>
      <c r="AM16" s="56">
        <v>0</v>
      </c>
      <c r="AN16" s="56">
        <v>0</v>
      </c>
      <c r="AO16" s="56">
        <v>0</v>
      </c>
      <c r="AP16" s="56">
        <v>0</v>
      </c>
      <c r="AQ16" s="56">
        <v>0</v>
      </c>
      <c r="AR16" s="56">
        <v>0</v>
      </c>
      <c r="AS16" s="56">
        <v>0</v>
      </c>
      <c r="AT16" s="56">
        <v>0</v>
      </c>
      <c r="AU16" s="56">
        <v>0</v>
      </c>
      <c r="AV16" s="56">
        <v>0</v>
      </c>
      <c r="AW16" s="56">
        <v>0</v>
      </c>
      <c r="AX16" s="56">
        <v>0</v>
      </c>
      <c r="AY16" s="56">
        <v>0</v>
      </c>
      <c r="AZ16" s="56">
        <v>0</v>
      </c>
      <c r="BA16" s="56">
        <v>0</v>
      </c>
      <c r="BB16" s="56">
        <v>0</v>
      </c>
      <c r="BC16" s="56">
        <v>0</v>
      </c>
      <c r="BD16" s="56">
        <v>0</v>
      </c>
      <c r="BE16" s="56">
        <v>0</v>
      </c>
      <c r="BF16" s="56">
        <v>0</v>
      </c>
      <c r="BG16" s="56">
        <v>0</v>
      </c>
      <c r="BH16" s="56">
        <v>0</v>
      </c>
      <c r="BI16" s="56">
        <v>0</v>
      </c>
      <c r="BJ16" s="56">
        <v>0</v>
      </c>
      <c r="BK16" s="56">
        <v>0</v>
      </c>
      <c r="BL16" s="56">
        <v>0</v>
      </c>
      <c r="BM16" s="56">
        <v>0</v>
      </c>
      <c r="BN16" s="56">
        <v>0</v>
      </c>
      <c r="BO16" s="56">
        <v>0</v>
      </c>
      <c r="BP16" s="56">
        <v>0</v>
      </c>
      <c r="BQ16" s="56">
        <v>0</v>
      </c>
      <c r="BR16" s="56">
        <v>0</v>
      </c>
      <c r="BS16" s="56">
        <v>0</v>
      </c>
      <c r="BT16" s="56">
        <v>0</v>
      </c>
      <c r="BU16" s="56">
        <v>0</v>
      </c>
      <c r="BV16" s="56">
        <v>0</v>
      </c>
      <c r="BW16" s="56">
        <v>0</v>
      </c>
      <c r="BX16" s="56">
        <v>0</v>
      </c>
      <c r="BY16" s="56">
        <v>0</v>
      </c>
      <c r="BZ16" s="56">
        <v>0</v>
      </c>
      <c r="CA16" s="56">
        <v>0</v>
      </c>
      <c r="CB16" s="56">
        <v>0</v>
      </c>
      <c r="CC16" s="56">
        <v>0</v>
      </c>
      <c r="CD16" s="56">
        <v>0</v>
      </c>
      <c r="CE16" s="56">
        <v>0</v>
      </c>
      <c r="CF16" s="56">
        <v>0</v>
      </c>
      <c r="CG16" s="56">
        <v>0</v>
      </c>
      <c r="CH16" s="56">
        <v>0</v>
      </c>
      <c r="CI16" s="56">
        <v>0</v>
      </c>
      <c r="CJ16" s="56">
        <v>0</v>
      </c>
      <c r="CK16" s="56">
        <v>0</v>
      </c>
      <c r="CL16" s="56">
        <v>0</v>
      </c>
      <c r="CM16" s="56">
        <v>0</v>
      </c>
      <c r="CN16" s="56">
        <v>0</v>
      </c>
      <c r="CO16" s="56">
        <v>0</v>
      </c>
      <c r="CP16" s="56">
        <v>0</v>
      </c>
      <c r="CQ16" s="56">
        <v>0</v>
      </c>
      <c r="CR16" s="56">
        <v>0</v>
      </c>
      <c r="CS16" s="56">
        <v>0</v>
      </c>
      <c r="CT16" s="56">
        <v>0</v>
      </c>
      <c r="CU16" s="56">
        <v>0</v>
      </c>
      <c r="CV16" s="56">
        <v>0</v>
      </c>
      <c r="CW16" s="56">
        <v>0</v>
      </c>
      <c r="CX16" s="56">
        <v>0</v>
      </c>
      <c r="CY16" s="56">
        <v>0</v>
      </c>
      <c r="CZ16" s="56">
        <v>0</v>
      </c>
      <c r="DA16" s="56">
        <v>0</v>
      </c>
      <c r="DB16" s="56">
        <v>0</v>
      </c>
      <c r="DC16" s="56">
        <v>0</v>
      </c>
      <c r="DD16" s="56">
        <v>0</v>
      </c>
      <c r="DE16" s="56">
        <v>0</v>
      </c>
      <c r="DF16" s="56">
        <v>0</v>
      </c>
      <c r="DG16" s="56">
        <v>0</v>
      </c>
      <c r="DH16" s="56">
        <v>0</v>
      </c>
      <c r="DI16" s="56">
        <v>0</v>
      </c>
      <c r="DJ16" s="56">
        <v>0</v>
      </c>
      <c r="DK16" s="56">
        <v>0</v>
      </c>
      <c r="DL16" s="56">
        <v>0</v>
      </c>
      <c r="DM16" s="56">
        <v>0</v>
      </c>
      <c r="DN16" s="56">
        <v>0</v>
      </c>
      <c r="DO16" s="56">
        <v>0</v>
      </c>
      <c r="DP16" s="56">
        <v>0</v>
      </c>
      <c r="DQ16" s="56">
        <v>0</v>
      </c>
      <c r="DR16" s="56">
        <v>0</v>
      </c>
      <c r="DS16" s="56">
        <v>0</v>
      </c>
      <c r="DT16" s="56">
        <v>0</v>
      </c>
      <c r="DU16" s="56">
        <v>0</v>
      </c>
    </row>
    <row r="17" spans="2:125">
      <c r="B17" s="114" t="s">
        <v>131</v>
      </c>
      <c r="C17" s="5" t="s">
        <v>132</v>
      </c>
      <c r="D17" s="78" t="s">
        <v>35</v>
      </c>
      <c r="E17" s="56">
        <f t="shared" si="7"/>
        <v>4100722770031.1704</v>
      </c>
      <c r="F17" s="56">
        <f>'Налоги и сборы до'!E5</f>
        <v>4563926762.0737734</v>
      </c>
      <c r="G17" s="56">
        <f>'Налоги и сборы до'!F5</f>
        <v>4682226062.3397293</v>
      </c>
      <c r="H17" s="56">
        <f>'Налоги и сборы до'!G5</f>
        <v>4803744623.8486099</v>
      </c>
      <c r="I17" s="56">
        <f>'Налоги и сборы до'!H5</f>
        <v>4928573807.1274424</v>
      </c>
      <c r="J17" s="56">
        <f>'Налоги и сборы до'!I5</f>
        <v>5056807653.314414</v>
      </c>
      <c r="K17" s="56">
        <f>'Налоги и сборы до'!J5</f>
        <v>5188542964.781827</v>
      </c>
      <c r="L17" s="56">
        <f>'Налоги и сборы до'!K5</f>
        <v>5323879388.2266836</v>
      </c>
      <c r="M17" s="56">
        <f>'Налоги и сборы до'!L5</f>
        <v>5462919500.3052959</v>
      </c>
      <c r="N17" s="56">
        <f>'Налоги и сборы до'!M5</f>
        <v>5605768895.89079</v>
      </c>
      <c r="O17" s="56">
        <f>'Налоги и сборы до'!N5</f>
        <v>5752536279.0347242</v>
      </c>
      <c r="P17" s="56">
        <f>'Налоги и сборы до'!O5</f>
        <v>5903333556.7166739</v>
      </c>
      <c r="Q17" s="56">
        <f>'Налоги и сборы до'!P5</f>
        <v>6058275935.4682274</v>
      </c>
      <c r="R17" s="56">
        <f>'Налоги и сборы до'!Q5</f>
        <v>6217482020.9604845</v>
      </c>
      <c r="S17" s="56">
        <f>'Налоги и сборы до'!R5</f>
        <v>6381073920.6470261</v>
      </c>
      <c r="T17" s="56">
        <f>'Налоги и сборы до'!S5</f>
        <v>6549177349.5571165</v>
      </c>
      <c r="U17" s="56">
        <f>'Налоги и сборы до'!T5</f>
        <v>6721921739.3368979</v>
      </c>
      <c r="V17" s="56">
        <f>'Налоги и сборы до'!U5</f>
        <v>6899440350.6394081</v>
      </c>
      <c r="W17" s="56">
        <f>'Налоги и сборы до'!V5</f>
        <v>7081870388.967351</v>
      </c>
      <c r="X17" s="56">
        <f>'Налоги и сборы до'!W5</f>
        <v>7269353124.0758629</v>
      </c>
      <c r="Y17" s="56">
        <f>'Налоги и сборы до'!X5</f>
        <v>7462034013.0458183</v>
      </c>
      <c r="Z17" s="56">
        <f>'Налоги и сборы до'!Y5</f>
        <v>7660062827.1417227</v>
      </c>
      <c r="AA17" s="56">
        <f>'Налоги и сборы до'!Z5</f>
        <v>7863593782.571744</v>
      </c>
      <c r="AB17" s="56">
        <f>'Налоги и сборы до'!AA5</f>
        <v>8072785675.2712021</v>
      </c>
      <c r="AC17" s="56">
        <f>'Налоги и сборы до'!AB5</f>
        <v>8287802019.8345404</v>
      </c>
      <c r="AD17" s="56">
        <f>'Налоги и сборы до'!AC5</f>
        <v>8508811192.7247658</v>
      </c>
      <c r="AE17" s="56">
        <f>'Налоги и сборы до'!AD5</f>
        <v>8735986579.8933868</v>
      </c>
      <c r="AF17" s="56">
        <f>'Налоги и сборы до'!AE5</f>
        <v>8969506728.9480114</v>
      </c>
      <c r="AG17" s="56">
        <f>'Налоги и сборы до'!AF5</f>
        <v>9209555506.0090771</v>
      </c>
      <c r="AH17" s="56">
        <f>'Налоги и сборы до'!AG5</f>
        <v>9456322257.4016075</v>
      </c>
      <c r="AI17" s="56">
        <f>'Налоги и сборы до'!AH5</f>
        <v>9710001976.3325062</v>
      </c>
      <c r="AJ17" s="56">
        <f>'Налоги и сборы до'!AI5</f>
        <v>9970795474.7085075</v>
      </c>
      <c r="AK17" s="56">
        <f>'Налоги и сборы до'!AJ5</f>
        <v>10238909560.25486</v>
      </c>
      <c r="AL17" s="56">
        <f>'Налоги и сборы до'!AK5</f>
        <v>10514557219.099821</v>
      </c>
      <c r="AM17" s="56">
        <f>'Налоги и сборы до'!AL5</f>
        <v>10797957803.995129</v>
      </c>
      <c r="AN17" s="56">
        <f>'Налоги и сборы до'!AM5</f>
        <v>11089337228.348078</v>
      </c>
      <c r="AO17" s="56">
        <f>'Налоги и сборы до'!AN5</f>
        <v>11388928166.246208</v>
      </c>
      <c r="AP17" s="56">
        <f>'Налоги и сборы до'!AO5</f>
        <v>11696970258.661375</v>
      </c>
      <c r="AQ17" s="56">
        <f>'Налоги и сборы до'!AP5</f>
        <v>12013710326.025782</v>
      </c>
      <c r="AR17" s="56">
        <f>'Налоги и сборы до'!AQ5</f>
        <v>12339402587.37859</v>
      </c>
      <c r="AS17" s="56">
        <f>'Налоги и сборы до'!AR5</f>
        <v>12674308886.287964</v>
      </c>
      <c r="AT17" s="56">
        <f>'Налоги и сборы до'!AS5</f>
        <v>13018698923.759867</v>
      </c>
      <c r="AU17" s="56">
        <f>'Налоги и сборы до'!AT5</f>
        <v>13372850498.351414</v>
      </c>
      <c r="AV17" s="56">
        <f>'Налоги и сборы до'!AU5</f>
        <v>13737049753.713646</v>
      </c>
      <c r="AW17" s="56">
        <f>'Налоги и сборы до'!AV5</f>
        <v>14111591433.795393</v>
      </c>
      <c r="AX17" s="56">
        <f>'Налоги и сборы до'!AW5</f>
        <v>14496779145.947351</v>
      </c>
      <c r="AY17" s="56">
        <f>'Налоги и сборы до'!AX5</f>
        <v>14892925632.172907</v>
      </c>
      <c r="AZ17" s="56">
        <f>'Налоги и сборы до'!AY5</f>
        <v>15300353048.779991</v>
      </c>
      <c r="BA17" s="56">
        <f>'Налоги и сборы до'!AZ5</f>
        <v>15719393254.696232</v>
      </c>
      <c r="BB17" s="56">
        <f>'Налоги и сборы до'!BA5</f>
        <v>16150388108.717949</v>
      </c>
      <c r="BC17" s="56">
        <f>'Налоги и сборы до'!BB5</f>
        <v>16593689775.971886</v>
      </c>
      <c r="BD17" s="56">
        <f>'Налоги и сборы до'!BC5</f>
        <v>17049661043.877558</v>
      </c>
      <c r="BE17" s="56">
        <f>'Налоги и сборы до'!BD5</f>
        <v>17518675647.90683</v>
      </c>
      <c r="BF17" s="56">
        <f>'Налоги и сборы до'!BE5</f>
        <v>18001118607.44701</v>
      </c>
      <c r="BG17" s="56">
        <f>'Налоги и сборы до'!BF5</f>
        <v>18497386572.082958</v>
      </c>
      <c r="BH17" s="56">
        <f>'Налоги и сборы до'!BG5</f>
        <v>19007888178.624043</v>
      </c>
      <c r="BI17" s="56">
        <f>'Налоги и сборы до'!BH5</f>
        <v>19533044419.211586</v>
      </c>
      <c r="BJ17" s="56">
        <f>'Налоги и сборы до'!BI5</f>
        <v>20073289020.853374</v>
      </c>
      <c r="BK17" s="56">
        <f>'Налоги и сборы до'!BJ5</f>
        <v>20629068836.742359</v>
      </c>
      <c r="BL17" s="56">
        <f>'Налоги и сборы до'!BK5</f>
        <v>21200844249.728107</v>
      </c>
      <c r="BM17" s="56">
        <f>'Налоги и сборы до'!BL5</f>
        <v>21789089588.321144</v>
      </c>
      <c r="BN17" s="56">
        <f>'Налоги и сборы до'!BM5</f>
        <v>22394293555.622017</v>
      </c>
      <c r="BO17" s="56">
        <f>'Налоги и сборы до'!BN5</f>
        <v>23016959671.579617</v>
      </c>
      <c r="BP17" s="56">
        <f>'Налоги и сборы до'!BO5</f>
        <v>23657606728.995625</v>
      </c>
      <c r="BQ17" s="56">
        <f>'Налоги и сборы до'!BP5</f>
        <v>24316769263.705341</v>
      </c>
      <c r="BR17" s="56">
        <f>'Налоги и сборы до'!BQ5</f>
        <v>24994998039.378517</v>
      </c>
      <c r="BS17" s="56">
        <f>'Налоги и сборы до'!BR5</f>
        <v>25692860547.397728</v>
      </c>
      <c r="BT17" s="56">
        <f>'Налоги и сборы до'!BS5</f>
        <v>26410941522.286427</v>
      </c>
      <c r="BU17" s="56">
        <f>'Налоги и сборы до'!BT5</f>
        <v>27149843473.17337</v>
      </c>
      <c r="BV17" s="56">
        <f>'Налоги и сборы до'!BU5</f>
        <v>27910187231.795563</v>
      </c>
      <c r="BW17" s="56">
        <f>'Налоги и сборы до'!BV5</f>
        <v>28692612517.557785</v>
      </c>
      <c r="BX17" s="56">
        <f>'Налоги и сборы до'!BW5</f>
        <v>29497778520.182693</v>
      </c>
      <c r="BY17" s="56">
        <f>'Налоги и сборы до'!BX5</f>
        <v>30326364500.502655</v>
      </c>
      <c r="BZ17" s="56">
        <f>'Налоги и сборы до'!BY5</f>
        <v>31179070409.96167</v>
      </c>
      <c r="CA17" s="56">
        <f>'Налоги и сборы до'!BZ5</f>
        <v>32056617529.413391</v>
      </c>
      <c r="CB17" s="56">
        <f>'Налоги и сборы до'!CA5</f>
        <v>32959749127.820175</v>
      </c>
      <c r="CC17" s="56">
        <f>'Налоги и сборы до'!CB5</f>
        <v>33889231141.476601</v>
      </c>
      <c r="CD17" s="56">
        <f>'Налоги и сборы до'!CC5</f>
        <v>34845852874.400925</v>
      </c>
      <c r="CE17" s="56">
        <f>'Налоги и сборы до'!CD5</f>
        <v>35830427720.557823</v>
      </c>
      <c r="CF17" s="56">
        <f>'Налоги и сборы до'!CE5</f>
        <v>36843793908.597015</v>
      </c>
      <c r="CG17" s="56">
        <f>'Налоги и сборы до'!CF5</f>
        <v>37886815269.813553</v>
      </c>
      <c r="CH17" s="56">
        <f>'Налоги и сборы до'!CG5</f>
        <v>38960382030.058083</v>
      </c>
      <c r="CI17" s="56">
        <f>'Налоги и сборы до'!CH5</f>
        <v>40065411626.348007</v>
      </c>
      <c r="CJ17" s="56">
        <f>'Налоги и сборы до'!CI5</f>
        <v>41202849548.954422</v>
      </c>
      <c r="CK17" s="56">
        <f>'Налоги и сборы до'!CJ5</f>
        <v>42373670209.763733</v>
      </c>
      <c r="CL17" s="56">
        <f>'Налоги и сборы до'!CK5</f>
        <v>43578877837.738495</v>
      </c>
      <c r="CM17" s="56">
        <f>'Налоги и сборы до'!CL5</f>
        <v>44819507402.327263</v>
      </c>
      <c r="CN17" s="56">
        <f>'Налоги и сборы до'!CM5</f>
        <v>46096625565.70089</v>
      </c>
      <c r="CO17" s="56">
        <f>'Налоги и сборы до'!CN5</f>
        <v>47411331664.719452</v>
      </c>
      <c r="CP17" s="56">
        <f>'Налоги и сборы до'!CO5</f>
        <v>48764758723.563217</v>
      </c>
      <c r="CQ17" s="56">
        <f>'Налоги и сборы до'!CP5</f>
        <v>50158074497.989624</v>
      </c>
      <c r="CR17" s="56">
        <f>'Налоги и сборы до'!CQ5</f>
        <v>51592482552.209686</v>
      </c>
      <c r="CS17" s="56">
        <f>'Налоги и сборы до'!CR5</f>
        <v>53069223369.407082</v>
      </c>
      <c r="CT17" s="56">
        <f>'Налоги и сборы до'!CS5</f>
        <v>54589575496.956963</v>
      </c>
      <c r="CU17" s="56">
        <f>'Налоги и сборы до'!CT5</f>
        <v>56154856727.433228</v>
      </c>
      <c r="CV17" s="56">
        <f>'Налоги и сборы до'!CU5</f>
        <v>57766425316.528923</v>
      </c>
      <c r="CW17" s="56">
        <f>'Налоги и сборы до'!CV5</f>
        <v>59425681239.048256</v>
      </c>
      <c r="CX17" s="56">
        <f>'Налоги и сборы до'!CW5</f>
        <v>61134067484.166656</v>
      </c>
      <c r="CY17" s="56">
        <f>'Налоги и сборы до'!CX5</f>
        <v>62893071391.191849</v>
      </c>
      <c r="CZ17" s="56">
        <f>'Налоги и сборы до'!CY5</f>
        <v>64704226027.098549</v>
      </c>
      <c r="DA17" s="56">
        <f>'Налоги и сборы до'!CZ5</f>
        <v>66569111607.149025</v>
      </c>
      <c r="DB17" s="56">
        <f>'Налоги и сборы до'!DA5</f>
        <v>68489356959.953285</v>
      </c>
      <c r="DC17" s="56">
        <f>'Налоги и сборы до'!DB5</f>
        <v>70466641038.365524</v>
      </c>
      <c r="DD17" s="56">
        <f>'Налоги и сборы до'!DC5</f>
        <v>72502694477.656754</v>
      </c>
      <c r="DE17" s="56">
        <f>'Налоги и сборы до'!DD5</f>
        <v>74599301202.450104</v>
      </c>
      <c r="DF17" s="56">
        <f>'Налоги и сборы до'!DE5</f>
        <v>76758300083.95079</v>
      </c>
      <c r="DG17" s="56">
        <f>'Налоги и сборы до'!DF5</f>
        <v>78981586649.052048</v>
      </c>
      <c r="DH17" s="56">
        <f>'Налоги и сборы до'!DG5</f>
        <v>81271114842.947983</v>
      </c>
      <c r="DI17" s="56">
        <f>'Налоги и сборы до'!DH5</f>
        <v>83628898846.934937</v>
      </c>
      <c r="DJ17" s="56">
        <f>'Налоги и сборы до'!DI5</f>
        <v>86057014953.137161</v>
      </c>
      <c r="DK17" s="56">
        <f>'Налоги и сборы до'!DJ5</f>
        <v>88557603497.946594</v>
      </c>
      <c r="DL17" s="56">
        <f>'Налоги и сборы до'!DK5</f>
        <v>91132870856.022705</v>
      </c>
      <c r="DM17" s="56">
        <f>'Налоги и сборы до'!DL5</f>
        <v>93785091496.75769</v>
      </c>
      <c r="DN17" s="56">
        <f>'Налоги и сборы до'!DM5</f>
        <v>96516610105.170853</v>
      </c>
      <c r="DO17" s="56">
        <f>'Налоги и сборы до'!DN5</f>
        <v>99329843769.25943</v>
      </c>
      <c r="DP17" s="56">
        <f>'Налоги и сборы до'!DO5</f>
        <v>102227284235.89592</v>
      </c>
      <c r="DQ17" s="56">
        <f>'Налоги и сборы до'!DP5</f>
        <v>105211500237.42834</v>
      </c>
      <c r="DR17" s="56">
        <f>'Налоги и сборы до'!DQ5</f>
        <v>108285139891.20813</v>
      </c>
      <c r="DS17" s="56">
        <f>'Налоги и сборы до'!DR5</f>
        <v>111450933174.33992</v>
      </c>
      <c r="DT17" s="56">
        <f>'Налоги и сборы до'!DS5</f>
        <v>114711694476.02026</v>
      </c>
      <c r="DU17" s="56">
        <f>'Налоги и сборы до'!DT5</f>
        <v>118070325229.90692</v>
      </c>
    </row>
    <row r="18" spans="2:125">
      <c r="B18" s="114" t="s">
        <v>133</v>
      </c>
      <c r="C18" s="5" t="s">
        <v>134</v>
      </c>
      <c r="D18" s="78" t="s">
        <v>35</v>
      </c>
      <c r="E18" s="56">
        <f t="shared" si="7"/>
        <v>25429953330752.656</v>
      </c>
      <c r="F18" s="56">
        <f>SUM('Налоги и сборы до'!E6,'Налоги и сборы до'!E7,'Налоги и сборы до'!E9)</f>
        <v>28341958971.473396</v>
      </c>
      <c r="G18" s="56">
        <f>SUM('Налоги и сборы до'!F6,'Налоги и сборы до'!F7,'Налоги и сборы до'!F9)</f>
        <v>29075414633.122322</v>
      </c>
      <c r="H18" s="56">
        <f>SUM('Налоги и сборы до'!G6,'Налоги и сборы до'!G7,'Налоги и сборы до'!G9)</f>
        <v>29828829714.477383</v>
      </c>
      <c r="I18" s="56">
        <f>SUM('Налоги и сборы до'!H6,'Налоги и сборы до'!H7,'Налоги и сборы до'!H9)</f>
        <v>30602770650.806141</v>
      </c>
      <c r="J18" s="56">
        <f>SUM('Налоги и сборы до'!I6,'Налоги и сборы до'!I7,'Налоги и сборы до'!I9)</f>
        <v>31397820497.165363</v>
      </c>
      <c r="K18" s="56">
        <f>SUM('Налоги и сборы до'!J6,'Налоги и сборы до'!J7,'Налоги и сборы до'!J9)</f>
        <v>32214579428.263329</v>
      </c>
      <c r="L18" s="56">
        <f>SUM('Налоги и сборы до'!K6,'Налоги и сборы до'!K7,'Налоги и сборы до'!K9)</f>
        <v>33053665253.621433</v>
      </c>
      <c r="M18" s="56">
        <f>SUM('Налоги и сборы до'!L6,'Налоги и сборы до'!L7,'Налоги и сборы до'!L9)</f>
        <v>33915713948.508835</v>
      </c>
      <c r="N18" s="56">
        <f>SUM('Налоги и сборы до'!M6,'Налоги и сборы до'!M7,'Налоги и сборы до'!M9)</f>
        <v>34801380201.138893</v>
      </c>
      <c r="O18" s="56">
        <f>SUM('Налоги и сборы до'!N6,'Налоги и сборы до'!N7,'Налоги и сборы до'!N9)</f>
        <v>35711337976.631287</v>
      </c>
      <c r="P18" s="56">
        <f>SUM('Налоги и сборы до'!O6,'Налоги и сборы до'!O7,'Налоги и сборы до'!O9)</f>
        <v>36646281098.259369</v>
      </c>
      <c r="Q18" s="56">
        <f>SUM('Налоги и сборы до'!P6,'Налоги и сборы до'!P7,'Налоги и сборы до'!P9)</f>
        <v>37606923846.519005</v>
      </c>
      <c r="R18" s="56">
        <f>SUM('Налоги и сборы до'!Q6,'Налоги и сборы до'!Q7,'Налоги и сборы до'!Q9)</f>
        <v>38593988529.955002</v>
      </c>
      <c r="S18" s="56">
        <f>SUM('Налоги и сборы до'!R6,'Налоги и сборы до'!R7,'Налоги и сборы до'!R9)</f>
        <v>39608258308.011559</v>
      </c>
      <c r="T18" s="56">
        <f>SUM('Налоги и сборы до'!S6,'Налоги и сборы до'!S7,'Налоги и сборы до'!S9)</f>
        <v>40650499567.25412</v>
      </c>
      <c r="U18" s="56">
        <f>SUM('Налоги и сборы до'!T6,'Налоги и сборы до'!T7,'Налоги и сборы до'!T9)</f>
        <v>41721514783.888763</v>
      </c>
      <c r="V18" s="56">
        <f>SUM('Налоги и сборы до'!U6,'Налоги и сборы до'!U7,'Налоги и сборы до'!U9)</f>
        <v>42822130173.964325</v>
      </c>
      <c r="W18" s="56">
        <f>SUM('Налоги и сборы до'!V6,'Налоги и сборы до'!V7,'Налоги и сборы до'!V9)</f>
        <v>43953196411.59758</v>
      </c>
      <c r="X18" s="56">
        <f>SUM('Налоги и сборы до'!W6,'Налоги и сборы до'!W7,'Налоги и сборы до'!W9)</f>
        <v>45115589369.27034</v>
      </c>
      <c r="Y18" s="56">
        <f>SUM('Налоги и сборы до'!X6,'Налоги и сборы до'!X7,'Налоги и сборы до'!X9)</f>
        <v>46310210880.884064</v>
      </c>
      <c r="Z18" s="56">
        <f>SUM('Налоги и сборы до'!Y6,'Налоги и сборы до'!Y7,'Налоги и сборы до'!Y9)</f>
        <v>47537989528.278671</v>
      </c>
      <c r="AA18" s="56">
        <f>SUM('Налоги и сборы до'!Z6,'Налоги и сборы до'!Z7,'Налоги и сборы до'!Z9)</f>
        <v>48799881451.944809</v>
      </c>
      <c r="AB18" s="56">
        <f>SUM('Налоги и сборы до'!AA6,'Налоги и сборы до'!AA7,'Налоги и сборы до'!AA9)</f>
        <v>50096871186.681458</v>
      </c>
      <c r="AC18" s="56">
        <f>SUM('Налоги и сборы до'!AB6,'Налоги и сборы до'!AB7,'Налоги и сборы до'!AB9)</f>
        <v>51429972522.974152</v>
      </c>
      <c r="AD18" s="56">
        <f>SUM('Налоги и сборы до'!AC6,'Налоги и сборы до'!AC7,'Налоги и сборы до'!AC9)</f>
        <v>52800229394.893539</v>
      </c>
      <c r="AE18" s="56">
        <f>SUM('Налоги и сборы до'!AD6,'Налоги и сборы до'!AD7,'Налоги и сборы до'!AD9)</f>
        <v>54208716795.338997</v>
      </c>
      <c r="AF18" s="56">
        <f>SUM('Налоги и сборы до'!AE6,'Налоги и сборы до'!AE7,'Налоги и сборы до'!AE9)</f>
        <v>55656541719.477676</v>
      </c>
      <c r="AG18" s="56">
        <f>SUM('Налоги и сборы до'!AF6,'Налоги и сборы до'!AF7,'Налоги и сборы до'!AF9)</f>
        <v>57144844137.256271</v>
      </c>
      <c r="AH18" s="56">
        <f>SUM('Налоги и сборы до'!AG6,'Налоги и сборы до'!AG7,'Налоги и сборы до'!AG9)</f>
        <v>58674797995.889961</v>
      </c>
      <c r="AI18" s="56">
        <f>SUM('Налоги и сборы до'!AH6,'Налоги и сборы до'!AH7,'Налоги и сборы до'!AH9)</f>
        <v>60247612253.261536</v>
      </c>
      <c r="AJ18" s="56">
        <f>SUM('Налоги и сборы до'!AI6,'Налоги и сборы до'!AI7,'Налоги и сборы до'!AI9)</f>
        <v>61864531943.192741</v>
      </c>
      <c r="AK18" s="56">
        <f>SUM('Налоги и сборы до'!AJ6,'Налоги и сборы до'!AJ7,'Налоги и сборы до'!AJ9)</f>
        <v>63526839273.580132</v>
      </c>
      <c r="AL18" s="56">
        <f>SUM('Налоги и сборы до'!AK6,'Налоги и сборы до'!AK7,'Налоги и сборы до'!AK9)</f>
        <v>65235854758.418884</v>
      </c>
      <c r="AM18" s="56">
        <f>SUM('Налоги и сборы до'!AL6,'Налоги и сборы до'!AL7,'Налоги и сборы до'!AL9)</f>
        <v>66992938384.769791</v>
      </c>
      <c r="AN18" s="56">
        <f>SUM('Налоги и сборы до'!AM6,'Налоги и сборы до'!AM7,'Налоги и сборы до'!AM9)</f>
        <v>68799490815.758087</v>
      </c>
      <c r="AO18" s="56">
        <f>SUM('Налоги и сборы до'!AN6,'Налоги и сборы до'!AN7,'Налоги и сборы до'!AN9)</f>
        <v>70656954630.726486</v>
      </c>
      <c r="AP18" s="56">
        <f>SUM('Налоги и сборы до'!AO6,'Налоги и сборы до'!AO7,'Налоги и сборы до'!AO9)</f>
        <v>72566815603.700516</v>
      </c>
      <c r="AQ18" s="56">
        <f>SUM('Налоги и сборы до'!AP6,'Налоги и сборы до'!AP7,'Налоги и сборы до'!AP9)</f>
        <v>74530604021.359848</v>
      </c>
      <c r="AR18" s="56">
        <f>SUM('Налоги и сборы до'!AQ6,'Налоги и сборы до'!AQ7,'Налоги и сборы до'!AQ9)</f>
        <v>76549896041.747253</v>
      </c>
      <c r="AS18" s="56">
        <f>SUM('Налоги и сборы до'!AR6,'Налоги и сборы до'!AR7,'Налоги и сборы до'!AR9)</f>
        <v>78626315094.985367</v>
      </c>
      <c r="AT18" s="56">
        <f>SUM('Налоги и сборы до'!AS6,'Налоги и сборы до'!AS7,'Налоги и сборы до'!AS9)</f>
        <v>80761533327.311172</v>
      </c>
      <c r="AU18" s="56">
        <f>SUM('Налоги и сборы до'!AT6,'Налоги и сборы до'!AT7,'Налоги и сборы до'!AT9)</f>
        <v>82957273089.778763</v>
      </c>
      <c r="AV18" s="56">
        <f>SUM('Налоги и сборы до'!AU6,'Налоги и сборы до'!AU7,'Налоги и сборы до'!AU9)</f>
        <v>85215308473.024597</v>
      </c>
      <c r="AW18" s="56">
        <f>SUM('Налоги и сборы до'!AV6,'Налоги и сборы до'!AV7,'Налоги и сборы до'!AV9)</f>
        <v>87537466889.531433</v>
      </c>
      <c r="AX18" s="56">
        <f>SUM('Налоги и сборы до'!AW6,'Налоги и сборы до'!AW7,'Налоги и сборы до'!AW9)</f>
        <v>89925630704.873566</v>
      </c>
      <c r="AY18" s="56">
        <f>SUM('Налоги и сборы до'!AX6,'Налоги и сборы до'!AX7,'Налоги и сборы до'!AX9)</f>
        <v>92381738919.472015</v>
      </c>
      <c r="AZ18" s="56">
        <f>SUM('Налоги и сборы до'!AY6,'Налоги и сборы до'!AY7,'Налоги и сборы до'!AY9)</f>
        <v>94907788902.435944</v>
      </c>
      <c r="BA18" s="56">
        <f>SUM('Налоги и сборы до'!AZ6,'Налоги и сборы до'!AZ7,'Налоги и сборы до'!AZ9)</f>
        <v>97505838179.116638</v>
      </c>
      <c r="BB18" s="56">
        <f>SUM('Налоги и сборы до'!BA6,'Налоги и сборы до'!BA7,'Налоги и сборы до'!BA9)</f>
        <v>100178006274.05127</v>
      </c>
      <c r="BC18" s="56">
        <f>SUM('Налоги и сборы до'!BB6,'Налоги и сборы до'!BB7,'Налоги и сборы до'!BB9)</f>
        <v>102926476611.02568</v>
      </c>
      <c r="BD18" s="56">
        <f>SUM('Налоги и сборы до'!BC6,'Налоги и сборы до'!BC7,'Налоги и сборы до'!BC9)</f>
        <v>105753498472.04086</v>
      </c>
      <c r="BE18" s="56">
        <f>SUM('Налоги и сборы до'!BD6,'Налоги и сборы до'!BD7,'Налоги и сборы до'!BD9)</f>
        <v>108661389017.02234</v>
      </c>
      <c r="BF18" s="56">
        <f>SUM('Налоги и сборы до'!BE6,'Налоги и сборы до'!BE7,'Налоги и сборы до'!BE9)</f>
        <v>111652535366.17146</v>
      </c>
      <c r="BG18" s="56">
        <f>SUM('Налоги и сборы до'!BF6,'Налоги и сборы до'!BF7,'Налоги и сборы до'!BF9)</f>
        <v>114729396746.91434</v>
      </c>
      <c r="BH18" s="56">
        <f>SUM('Налоги и сборы до'!BG6,'Налоги и сборы до'!BG7,'Налоги и сборы до'!BG9)</f>
        <v>117894506707.46906</v>
      </c>
      <c r="BI18" s="56">
        <f>SUM('Налоги и сборы до'!BH6,'Налоги и сборы до'!BH7,'Налоги и сборы до'!BH9)</f>
        <v>121150475399.11182</v>
      </c>
      <c r="BJ18" s="56">
        <f>SUM('Налоги и сборы до'!BI6,'Налоги и сборы до'!BI7,'Налоги и сборы до'!BI9)</f>
        <v>124499991929.29092</v>
      </c>
      <c r="BK18" s="56">
        <f>SUM('Налоги и сборы до'!BJ6,'Налоги и сборы до'!BJ7,'Налоги и сборы до'!BJ9)</f>
        <v>127945826787.80263</v>
      </c>
      <c r="BL18" s="56">
        <f>SUM('Налоги и сборы до'!BK6,'Налоги и сборы до'!BK7,'Налоги и сборы до'!BK9)</f>
        <v>131490834348.31425</v>
      </c>
      <c r="BM18" s="56">
        <f>SUM('Налоги и сборы до'!BL6,'Налоги и сборы до'!BL7,'Налоги и сборы до'!BL9)</f>
        <v>135137955447.59109</v>
      </c>
      <c r="BN18" s="56">
        <f>SUM('Налоги и сборы до'!BM6,'Налоги и сборы до'!BM7,'Налоги и сборы до'!BM9)</f>
        <v>138890220044.85651</v>
      </c>
      <c r="BO18" s="56">
        <f>SUM('Налоги и сборы до'!BN6,'Налоги и сборы до'!BN7,'Налоги и сборы до'!BN9)</f>
        <v>142750749963.79361</v>
      </c>
      <c r="BP18" s="56">
        <f>SUM('Налоги и сборы до'!BO6,'Налоги и сборы до'!BO7,'Налоги и сборы до'!BO9)</f>
        <v>146722761719.77289</v>
      </c>
      <c r="BQ18" s="56">
        <f>SUM('Налоги и сборы до'!BP6,'Налоги и сборы до'!BP7,'Налоги и сборы до'!BP9)</f>
        <v>150809569434.97311</v>
      </c>
      <c r="BR18" s="56">
        <f>SUM('Налоги и сборы до'!BQ6,'Налоги и сборы до'!BQ7,'Налоги и сборы до'!BQ9)</f>
        <v>155014587844.14679</v>
      </c>
      <c r="BS18" s="56">
        <f>SUM('Налоги и сборы до'!BR6,'Налоги и сборы до'!BR7,'Налоги и сборы до'!BR9)</f>
        <v>159341335393.86591</v>
      </c>
      <c r="BT18" s="56">
        <f>SUM('Налоги и сборы до'!BS6,'Налоги и сборы до'!BS7,'Налоги и сборы до'!BS9)</f>
        <v>163793437438.17584</v>
      </c>
      <c r="BU18" s="56">
        <f>SUM('Налоги и сборы до'!BT6,'Налоги и сборы до'!BT7,'Налоги и сборы до'!BT9)</f>
        <v>168374629533.67487</v>
      </c>
      <c r="BV18" s="56">
        <f>SUM('Налоги и сборы до'!BU6,'Налоги и сборы до'!BU7,'Налоги и сборы до'!BU9)</f>
        <v>173088760837.13251</v>
      </c>
      <c r="BW18" s="56">
        <f>SUM('Налоги и сборы до'!BV6,'Налоги и сборы до'!BV7,'Налоги и сборы до'!BV9)</f>
        <v>177939797608.85825</v>
      </c>
      <c r="BX18" s="56">
        <f>SUM('Налоги и сборы до'!BW6,'Налоги и сборы до'!BW7,'Налоги и сборы до'!BW9)</f>
        <v>182931826825.13269</v>
      </c>
      <c r="BY18" s="56">
        <f>SUM('Налоги и сборы до'!BX6,'Налоги и сборы до'!BX7,'Налоги и сборы до'!BX9)</f>
        <v>188069059903.11646</v>
      </c>
      <c r="BZ18" s="56">
        <f>SUM('Налоги и сборы до'!BY6,'Налоги и сборы до'!BY7,'Налоги и сборы до'!BY9)</f>
        <v>193355836541.76236</v>
      </c>
      <c r="CA18" s="56">
        <f>SUM('Налоги и сборы до'!BZ6,'Налоги и сборы до'!BZ7,'Налоги и сборы до'!BZ9)</f>
        <v>198796628682.36304</v>
      </c>
      <c r="CB18" s="56">
        <f>SUM('Налоги и сборы до'!CA6,'Налоги и сборы до'!CA7,'Налоги и сборы до'!CA9)</f>
        <v>204396044592.48505</v>
      </c>
      <c r="CC18" s="56">
        <f>SUM('Налоги и сборы до'!CB6,'Налоги и сборы до'!CB7,'Налоги и сборы до'!CB9)</f>
        <v>210158833077.15491</v>
      </c>
      <c r="CD18" s="56">
        <f>SUM('Налоги и сборы до'!CC6,'Налоги и сборы до'!CC7,'Налоги и сборы до'!CC9)</f>
        <v>216089887821.28571</v>
      </c>
      <c r="CE18" s="56">
        <f>SUM('Налоги и сборы до'!CD6,'Налоги и сборы до'!CD7,'Налоги и сборы до'!CD9)</f>
        <v>222194251867.4585</v>
      </c>
      <c r="CF18" s="56">
        <f>SUM('Налоги и сборы до'!CE6,'Налоги и сборы до'!CE7,'Налоги и сборы до'!CE9)</f>
        <v>228477122233.30151</v>
      </c>
      <c r="CG18" s="56">
        <f>SUM('Налоги и сборы до'!CF6,'Налоги и сборы до'!CF7,'Налоги и сборы до'!CF9)</f>
        <v>234943854672.84399</v>
      </c>
      <c r="CH18" s="56">
        <f>SUM('Налоги и сборы до'!CG6,'Налоги и сборы до'!CG7,'Налоги и сборы до'!CG9)</f>
        <v>241599968586.36011</v>
      </c>
      <c r="CI18" s="56">
        <f>SUM('Налоги и сборы до'!CH6,'Налоги и сборы до'!CH7,'Налоги и сборы до'!CH9)</f>
        <v>248451152083.35764</v>
      </c>
      <c r="CJ18" s="56">
        <f>SUM('Налоги и сборы до'!CI6,'Налоги и сборы до'!CI7,'Налоги и сборы до'!CI9)</f>
        <v>255503267203.5174</v>
      </c>
      <c r="CK18" s="56">
        <f>SUM('Налоги и сборы до'!CJ6,'Налоги и сборы до'!CJ7,'Налоги и сборы до'!CJ9)</f>
        <v>262762355300.53516</v>
      </c>
      <c r="CL18" s="56">
        <f>SUM('Налоги и сборы до'!CK6,'Налоги и сборы до'!CK7,'Налоги и сборы до'!CK9)</f>
        <v>270234642593.97864</v>
      </c>
      <c r="CM18" s="56">
        <f>SUM('Налоги и сборы до'!CL6,'Налоги и сборы до'!CL7,'Налоги и сборы до'!CL9)</f>
        <v>277926545894.42896</v>
      </c>
      <c r="CN18" s="56">
        <f>SUM('Налоги и сборы до'!CM6,'Налоги и сборы до'!CM7,'Налоги и сборы до'!CM9)</f>
        <v>285844678507.34552</v>
      </c>
      <c r="CO18" s="56">
        <f>SUM('Налоги и сборы до'!CN6,'Налоги и сборы до'!CN7,'Налоги и сборы до'!CN9)</f>
        <v>293995856321.26062</v>
      </c>
      <c r="CP18" s="56">
        <f>SUM('Налоги и сборы до'!CO6,'Налоги и сборы до'!CO7,'Налоги и сборы до'!CO9)</f>
        <v>302387104086.09192</v>
      </c>
      <c r="CQ18" s="56">
        <f>SUM('Налоги и сборы до'!CP6,'Налоги и сборы до'!CP7,'Налоги и сборы до'!CP9)</f>
        <v>311025661887.53564</v>
      </c>
      <c r="CR18" s="56">
        <f>SUM('Налоги и сборы до'!CQ6,'Налоги и сборы до'!CQ7,'Налоги и сборы до'!CQ9)</f>
        <v>319918991823.70001</v>
      </c>
      <c r="CS18" s="56">
        <f>SUM('Налоги и сборы до'!CR6,'Налоги и сборы до'!CR7,'Налоги и сборы до'!CR9)</f>
        <v>329074784890.32385</v>
      </c>
      <c r="CT18" s="56">
        <f>SUM('Налоги и сборы до'!CS6,'Налоги и сборы до'!CS7,'Налоги и сборы до'!CS9)</f>
        <v>338500968081.13318</v>
      </c>
      <c r="CU18" s="56">
        <f>SUM('Налоги и сборы до'!CT6,'Налоги и сборы до'!CT7,'Налоги и сборы до'!CT9)</f>
        <v>348205711710.086</v>
      </c>
      <c r="CV18" s="56">
        <f>SUM('Налоги и сборы до'!CU6,'Налоги и сборы до'!CU7,'Налоги и сборы до'!CU9)</f>
        <v>358197436962.47925</v>
      </c>
      <c r="CW18" s="56">
        <f>SUM('Налоги и сборы до'!CV6,'Налоги и сборы до'!CV7,'Налоги и сборы до'!CV9)</f>
        <v>368484823682.09912</v>
      </c>
      <c r="CX18" s="56">
        <f>SUM('Налоги и сборы до'!CW6,'Налоги и сборы до'!CW7,'Налоги и сборы до'!CW9)</f>
        <v>379076818401.83325</v>
      </c>
      <c r="CY18" s="56">
        <f>SUM('Налоги и сборы до'!CX6,'Налоги и сборы до'!CX7,'Налоги и сборы до'!CX9)</f>
        <v>389982642625.38947</v>
      </c>
      <c r="CZ18" s="56">
        <f>SUM('Налоги и сборы до'!CY6,'Налоги и сборы до'!CY7,'Налоги и сборы до'!CY9)</f>
        <v>401211801368.01099</v>
      </c>
      <c r="DA18" s="56">
        <f>SUM('Налоги и сборы до'!CZ6,'Налоги и сборы до'!CZ7,'Налоги и сборы до'!CZ9)</f>
        <v>412774091964.32397</v>
      </c>
      <c r="DB18" s="56">
        <f>SUM('Налоги и сборы до'!DA6,'Налоги и сборы до'!DA7,'Налоги и сборы до'!DA9)</f>
        <v>424679613151.71033</v>
      </c>
      <c r="DC18" s="56">
        <f>SUM('Налоги и сборы до'!DB6,'Налоги и сборы до'!DB7,'Налоги и сборы до'!DB9)</f>
        <v>436938774437.86621</v>
      </c>
      <c r="DD18" s="56">
        <f>SUM('Налоги и сборы до'!DC6,'Налоги и сборы до'!DC7,'Налоги и сборы до'!DC9)</f>
        <v>449562305761.47186</v>
      </c>
      <c r="DE18" s="56">
        <f>SUM('Налоги и сборы до'!DD6,'Налоги и сборы до'!DD7,'Налоги и сборы до'!DD9)</f>
        <v>462561267455.19061</v>
      </c>
      <c r="DF18" s="56">
        <f>SUM('Налоги и сборы до'!DE6,'Налоги и сборы до'!DE7,'Налоги и сборы до'!DE9)</f>
        <v>475947060520.49481</v>
      </c>
      <c r="DG18" s="56">
        <f>SUM('Налоги и сборы до'!DF6,'Налоги и сборы до'!DF7,'Налоги и сборы до'!DF9)</f>
        <v>489731437224.12268</v>
      </c>
      <c r="DH18" s="56">
        <f>SUM('Налоги и сборы до'!DG6,'Налоги и сборы до'!DG7,'Налоги и сборы до'!DG9)</f>
        <v>503926512026.27747</v>
      </c>
      <c r="DI18" s="56">
        <f>SUM('Налоги и сборы до'!DH6,'Налоги и сборы до'!DH7,'Налоги и сборы до'!DH9)</f>
        <v>518544772850.99658</v>
      </c>
      <c r="DJ18" s="56">
        <f>SUM('Налоги и сборы до'!DI6,'Налоги и сборы до'!DI7,'Налоги и сборы до'!DI9)</f>
        <v>533599092709.45038</v>
      </c>
      <c r="DK18" s="56">
        <f>SUM('Налоги и сборы до'!DJ6,'Налоги и сборы до'!DJ7,'Налоги и сборы до'!DJ9)</f>
        <v>549102741687.2688</v>
      </c>
      <c r="DL18" s="56">
        <f>SUM('Налоги и сборы до'!DK6,'Налоги и сборы до'!DK7,'Налоги и сборы до'!DK9)</f>
        <v>565069399307.3407</v>
      </c>
      <c r="DM18" s="56">
        <f>SUM('Налоги и сборы до'!DL6,'Налоги и сборы до'!DL7,'Налоги и сборы до'!DL9)</f>
        <v>581513167279.89758</v>
      </c>
      <c r="DN18" s="56">
        <f>SUM('Налоги и сборы до'!DM6,'Налоги и сборы до'!DM7,'Налоги и сборы до'!DM9)</f>
        <v>598448582652.05933</v>
      </c>
      <c r="DO18" s="56">
        <f>SUM('Налоги и сборы до'!DN6,'Налоги и сборы до'!DN7,'Налоги и сборы до'!DN9)</f>
        <v>615890631369.40845</v>
      </c>
      <c r="DP18" s="56">
        <f>SUM('Налоги и сборы до'!DO6,'Налоги и сборы до'!DO7,'Налоги и сборы до'!DO9)</f>
        <v>633854762262.55469</v>
      </c>
      <c r="DQ18" s="56">
        <f>SUM('Налоги и сборы до'!DP6,'Налоги и сборы до'!DP7,'Налоги и сборы до'!DP9)</f>
        <v>652356901472.05566</v>
      </c>
      <c r="DR18" s="56">
        <f>SUM('Налоги и сборы до'!DQ6,'Налоги и сборы до'!DQ7,'Налоги и сборы до'!DQ9)</f>
        <v>671413467325.49048</v>
      </c>
      <c r="DS18" s="56">
        <f>SUM('Налоги и сборы до'!DR6,'Налоги и сборы до'!DR7,'Налоги и сборы до'!DR9)</f>
        <v>691041385680.90747</v>
      </c>
      <c r="DT18" s="56">
        <f>SUM('Налоги и сборы до'!DS6,'Налоги и сборы до'!DS7,'Налоги и сборы до'!DS9)</f>
        <v>711258105751.32568</v>
      </c>
      <c r="DU18" s="56">
        <f>SUM('Налоги и сборы до'!DT6,'Налоги и сборы до'!DT7,'Налоги и сборы до'!DT9)</f>
        <v>732081616425.42285</v>
      </c>
    </row>
    <row r="19" spans="2:125" ht="24.5" customHeight="1">
      <c r="B19" s="117" t="s">
        <v>135</v>
      </c>
      <c r="C19" s="118">
        <v>4100</v>
      </c>
      <c r="D19" s="119" t="s">
        <v>35</v>
      </c>
      <c r="E19" s="121">
        <f t="shared" si="7"/>
        <v>27775201581432.934</v>
      </c>
      <c r="F19" s="121">
        <f>F6-F12</f>
        <v>-36209562398.547173</v>
      </c>
      <c r="G19" s="121">
        <f t="shared" ref="G19:AO19" si="8">G6-G12</f>
        <v>-37061317360.462051</v>
      </c>
      <c r="H19" s="121">
        <f t="shared" si="8"/>
        <v>-37936251003.325989</v>
      </c>
      <c r="I19" s="121">
        <f t="shared" si="8"/>
        <v>-38835021122.933586</v>
      </c>
      <c r="J19" s="121">
        <f t="shared" si="8"/>
        <v>-39758304815.479774</v>
      </c>
      <c r="K19" s="121">
        <f t="shared" si="8"/>
        <v>-40706799058.045158</v>
      </c>
      <c r="L19" s="121">
        <f t="shared" si="8"/>
        <v>-41681221306.848114</v>
      </c>
      <c r="M19" s="121">
        <f t="shared" si="8"/>
        <v>-42682310113.814133</v>
      </c>
      <c r="N19" s="121">
        <f t="shared" si="8"/>
        <v>-43710825762.029678</v>
      </c>
      <c r="O19" s="121">
        <f t="shared" si="8"/>
        <v>-44767550920.666016</v>
      </c>
      <c r="P19" s="121">
        <f t="shared" si="8"/>
        <v>-45853291319.976044</v>
      </c>
      <c r="Q19" s="121">
        <f t="shared" si="8"/>
        <v>-46968876446.987228</v>
      </c>
      <c r="R19" s="121">
        <f t="shared" si="8"/>
        <v>43113238764.959976</v>
      </c>
      <c r="S19" s="121">
        <f t="shared" si="8"/>
        <v>44301363092.536003</v>
      </c>
      <c r="T19" s="121">
        <f t="shared" si="8"/>
        <v>45521389634.560959</v>
      </c>
      <c r="U19" s="121">
        <f t="shared" si="8"/>
        <v>46774213693.723183</v>
      </c>
      <c r="V19" s="121">
        <f t="shared" si="8"/>
        <v>48060756616.084534</v>
      </c>
      <c r="W19" s="121">
        <f t="shared" si="8"/>
        <v>49381966569.471603</v>
      </c>
      <c r="X19" s="121">
        <f t="shared" si="8"/>
        <v>50738819345.587456</v>
      </c>
      <c r="Y19" s="121">
        <f t="shared" si="8"/>
        <v>52132319186.576027</v>
      </c>
      <c r="Z19" s="121">
        <f t="shared" si="8"/>
        <v>53563499636.795403</v>
      </c>
      <c r="AA19" s="121">
        <f t="shared" si="8"/>
        <v>55033424420.577919</v>
      </c>
      <c r="AB19" s="121">
        <f t="shared" si="8"/>
        <v>56543188346.780807</v>
      </c>
      <c r="AC19" s="121">
        <f t="shared" si="8"/>
        <v>58093918240.955841</v>
      </c>
      <c r="AD19" s="121">
        <f t="shared" si="8"/>
        <v>59686768905.991379</v>
      </c>
      <c r="AE19" s="121">
        <f t="shared" si="8"/>
        <v>61322944112.108139</v>
      </c>
      <c r="AF19" s="121">
        <f t="shared" si="8"/>
        <v>63003667617.116631</v>
      </c>
      <c r="AG19" s="121">
        <f t="shared" si="8"/>
        <v>64730204217.872589</v>
      </c>
      <c r="AH19" s="121">
        <f t="shared" si="8"/>
        <v>66503855833.896576</v>
      </c>
      <c r="AI19" s="121">
        <f t="shared" si="8"/>
        <v>68325962624.152969</v>
      </c>
      <c r="AJ19" s="121">
        <f t="shared" si="8"/>
        <v>70197904138.015991</v>
      </c>
      <c r="AK19" s="121">
        <f t="shared" si="8"/>
        <v>72121100501.481354</v>
      </c>
      <c r="AL19" s="121">
        <f t="shared" si="8"/>
        <v>74097013639.715729</v>
      </c>
      <c r="AM19" s="121">
        <f t="shared" si="8"/>
        <v>76127148537.069962</v>
      </c>
      <c r="AN19" s="121">
        <f t="shared" si="8"/>
        <v>78213054535.71788</v>
      </c>
      <c r="AO19" s="121">
        <f t="shared" si="8"/>
        <v>80356326674.118103</v>
      </c>
      <c r="AP19" s="121">
        <f>AP6-AP12</f>
        <v>82558602066.533417</v>
      </c>
      <c r="AQ19" s="121">
        <f t="shared" ref="AQ19:BY19" si="9">AQ6-AQ12</f>
        <v>84821581324.882111</v>
      </c>
      <c r="AR19" s="121">
        <f t="shared" si="9"/>
        <v>87147000024.23439</v>
      </c>
      <c r="AS19" s="121">
        <f t="shared" si="9"/>
        <v>89536650213.308182</v>
      </c>
      <c r="AT19" s="121">
        <f t="shared" si="9"/>
        <v>91992376971.361099</v>
      </c>
      <c r="AU19" s="121">
        <f t="shared" si="9"/>
        <v>94516080012.919937</v>
      </c>
      <c r="AV19" s="121">
        <f t="shared" si="9"/>
        <v>97109715341.831894</v>
      </c>
      <c r="AW19" s="121">
        <f t="shared" si="9"/>
        <v>99775296956.17038</v>
      </c>
      <c r="AX19" s="121">
        <f t="shared" si="9"/>
        <v>102514898605.57549</v>
      </c>
      <c r="AY19" s="121">
        <f t="shared" si="9"/>
        <v>105330655602.65764</v>
      </c>
      <c r="AZ19" s="121">
        <f t="shared" si="9"/>
        <v>108224766690.14561</v>
      </c>
      <c r="BA19" s="121">
        <f t="shared" si="9"/>
        <v>111199495965.51126</v>
      </c>
      <c r="BB19" s="121">
        <f t="shared" si="9"/>
        <v>114257169864.85826</v>
      </c>
      <c r="BC19" s="121">
        <f t="shared" si="9"/>
        <v>117400199207.91806</v>
      </c>
      <c r="BD19" s="121">
        <f t="shared" si="9"/>
        <v>120631051306.05336</v>
      </c>
      <c r="BE19" s="121">
        <f t="shared" si="9"/>
        <v>123952272135.2301</v>
      </c>
      <c r="BF19" s="121">
        <f t="shared" si="9"/>
        <v>127366483575.97885</v>
      </c>
      <c r="BG19" s="121">
        <f t="shared" si="9"/>
        <v>130876385722.43097</v>
      </c>
      <c r="BH19" s="121">
        <f t="shared" si="9"/>
        <v>134484759262.5798</v>
      </c>
      <c r="BI19" s="121">
        <f t="shared" si="9"/>
        <v>138194467931.98444</v>
      </c>
      <c r="BJ19" s="121">
        <f t="shared" si="9"/>
        <v>142008461043.20273</v>
      </c>
      <c r="BK19" s="121">
        <f t="shared" si="9"/>
        <v>145929776093.31314</v>
      </c>
      <c r="BL19" s="121">
        <f t="shared" si="9"/>
        <v>149961541451.95743</v>
      </c>
      <c r="BM19" s="121">
        <f t="shared" si="9"/>
        <v>154106979132.41238</v>
      </c>
      <c r="BN19" s="121">
        <f t="shared" si="9"/>
        <v>158369402648.28043</v>
      </c>
      <c r="BO19" s="121">
        <f t="shared" si="9"/>
        <v>162752239958.46445</v>
      </c>
      <c r="BP19" s="121">
        <f t="shared" si="9"/>
        <v>167259006503.18265</v>
      </c>
      <c r="BQ19" s="121">
        <f t="shared" si="9"/>
        <v>171893328333.85815</v>
      </c>
      <c r="BR19" s="121">
        <f t="shared" si="9"/>
        <v>176658940339.81488</v>
      </c>
      <c r="BS19" s="121">
        <f t="shared" si="9"/>
        <v>181559689574.79553</v>
      </c>
      <c r="BT19" s="121">
        <f t="shared" si="9"/>
        <v>186599538686.41858</v>
      </c>
      <c r="BU19" s="121">
        <f t="shared" si="9"/>
        <v>191782569451.78345</v>
      </c>
      <c r="BV19" s="121">
        <f t="shared" si="9"/>
        <v>197112986422.53943</v>
      </c>
      <c r="BW19" s="121">
        <f t="shared" si="9"/>
        <v>202595120682.83115</v>
      </c>
      <c r="BX19" s="121">
        <f t="shared" si="9"/>
        <v>208233433723.64676</v>
      </c>
      <c r="BY19" s="121">
        <f t="shared" si="9"/>
        <v>214032521437.20374</v>
      </c>
      <c r="BZ19" s="121">
        <f>BZ6-BZ12</f>
        <v>219997113235.11627</v>
      </c>
      <c r="CA19" s="121">
        <f t="shared" ref="CA19:DI19" si="10">CA6-CA12</f>
        <v>226132096294.21585</v>
      </c>
      <c r="CB19" s="121">
        <f t="shared" si="10"/>
        <v>232442489934.00726</v>
      </c>
      <c r="CC19" s="121">
        <f t="shared" si="10"/>
        <v>238933470129.87531</v>
      </c>
      <c r="CD19" s="121">
        <f t="shared" si="10"/>
        <v>245610369166.28369</v>
      </c>
      <c r="CE19" s="121">
        <f t="shared" si="10"/>
        <v>252478680434.3382</v>
      </c>
      <c r="CF19" s="121">
        <f t="shared" si="10"/>
        <v>259544063378.22998</v>
      </c>
      <c r="CG19" s="121">
        <f t="shared" si="10"/>
        <v>266812348595.20978</v>
      </c>
      <c r="CH19" s="121">
        <f t="shared" si="10"/>
        <v>274289543093.89307</v>
      </c>
      <c r="CI19" s="121">
        <f t="shared" si="10"/>
        <v>281981835715.84998</v>
      </c>
      <c r="CJ19" s="121">
        <f t="shared" si="10"/>
        <v>289895602725.58197</v>
      </c>
      <c r="CK19" s="121">
        <f t="shared" si="10"/>
        <v>298037413574.15424</v>
      </c>
      <c r="CL19" s="121">
        <f t="shared" si="10"/>
        <v>306414031841.91626</v>
      </c>
      <c r="CM19" s="121">
        <f t="shared" si="10"/>
        <v>315032441365.91162</v>
      </c>
      <c r="CN19" s="121">
        <f t="shared" si="10"/>
        <v>323899822557.75702</v>
      </c>
      <c r="CO19" s="121">
        <f t="shared" si="10"/>
        <v>333023578917.9519</v>
      </c>
      <c r="CP19" s="121">
        <f t="shared" si="10"/>
        <v>342411338752.76331</v>
      </c>
      <c r="CQ19" s="121">
        <f t="shared" si="10"/>
        <v>352070962100.03113</v>
      </c>
      <c r="CR19" s="121">
        <f t="shared" si="10"/>
        <v>362010547870.4306</v>
      </c>
      <c r="CS19" s="121">
        <f t="shared" si="10"/>
        <v>372238441210.94006</v>
      </c>
      <c r="CT19" s="121">
        <f t="shared" si="10"/>
        <v>382763241097.4715</v>
      </c>
      <c r="CU19" s="121">
        <f t="shared" si="10"/>
        <v>393593808163.84088</v>
      </c>
      <c r="CV19" s="121">
        <f t="shared" si="10"/>
        <v>404739272774.48022</v>
      </c>
      <c r="CW19" s="121">
        <f t="shared" si="10"/>
        <v>416209043348.52728</v>
      </c>
      <c r="CX19" s="121">
        <f t="shared" si="10"/>
        <v>428012809943.16986</v>
      </c>
      <c r="CY19" s="121">
        <f t="shared" si="10"/>
        <v>440160573104.36383</v>
      </c>
      <c r="CZ19" s="121">
        <f t="shared" si="10"/>
        <v>452662622993.30817</v>
      </c>
      <c r="DA19" s="121">
        <f t="shared" si="10"/>
        <v>465529568797.31604</v>
      </c>
      <c r="DB19" s="121">
        <f t="shared" si="10"/>
        <v>478772343434.00067</v>
      </c>
      <c r="DC19" s="121">
        <f t="shared" si="10"/>
        <v>492402213557.96075</v>
      </c>
      <c r="DD19" s="121">
        <f t="shared" si="10"/>
        <v>506430789879.46497</v>
      </c>
      <c r="DE19" s="121">
        <f t="shared" si="10"/>
        <v>520870037804.90088</v>
      </c>
      <c r="DF19" s="121">
        <f t="shared" si="10"/>
        <v>535732288409.09351</v>
      </c>
      <c r="DG19" s="121">
        <f t="shared" si="10"/>
        <v>551030249749.88977</v>
      </c>
      <c r="DH19" s="121">
        <f t="shared" si="10"/>
        <v>566777018535.75293</v>
      </c>
      <c r="DI19" s="121">
        <f t="shared" si="10"/>
        <v>582986092157.43359</v>
      </c>
      <c r="DJ19" s="121">
        <f>DJ6-DJ12</f>
        <v>599671376095.14551</v>
      </c>
      <c r="DK19" s="121">
        <f t="shared" ref="DK19:DU19" si="11">DK6-DK12</f>
        <v>616847216713.02148</v>
      </c>
      <c r="DL19" s="121">
        <f t="shared" si="11"/>
        <v>634528384453.00757</v>
      </c>
      <c r="DM19" s="121">
        <f t="shared" si="11"/>
        <v>652730107440.72522</v>
      </c>
      <c r="DN19" s="121">
        <f t="shared" si="11"/>
        <v>671468080516.23547</v>
      </c>
      <c r="DO19" s="121">
        <f t="shared" si="11"/>
        <v>690758479703.04248</v>
      </c>
      <c r="DP19" s="121">
        <f t="shared" si="11"/>
        <v>710617977129.08435</v>
      </c>
      <c r="DQ19" s="121">
        <f t="shared" si="11"/>
        <v>731063756413.91797</v>
      </c>
      <c r="DR19" s="121">
        <f t="shared" si="11"/>
        <v>752113528536.71704</v>
      </c>
      <c r="DS19" s="121">
        <f t="shared" si="11"/>
        <v>773785548200.19336</v>
      </c>
      <c r="DT19" s="121">
        <f t="shared" si="11"/>
        <v>796098630706.01379</v>
      </c>
      <c r="DU19" s="121">
        <f t="shared" si="11"/>
        <v>819072169357.76892</v>
      </c>
    </row>
    <row r="20" spans="2:125" ht="29.75" customHeight="1">
      <c r="B20" s="103" t="s">
        <v>136</v>
      </c>
      <c r="C20" s="122"/>
      <c r="D20" s="104"/>
      <c r="E20" s="105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56"/>
      <c r="CO20" s="56"/>
      <c r="CP20" s="56"/>
      <c r="CQ20" s="56"/>
      <c r="CR20" s="56"/>
      <c r="CS20" s="56"/>
      <c r="CT20" s="56"/>
      <c r="CU20" s="56"/>
      <c r="CV20" s="56"/>
      <c r="CW20" s="56"/>
      <c r="CX20" s="56"/>
      <c r="CY20" s="56"/>
      <c r="CZ20" s="56"/>
      <c r="DA20" s="56"/>
      <c r="DB20" s="56"/>
      <c r="DC20" s="56"/>
      <c r="DD20" s="56"/>
      <c r="DE20" s="56"/>
      <c r="DF20" s="56"/>
      <c r="DG20" s="56"/>
      <c r="DH20" s="56"/>
      <c r="DI20" s="56"/>
      <c r="DJ20" s="56"/>
      <c r="DK20" s="56"/>
      <c r="DL20" s="56"/>
      <c r="DM20" s="56"/>
      <c r="DN20" s="56"/>
      <c r="DO20" s="56"/>
      <c r="DP20" s="56"/>
      <c r="DQ20" s="56"/>
      <c r="DR20" s="56"/>
      <c r="DS20" s="56"/>
      <c r="DT20" s="56"/>
      <c r="DU20" s="56"/>
    </row>
    <row r="21" spans="2:125">
      <c r="B21" s="106" t="s">
        <v>112</v>
      </c>
      <c r="C21" s="123">
        <v>4210</v>
      </c>
      <c r="D21" s="108" t="s">
        <v>35</v>
      </c>
      <c r="E21" s="109">
        <f t="shared" ref="E21:E49" si="12">SUM(F21:AO21)</f>
        <v>0</v>
      </c>
      <c r="F21" s="110">
        <f>F23+F24+F25+F26+F27</f>
        <v>0</v>
      </c>
      <c r="G21" s="110">
        <f t="shared" ref="G21:AO28" si="13">G23+G24+G25+G26+G27</f>
        <v>0</v>
      </c>
      <c r="H21" s="110">
        <f t="shared" si="13"/>
        <v>0</v>
      </c>
      <c r="I21" s="110">
        <f t="shared" si="13"/>
        <v>0</v>
      </c>
      <c r="J21" s="110">
        <f t="shared" si="13"/>
        <v>0</v>
      </c>
      <c r="K21" s="110">
        <f t="shared" si="13"/>
        <v>0</v>
      </c>
      <c r="L21" s="110">
        <f t="shared" si="13"/>
        <v>0</v>
      </c>
      <c r="M21" s="110">
        <f t="shared" si="13"/>
        <v>0</v>
      </c>
      <c r="N21" s="110">
        <f t="shared" si="13"/>
        <v>0</v>
      </c>
      <c r="O21" s="110">
        <f t="shared" si="13"/>
        <v>0</v>
      </c>
      <c r="P21" s="110">
        <f t="shared" si="13"/>
        <v>0</v>
      </c>
      <c r="Q21" s="110">
        <f t="shared" si="13"/>
        <v>0</v>
      </c>
      <c r="R21" s="110">
        <f t="shared" si="13"/>
        <v>0</v>
      </c>
      <c r="S21" s="110">
        <f t="shared" si="13"/>
        <v>0</v>
      </c>
      <c r="T21" s="110">
        <f t="shared" si="13"/>
        <v>0</v>
      </c>
      <c r="U21" s="110">
        <f t="shared" si="13"/>
        <v>0</v>
      </c>
      <c r="V21" s="110">
        <f t="shared" si="13"/>
        <v>0</v>
      </c>
      <c r="W21" s="110">
        <f t="shared" si="13"/>
        <v>0</v>
      </c>
      <c r="X21" s="110">
        <f t="shared" si="13"/>
        <v>0</v>
      </c>
      <c r="Y21" s="110">
        <f t="shared" si="13"/>
        <v>0</v>
      </c>
      <c r="Z21" s="110">
        <f t="shared" si="13"/>
        <v>0</v>
      </c>
      <c r="AA21" s="110">
        <f t="shared" si="13"/>
        <v>0</v>
      </c>
      <c r="AB21" s="110">
        <f t="shared" si="13"/>
        <v>0</v>
      </c>
      <c r="AC21" s="110">
        <f t="shared" si="13"/>
        <v>0</v>
      </c>
      <c r="AD21" s="110">
        <f t="shared" si="13"/>
        <v>0</v>
      </c>
      <c r="AE21" s="110">
        <f t="shared" si="13"/>
        <v>0</v>
      </c>
      <c r="AF21" s="110">
        <f t="shared" si="13"/>
        <v>0</v>
      </c>
      <c r="AG21" s="110">
        <f t="shared" si="13"/>
        <v>0</v>
      </c>
      <c r="AH21" s="110">
        <f t="shared" si="13"/>
        <v>0</v>
      </c>
      <c r="AI21" s="110">
        <f t="shared" si="13"/>
        <v>0</v>
      </c>
      <c r="AJ21" s="110">
        <f t="shared" si="13"/>
        <v>0</v>
      </c>
      <c r="AK21" s="110">
        <f t="shared" si="13"/>
        <v>0</v>
      </c>
      <c r="AL21" s="110">
        <f t="shared" si="13"/>
        <v>0</v>
      </c>
      <c r="AM21" s="110">
        <f t="shared" si="13"/>
        <v>0</v>
      </c>
      <c r="AN21" s="110">
        <f t="shared" si="13"/>
        <v>0</v>
      </c>
      <c r="AO21" s="110">
        <f t="shared" si="13"/>
        <v>0</v>
      </c>
      <c r="AP21" s="110">
        <f>AP23+AP24+AP25+AP26+AP27</f>
        <v>0</v>
      </c>
      <c r="AQ21" s="110">
        <f t="shared" ref="AQ21:BY21" si="14">AQ23+AQ24+AQ25+AQ26+AQ27</f>
        <v>0</v>
      </c>
      <c r="AR21" s="110">
        <f t="shared" si="14"/>
        <v>0</v>
      </c>
      <c r="AS21" s="110">
        <f t="shared" si="14"/>
        <v>0</v>
      </c>
      <c r="AT21" s="110">
        <f t="shared" si="14"/>
        <v>0</v>
      </c>
      <c r="AU21" s="110">
        <f t="shared" si="14"/>
        <v>0</v>
      </c>
      <c r="AV21" s="110">
        <f t="shared" si="14"/>
        <v>0</v>
      </c>
      <c r="AW21" s="110">
        <f t="shared" si="14"/>
        <v>0</v>
      </c>
      <c r="AX21" s="110">
        <f t="shared" si="14"/>
        <v>0</v>
      </c>
      <c r="AY21" s="110">
        <f t="shared" si="14"/>
        <v>0</v>
      </c>
      <c r="AZ21" s="110">
        <f t="shared" si="14"/>
        <v>0</v>
      </c>
      <c r="BA21" s="110">
        <f t="shared" si="14"/>
        <v>0</v>
      </c>
      <c r="BB21" s="110">
        <f t="shared" si="14"/>
        <v>0</v>
      </c>
      <c r="BC21" s="110">
        <f t="shared" si="14"/>
        <v>0</v>
      </c>
      <c r="BD21" s="110">
        <f t="shared" si="14"/>
        <v>0</v>
      </c>
      <c r="BE21" s="110">
        <f t="shared" si="14"/>
        <v>0</v>
      </c>
      <c r="BF21" s="110">
        <f t="shared" si="14"/>
        <v>0</v>
      </c>
      <c r="BG21" s="110">
        <f t="shared" si="14"/>
        <v>0</v>
      </c>
      <c r="BH21" s="110">
        <f t="shared" si="14"/>
        <v>0</v>
      </c>
      <c r="BI21" s="110">
        <f t="shared" si="14"/>
        <v>0</v>
      </c>
      <c r="BJ21" s="110">
        <f t="shared" si="14"/>
        <v>0</v>
      </c>
      <c r="BK21" s="110">
        <f t="shared" si="14"/>
        <v>0</v>
      </c>
      <c r="BL21" s="110">
        <f t="shared" si="14"/>
        <v>0</v>
      </c>
      <c r="BM21" s="110">
        <f t="shared" si="14"/>
        <v>0</v>
      </c>
      <c r="BN21" s="110">
        <f t="shared" si="14"/>
        <v>0</v>
      </c>
      <c r="BO21" s="110">
        <f t="shared" si="14"/>
        <v>0</v>
      </c>
      <c r="BP21" s="110">
        <f t="shared" si="14"/>
        <v>0</v>
      </c>
      <c r="BQ21" s="110">
        <f t="shared" si="14"/>
        <v>0</v>
      </c>
      <c r="BR21" s="110">
        <f t="shared" si="14"/>
        <v>0</v>
      </c>
      <c r="BS21" s="110">
        <f t="shared" si="14"/>
        <v>0</v>
      </c>
      <c r="BT21" s="110">
        <f t="shared" si="14"/>
        <v>0</v>
      </c>
      <c r="BU21" s="110">
        <f t="shared" si="14"/>
        <v>0</v>
      </c>
      <c r="BV21" s="110">
        <f t="shared" si="14"/>
        <v>0</v>
      </c>
      <c r="BW21" s="110">
        <f t="shared" si="14"/>
        <v>0</v>
      </c>
      <c r="BX21" s="110">
        <f t="shared" si="14"/>
        <v>0</v>
      </c>
      <c r="BY21" s="110">
        <f t="shared" si="14"/>
        <v>0</v>
      </c>
      <c r="BZ21" s="110">
        <f>BZ23+BZ24+BZ25+BZ26+BZ27</f>
        <v>0</v>
      </c>
      <c r="CA21" s="110">
        <f t="shared" ref="CA21:DI21" si="15">CA23+CA24+CA25+CA26+CA27</f>
        <v>0</v>
      </c>
      <c r="CB21" s="110">
        <f t="shared" si="15"/>
        <v>0</v>
      </c>
      <c r="CC21" s="110">
        <f t="shared" si="15"/>
        <v>0</v>
      </c>
      <c r="CD21" s="110">
        <f t="shared" si="15"/>
        <v>0</v>
      </c>
      <c r="CE21" s="110">
        <f t="shared" si="15"/>
        <v>0</v>
      </c>
      <c r="CF21" s="110">
        <f t="shared" si="15"/>
        <v>0</v>
      </c>
      <c r="CG21" s="110">
        <f t="shared" si="15"/>
        <v>0</v>
      </c>
      <c r="CH21" s="110">
        <f t="shared" si="15"/>
        <v>0</v>
      </c>
      <c r="CI21" s="110">
        <f t="shared" si="15"/>
        <v>0</v>
      </c>
      <c r="CJ21" s="110">
        <f t="shared" si="15"/>
        <v>0</v>
      </c>
      <c r="CK21" s="110">
        <f t="shared" si="15"/>
        <v>0</v>
      </c>
      <c r="CL21" s="110">
        <f t="shared" si="15"/>
        <v>0</v>
      </c>
      <c r="CM21" s="110">
        <f t="shared" si="15"/>
        <v>0</v>
      </c>
      <c r="CN21" s="110">
        <f t="shared" si="15"/>
        <v>0</v>
      </c>
      <c r="CO21" s="110">
        <f t="shared" si="15"/>
        <v>0</v>
      </c>
      <c r="CP21" s="110">
        <f t="shared" si="15"/>
        <v>0</v>
      </c>
      <c r="CQ21" s="110">
        <f t="shared" si="15"/>
        <v>0</v>
      </c>
      <c r="CR21" s="110">
        <f t="shared" si="15"/>
        <v>0</v>
      </c>
      <c r="CS21" s="110">
        <f t="shared" si="15"/>
        <v>0</v>
      </c>
      <c r="CT21" s="110">
        <f t="shared" si="15"/>
        <v>0</v>
      </c>
      <c r="CU21" s="110">
        <f t="shared" si="15"/>
        <v>0</v>
      </c>
      <c r="CV21" s="110">
        <f t="shared" si="15"/>
        <v>0</v>
      </c>
      <c r="CW21" s="110">
        <f t="shared" si="15"/>
        <v>0</v>
      </c>
      <c r="CX21" s="110">
        <f t="shared" si="15"/>
        <v>0</v>
      </c>
      <c r="CY21" s="110">
        <f t="shared" si="15"/>
        <v>0</v>
      </c>
      <c r="CZ21" s="110">
        <f t="shared" si="15"/>
        <v>0</v>
      </c>
      <c r="DA21" s="110">
        <f t="shared" si="15"/>
        <v>0</v>
      </c>
      <c r="DB21" s="110">
        <f t="shared" si="15"/>
        <v>0</v>
      </c>
      <c r="DC21" s="110">
        <f t="shared" si="15"/>
        <v>0</v>
      </c>
      <c r="DD21" s="110">
        <f t="shared" si="15"/>
        <v>0</v>
      </c>
      <c r="DE21" s="110">
        <f t="shared" si="15"/>
        <v>0</v>
      </c>
      <c r="DF21" s="110">
        <f t="shared" si="15"/>
        <v>0</v>
      </c>
      <c r="DG21" s="110">
        <f t="shared" si="15"/>
        <v>0</v>
      </c>
      <c r="DH21" s="110">
        <f t="shared" si="15"/>
        <v>0</v>
      </c>
      <c r="DI21" s="110">
        <f t="shared" si="15"/>
        <v>0</v>
      </c>
      <c r="DJ21" s="110">
        <f>DJ23+DJ24+DJ25+DJ26+DJ27</f>
        <v>0</v>
      </c>
      <c r="DK21" s="110">
        <f t="shared" ref="DK21:DU21" si="16">DK23+DK24+DK25+DK26+DK27</f>
        <v>0</v>
      </c>
      <c r="DL21" s="110">
        <f t="shared" si="16"/>
        <v>0</v>
      </c>
      <c r="DM21" s="110">
        <f t="shared" si="16"/>
        <v>0</v>
      </c>
      <c r="DN21" s="110">
        <f t="shared" si="16"/>
        <v>0</v>
      </c>
      <c r="DO21" s="110">
        <f t="shared" si="16"/>
        <v>0</v>
      </c>
      <c r="DP21" s="110">
        <f t="shared" si="16"/>
        <v>0</v>
      </c>
      <c r="DQ21" s="110">
        <f t="shared" si="16"/>
        <v>0</v>
      </c>
      <c r="DR21" s="110">
        <f t="shared" si="16"/>
        <v>0</v>
      </c>
      <c r="DS21" s="110">
        <f t="shared" si="16"/>
        <v>0</v>
      </c>
      <c r="DT21" s="110">
        <f t="shared" si="16"/>
        <v>0</v>
      </c>
      <c r="DU21" s="110">
        <f t="shared" si="16"/>
        <v>0</v>
      </c>
    </row>
    <row r="22" spans="2:125">
      <c r="B22" s="111" t="s">
        <v>114</v>
      </c>
      <c r="C22" s="77"/>
      <c r="D22" s="104"/>
      <c r="E22" s="105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M22" s="56"/>
      <c r="CN22" s="56"/>
      <c r="CO22" s="56"/>
      <c r="CP22" s="56"/>
      <c r="CQ22" s="56"/>
      <c r="CR22" s="56"/>
      <c r="CS22" s="56"/>
      <c r="CT22" s="56"/>
      <c r="CU22" s="56"/>
      <c r="CV22" s="56"/>
      <c r="CW22" s="56"/>
      <c r="CX22" s="56"/>
      <c r="CY22" s="56"/>
      <c r="CZ22" s="56"/>
      <c r="DA22" s="56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  <c r="DQ22" s="56"/>
      <c r="DR22" s="56"/>
      <c r="DS22" s="56"/>
      <c r="DT22" s="56"/>
      <c r="DU22" s="56"/>
    </row>
    <row r="23" spans="2:125" ht="24.5" customHeight="1">
      <c r="B23" s="112" t="s">
        <v>137</v>
      </c>
      <c r="C23" s="78">
        <v>4211</v>
      </c>
      <c r="D23" s="78" t="s">
        <v>35</v>
      </c>
      <c r="E23" s="113">
        <f t="shared" si="12"/>
        <v>0</v>
      </c>
      <c r="F23" s="56">
        <v>0</v>
      </c>
      <c r="G23" s="56">
        <v>0</v>
      </c>
      <c r="H23" s="56">
        <v>0</v>
      </c>
      <c r="I23" s="56">
        <v>0</v>
      </c>
      <c r="J23" s="56">
        <v>0</v>
      </c>
      <c r="K23" s="56">
        <v>0</v>
      </c>
      <c r="L23" s="56">
        <v>0</v>
      </c>
      <c r="M23" s="56">
        <v>0</v>
      </c>
      <c r="N23" s="56">
        <v>0</v>
      </c>
      <c r="O23" s="56">
        <v>0</v>
      </c>
      <c r="P23" s="56">
        <v>0</v>
      </c>
      <c r="Q23" s="56">
        <v>0</v>
      </c>
      <c r="R23" s="56">
        <v>0</v>
      </c>
      <c r="S23" s="56">
        <v>0</v>
      </c>
      <c r="T23" s="56">
        <v>0</v>
      </c>
      <c r="U23" s="56">
        <v>0</v>
      </c>
      <c r="V23" s="56">
        <v>0</v>
      </c>
      <c r="W23" s="56">
        <v>0</v>
      </c>
      <c r="X23" s="56">
        <v>0</v>
      </c>
      <c r="Y23" s="56">
        <v>0</v>
      </c>
      <c r="Z23" s="56">
        <v>0</v>
      </c>
      <c r="AA23" s="56">
        <v>0</v>
      </c>
      <c r="AB23" s="56">
        <v>0</v>
      </c>
      <c r="AC23" s="56">
        <v>0</v>
      </c>
      <c r="AD23" s="56">
        <v>0</v>
      </c>
      <c r="AE23" s="56">
        <v>0</v>
      </c>
      <c r="AF23" s="56">
        <v>0</v>
      </c>
      <c r="AG23" s="56">
        <v>0</v>
      </c>
      <c r="AH23" s="56">
        <v>0</v>
      </c>
      <c r="AI23" s="56">
        <v>0</v>
      </c>
      <c r="AJ23" s="56">
        <v>0</v>
      </c>
      <c r="AK23" s="56">
        <v>0</v>
      </c>
      <c r="AL23" s="56">
        <v>0</v>
      </c>
      <c r="AM23" s="56">
        <v>0</v>
      </c>
      <c r="AN23" s="56">
        <v>0</v>
      </c>
      <c r="AO23" s="56">
        <v>0</v>
      </c>
      <c r="AP23" s="56">
        <v>0</v>
      </c>
      <c r="AQ23" s="56">
        <v>0</v>
      </c>
      <c r="AR23" s="56">
        <v>0</v>
      </c>
      <c r="AS23" s="56">
        <v>0</v>
      </c>
      <c r="AT23" s="56">
        <v>0</v>
      </c>
      <c r="AU23" s="56">
        <v>0</v>
      </c>
      <c r="AV23" s="56">
        <v>0</v>
      </c>
      <c r="AW23" s="56">
        <v>0</v>
      </c>
      <c r="AX23" s="56">
        <v>0</v>
      </c>
      <c r="AY23" s="56">
        <v>0</v>
      </c>
      <c r="AZ23" s="56">
        <v>0</v>
      </c>
      <c r="BA23" s="56">
        <v>0</v>
      </c>
      <c r="BB23" s="56">
        <v>0</v>
      </c>
      <c r="BC23" s="56">
        <v>0</v>
      </c>
      <c r="BD23" s="56">
        <v>0</v>
      </c>
      <c r="BE23" s="56">
        <v>0</v>
      </c>
      <c r="BF23" s="56">
        <v>0</v>
      </c>
      <c r="BG23" s="56">
        <v>0</v>
      </c>
      <c r="BH23" s="56">
        <v>0</v>
      </c>
      <c r="BI23" s="56">
        <v>0</v>
      </c>
      <c r="BJ23" s="56">
        <v>0</v>
      </c>
      <c r="BK23" s="56">
        <v>0</v>
      </c>
      <c r="BL23" s="56">
        <v>0</v>
      </c>
      <c r="BM23" s="56">
        <v>0</v>
      </c>
      <c r="BN23" s="56">
        <v>0</v>
      </c>
      <c r="BO23" s="56">
        <v>0</v>
      </c>
      <c r="BP23" s="56">
        <v>0</v>
      </c>
      <c r="BQ23" s="56">
        <v>0</v>
      </c>
      <c r="BR23" s="56">
        <v>0</v>
      </c>
      <c r="BS23" s="56">
        <v>0</v>
      </c>
      <c r="BT23" s="56">
        <v>0</v>
      </c>
      <c r="BU23" s="56">
        <v>0</v>
      </c>
      <c r="BV23" s="56">
        <v>0</v>
      </c>
      <c r="BW23" s="56">
        <v>0</v>
      </c>
      <c r="BX23" s="56">
        <v>0</v>
      </c>
      <c r="BY23" s="56">
        <v>0</v>
      </c>
      <c r="BZ23" s="56">
        <v>0</v>
      </c>
      <c r="CA23" s="56">
        <v>0</v>
      </c>
      <c r="CB23" s="56">
        <v>0</v>
      </c>
      <c r="CC23" s="56">
        <v>0</v>
      </c>
      <c r="CD23" s="56">
        <v>0</v>
      </c>
      <c r="CE23" s="56">
        <v>0</v>
      </c>
      <c r="CF23" s="56">
        <v>0</v>
      </c>
      <c r="CG23" s="56">
        <v>0</v>
      </c>
      <c r="CH23" s="56">
        <v>0</v>
      </c>
      <c r="CI23" s="56">
        <v>0</v>
      </c>
      <c r="CJ23" s="56">
        <v>0</v>
      </c>
      <c r="CK23" s="56">
        <v>0</v>
      </c>
      <c r="CL23" s="56">
        <v>0</v>
      </c>
      <c r="CM23" s="56">
        <v>0</v>
      </c>
      <c r="CN23" s="56">
        <v>0</v>
      </c>
      <c r="CO23" s="56">
        <v>0</v>
      </c>
      <c r="CP23" s="56">
        <v>0</v>
      </c>
      <c r="CQ23" s="56">
        <v>0</v>
      </c>
      <c r="CR23" s="56">
        <v>0</v>
      </c>
      <c r="CS23" s="56">
        <v>0</v>
      </c>
      <c r="CT23" s="56">
        <v>0</v>
      </c>
      <c r="CU23" s="56">
        <v>0</v>
      </c>
      <c r="CV23" s="56">
        <v>0</v>
      </c>
      <c r="CW23" s="56">
        <v>0</v>
      </c>
      <c r="CX23" s="56">
        <v>0</v>
      </c>
      <c r="CY23" s="56">
        <v>0</v>
      </c>
      <c r="CZ23" s="56">
        <v>0</v>
      </c>
      <c r="DA23" s="56">
        <v>0</v>
      </c>
      <c r="DB23" s="56">
        <v>0</v>
      </c>
      <c r="DC23" s="56">
        <v>0</v>
      </c>
      <c r="DD23" s="56">
        <v>0</v>
      </c>
      <c r="DE23" s="56">
        <v>0</v>
      </c>
      <c r="DF23" s="56">
        <v>0</v>
      </c>
      <c r="DG23" s="56">
        <v>0</v>
      </c>
      <c r="DH23" s="56">
        <v>0</v>
      </c>
      <c r="DI23" s="56">
        <v>0</v>
      </c>
      <c r="DJ23" s="56">
        <v>0</v>
      </c>
      <c r="DK23" s="56">
        <v>0</v>
      </c>
      <c r="DL23" s="56">
        <v>0</v>
      </c>
      <c r="DM23" s="56">
        <v>0</v>
      </c>
      <c r="DN23" s="56">
        <v>0</v>
      </c>
      <c r="DO23" s="56">
        <v>0</v>
      </c>
      <c r="DP23" s="56">
        <v>0</v>
      </c>
      <c r="DQ23" s="56">
        <v>0</v>
      </c>
      <c r="DR23" s="56">
        <v>0</v>
      </c>
      <c r="DS23" s="56">
        <v>0</v>
      </c>
      <c r="DT23" s="56">
        <v>0</v>
      </c>
      <c r="DU23" s="56">
        <v>0</v>
      </c>
    </row>
    <row r="24" spans="2:125" ht="24" customHeight="1">
      <c r="B24" s="114" t="s">
        <v>138</v>
      </c>
      <c r="C24" s="5">
        <v>4212</v>
      </c>
      <c r="D24" s="78" t="s">
        <v>35</v>
      </c>
      <c r="E24" s="113">
        <f t="shared" si="12"/>
        <v>0</v>
      </c>
      <c r="F24" s="56">
        <v>0</v>
      </c>
      <c r="G24" s="56">
        <v>0</v>
      </c>
      <c r="H24" s="56">
        <v>0</v>
      </c>
      <c r="I24" s="56">
        <v>0</v>
      </c>
      <c r="J24" s="56">
        <v>0</v>
      </c>
      <c r="K24" s="56">
        <v>0</v>
      </c>
      <c r="L24" s="56">
        <v>0</v>
      </c>
      <c r="M24" s="56">
        <v>0</v>
      </c>
      <c r="N24" s="56">
        <v>0</v>
      </c>
      <c r="O24" s="56">
        <v>0</v>
      </c>
      <c r="P24" s="56">
        <v>0</v>
      </c>
      <c r="Q24" s="56">
        <v>0</v>
      </c>
      <c r="R24" s="56">
        <v>0</v>
      </c>
      <c r="S24" s="56">
        <v>0</v>
      </c>
      <c r="T24" s="56">
        <v>0</v>
      </c>
      <c r="U24" s="56">
        <v>0</v>
      </c>
      <c r="V24" s="56">
        <v>0</v>
      </c>
      <c r="W24" s="56">
        <v>0</v>
      </c>
      <c r="X24" s="56">
        <v>0</v>
      </c>
      <c r="Y24" s="56">
        <v>0</v>
      </c>
      <c r="Z24" s="56">
        <v>0</v>
      </c>
      <c r="AA24" s="56">
        <v>0</v>
      </c>
      <c r="AB24" s="56">
        <v>0</v>
      </c>
      <c r="AC24" s="56">
        <v>0</v>
      </c>
      <c r="AD24" s="56">
        <v>0</v>
      </c>
      <c r="AE24" s="56">
        <v>0</v>
      </c>
      <c r="AF24" s="56">
        <v>0</v>
      </c>
      <c r="AG24" s="56">
        <v>0</v>
      </c>
      <c r="AH24" s="56">
        <v>0</v>
      </c>
      <c r="AI24" s="56">
        <v>0</v>
      </c>
      <c r="AJ24" s="56">
        <v>0</v>
      </c>
      <c r="AK24" s="56">
        <v>0</v>
      </c>
      <c r="AL24" s="56">
        <v>0</v>
      </c>
      <c r="AM24" s="56">
        <v>0</v>
      </c>
      <c r="AN24" s="56">
        <v>0</v>
      </c>
      <c r="AO24" s="56">
        <v>0</v>
      </c>
      <c r="AP24" s="56">
        <v>0</v>
      </c>
      <c r="AQ24" s="56">
        <v>0</v>
      </c>
      <c r="AR24" s="56">
        <v>0</v>
      </c>
      <c r="AS24" s="56">
        <v>0</v>
      </c>
      <c r="AT24" s="56">
        <v>0</v>
      </c>
      <c r="AU24" s="56">
        <v>0</v>
      </c>
      <c r="AV24" s="56">
        <v>0</v>
      </c>
      <c r="AW24" s="56">
        <v>0</v>
      </c>
      <c r="AX24" s="56">
        <v>0</v>
      </c>
      <c r="AY24" s="56">
        <v>0</v>
      </c>
      <c r="AZ24" s="56">
        <v>0</v>
      </c>
      <c r="BA24" s="56">
        <v>0</v>
      </c>
      <c r="BB24" s="56">
        <v>0</v>
      </c>
      <c r="BC24" s="56">
        <v>0</v>
      </c>
      <c r="BD24" s="56">
        <v>0</v>
      </c>
      <c r="BE24" s="56">
        <v>0</v>
      </c>
      <c r="BF24" s="56">
        <v>0</v>
      </c>
      <c r="BG24" s="56">
        <v>0</v>
      </c>
      <c r="BH24" s="56">
        <v>0</v>
      </c>
      <c r="BI24" s="56">
        <v>0</v>
      </c>
      <c r="BJ24" s="56">
        <v>0</v>
      </c>
      <c r="BK24" s="56">
        <v>0</v>
      </c>
      <c r="BL24" s="56">
        <v>0</v>
      </c>
      <c r="BM24" s="56">
        <v>0</v>
      </c>
      <c r="BN24" s="56">
        <v>0</v>
      </c>
      <c r="BO24" s="56">
        <v>0</v>
      </c>
      <c r="BP24" s="56">
        <v>0</v>
      </c>
      <c r="BQ24" s="56">
        <v>0</v>
      </c>
      <c r="BR24" s="56">
        <v>0</v>
      </c>
      <c r="BS24" s="56">
        <v>0</v>
      </c>
      <c r="BT24" s="56">
        <v>0</v>
      </c>
      <c r="BU24" s="56">
        <v>0</v>
      </c>
      <c r="BV24" s="56">
        <v>0</v>
      </c>
      <c r="BW24" s="56">
        <v>0</v>
      </c>
      <c r="BX24" s="56">
        <v>0</v>
      </c>
      <c r="BY24" s="56">
        <v>0</v>
      </c>
      <c r="BZ24" s="56">
        <v>0</v>
      </c>
      <c r="CA24" s="56">
        <v>0</v>
      </c>
      <c r="CB24" s="56">
        <v>0</v>
      </c>
      <c r="CC24" s="56">
        <v>0</v>
      </c>
      <c r="CD24" s="56">
        <v>0</v>
      </c>
      <c r="CE24" s="56">
        <v>0</v>
      </c>
      <c r="CF24" s="56">
        <v>0</v>
      </c>
      <c r="CG24" s="56">
        <v>0</v>
      </c>
      <c r="CH24" s="56">
        <v>0</v>
      </c>
      <c r="CI24" s="56">
        <v>0</v>
      </c>
      <c r="CJ24" s="56">
        <v>0</v>
      </c>
      <c r="CK24" s="56">
        <v>0</v>
      </c>
      <c r="CL24" s="56">
        <v>0</v>
      </c>
      <c r="CM24" s="56">
        <v>0</v>
      </c>
      <c r="CN24" s="56">
        <v>0</v>
      </c>
      <c r="CO24" s="56">
        <v>0</v>
      </c>
      <c r="CP24" s="56">
        <v>0</v>
      </c>
      <c r="CQ24" s="56">
        <v>0</v>
      </c>
      <c r="CR24" s="56">
        <v>0</v>
      </c>
      <c r="CS24" s="56">
        <v>0</v>
      </c>
      <c r="CT24" s="56">
        <v>0</v>
      </c>
      <c r="CU24" s="56">
        <v>0</v>
      </c>
      <c r="CV24" s="56">
        <v>0</v>
      </c>
      <c r="CW24" s="56">
        <v>0</v>
      </c>
      <c r="CX24" s="56">
        <v>0</v>
      </c>
      <c r="CY24" s="56">
        <v>0</v>
      </c>
      <c r="CZ24" s="56">
        <v>0</v>
      </c>
      <c r="DA24" s="56">
        <v>0</v>
      </c>
      <c r="DB24" s="56">
        <v>0</v>
      </c>
      <c r="DC24" s="56">
        <v>0</v>
      </c>
      <c r="DD24" s="56">
        <v>0</v>
      </c>
      <c r="DE24" s="56">
        <v>0</v>
      </c>
      <c r="DF24" s="56">
        <v>0</v>
      </c>
      <c r="DG24" s="56">
        <v>0</v>
      </c>
      <c r="DH24" s="56">
        <v>0</v>
      </c>
      <c r="DI24" s="56">
        <v>0</v>
      </c>
      <c r="DJ24" s="56">
        <v>0</v>
      </c>
      <c r="DK24" s="56">
        <v>0</v>
      </c>
      <c r="DL24" s="56">
        <v>0</v>
      </c>
      <c r="DM24" s="56">
        <v>0</v>
      </c>
      <c r="DN24" s="56">
        <v>0</v>
      </c>
      <c r="DO24" s="56">
        <v>0</v>
      </c>
      <c r="DP24" s="56">
        <v>0</v>
      </c>
      <c r="DQ24" s="56">
        <v>0</v>
      </c>
      <c r="DR24" s="56">
        <v>0</v>
      </c>
      <c r="DS24" s="56">
        <v>0</v>
      </c>
      <c r="DT24" s="56">
        <v>0</v>
      </c>
      <c r="DU24" s="56">
        <v>0</v>
      </c>
    </row>
    <row r="25" spans="2:125" ht="39.5" customHeight="1">
      <c r="B25" s="114" t="s">
        <v>139</v>
      </c>
      <c r="C25" s="5">
        <v>4213</v>
      </c>
      <c r="D25" s="78" t="s">
        <v>35</v>
      </c>
      <c r="E25" s="113">
        <f t="shared" si="12"/>
        <v>0</v>
      </c>
      <c r="F25" s="56">
        <v>0</v>
      </c>
      <c r="G25" s="56">
        <v>0</v>
      </c>
      <c r="H25" s="56">
        <v>0</v>
      </c>
      <c r="I25" s="56">
        <v>0</v>
      </c>
      <c r="J25" s="56">
        <v>0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0</v>
      </c>
      <c r="U25" s="56">
        <v>0</v>
      </c>
      <c r="V25" s="56">
        <v>0</v>
      </c>
      <c r="W25" s="56">
        <v>0</v>
      </c>
      <c r="X25" s="56">
        <v>0</v>
      </c>
      <c r="Y25" s="56">
        <v>0</v>
      </c>
      <c r="Z25" s="56">
        <v>0</v>
      </c>
      <c r="AA25" s="56">
        <v>0</v>
      </c>
      <c r="AB25" s="56">
        <v>0</v>
      </c>
      <c r="AC25" s="56">
        <v>0</v>
      </c>
      <c r="AD25" s="56">
        <v>0</v>
      </c>
      <c r="AE25" s="56">
        <v>0</v>
      </c>
      <c r="AF25" s="56">
        <v>0</v>
      </c>
      <c r="AG25" s="56">
        <v>0</v>
      </c>
      <c r="AH25" s="56">
        <v>0</v>
      </c>
      <c r="AI25" s="56">
        <v>0</v>
      </c>
      <c r="AJ25" s="56">
        <v>0</v>
      </c>
      <c r="AK25" s="56">
        <v>0</v>
      </c>
      <c r="AL25" s="56">
        <v>0</v>
      </c>
      <c r="AM25" s="56">
        <v>0</v>
      </c>
      <c r="AN25" s="56">
        <v>0</v>
      </c>
      <c r="AO25" s="56">
        <v>0</v>
      </c>
      <c r="AP25" s="56">
        <v>0</v>
      </c>
      <c r="AQ25" s="56">
        <v>0</v>
      </c>
      <c r="AR25" s="56">
        <v>0</v>
      </c>
      <c r="AS25" s="56">
        <v>0</v>
      </c>
      <c r="AT25" s="56">
        <v>0</v>
      </c>
      <c r="AU25" s="56">
        <v>0</v>
      </c>
      <c r="AV25" s="56">
        <v>0</v>
      </c>
      <c r="AW25" s="56">
        <v>0</v>
      </c>
      <c r="AX25" s="56">
        <v>0</v>
      </c>
      <c r="AY25" s="56">
        <v>0</v>
      </c>
      <c r="AZ25" s="56">
        <v>0</v>
      </c>
      <c r="BA25" s="56">
        <v>0</v>
      </c>
      <c r="BB25" s="56">
        <v>0</v>
      </c>
      <c r="BC25" s="56">
        <v>0</v>
      </c>
      <c r="BD25" s="56">
        <v>0</v>
      </c>
      <c r="BE25" s="56">
        <v>0</v>
      </c>
      <c r="BF25" s="56">
        <v>0</v>
      </c>
      <c r="BG25" s="56">
        <v>0</v>
      </c>
      <c r="BH25" s="56">
        <v>0</v>
      </c>
      <c r="BI25" s="56">
        <v>0</v>
      </c>
      <c r="BJ25" s="56">
        <v>0</v>
      </c>
      <c r="BK25" s="56">
        <v>0</v>
      </c>
      <c r="BL25" s="56">
        <v>0</v>
      </c>
      <c r="BM25" s="56">
        <v>0</v>
      </c>
      <c r="BN25" s="56">
        <v>0</v>
      </c>
      <c r="BO25" s="56">
        <v>0</v>
      </c>
      <c r="BP25" s="56">
        <v>0</v>
      </c>
      <c r="BQ25" s="56">
        <v>0</v>
      </c>
      <c r="BR25" s="56">
        <v>0</v>
      </c>
      <c r="BS25" s="56">
        <v>0</v>
      </c>
      <c r="BT25" s="56">
        <v>0</v>
      </c>
      <c r="BU25" s="56">
        <v>0</v>
      </c>
      <c r="BV25" s="56">
        <v>0</v>
      </c>
      <c r="BW25" s="56">
        <v>0</v>
      </c>
      <c r="BX25" s="56">
        <v>0</v>
      </c>
      <c r="BY25" s="56">
        <v>0</v>
      </c>
      <c r="BZ25" s="56">
        <v>0</v>
      </c>
      <c r="CA25" s="56">
        <v>0</v>
      </c>
      <c r="CB25" s="56">
        <v>0</v>
      </c>
      <c r="CC25" s="56">
        <v>0</v>
      </c>
      <c r="CD25" s="56">
        <v>0</v>
      </c>
      <c r="CE25" s="56">
        <v>0</v>
      </c>
      <c r="CF25" s="56">
        <v>0</v>
      </c>
      <c r="CG25" s="56">
        <v>0</v>
      </c>
      <c r="CH25" s="56">
        <v>0</v>
      </c>
      <c r="CI25" s="56">
        <v>0</v>
      </c>
      <c r="CJ25" s="56">
        <v>0</v>
      </c>
      <c r="CK25" s="56">
        <v>0</v>
      </c>
      <c r="CL25" s="56">
        <v>0</v>
      </c>
      <c r="CM25" s="56">
        <v>0</v>
      </c>
      <c r="CN25" s="56">
        <v>0</v>
      </c>
      <c r="CO25" s="56">
        <v>0</v>
      </c>
      <c r="CP25" s="56">
        <v>0</v>
      </c>
      <c r="CQ25" s="56">
        <v>0</v>
      </c>
      <c r="CR25" s="56">
        <v>0</v>
      </c>
      <c r="CS25" s="56">
        <v>0</v>
      </c>
      <c r="CT25" s="56">
        <v>0</v>
      </c>
      <c r="CU25" s="56">
        <v>0</v>
      </c>
      <c r="CV25" s="56">
        <v>0</v>
      </c>
      <c r="CW25" s="56">
        <v>0</v>
      </c>
      <c r="CX25" s="56">
        <v>0</v>
      </c>
      <c r="CY25" s="56">
        <v>0</v>
      </c>
      <c r="CZ25" s="56">
        <v>0</v>
      </c>
      <c r="DA25" s="56">
        <v>0</v>
      </c>
      <c r="DB25" s="56">
        <v>0</v>
      </c>
      <c r="DC25" s="56">
        <v>0</v>
      </c>
      <c r="DD25" s="56">
        <v>0</v>
      </c>
      <c r="DE25" s="56">
        <v>0</v>
      </c>
      <c r="DF25" s="56">
        <v>0</v>
      </c>
      <c r="DG25" s="56">
        <v>0</v>
      </c>
      <c r="DH25" s="56">
        <v>0</v>
      </c>
      <c r="DI25" s="56">
        <v>0</v>
      </c>
      <c r="DJ25" s="56">
        <v>0</v>
      </c>
      <c r="DK25" s="56">
        <v>0</v>
      </c>
      <c r="DL25" s="56">
        <v>0</v>
      </c>
      <c r="DM25" s="56">
        <v>0</v>
      </c>
      <c r="DN25" s="56">
        <v>0</v>
      </c>
      <c r="DO25" s="56">
        <v>0</v>
      </c>
      <c r="DP25" s="56">
        <v>0</v>
      </c>
      <c r="DQ25" s="56">
        <v>0</v>
      </c>
      <c r="DR25" s="56">
        <v>0</v>
      </c>
      <c r="DS25" s="56">
        <v>0</v>
      </c>
      <c r="DT25" s="56">
        <v>0</v>
      </c>
      <c r="DU25" s="56">
        <v>0</v>
      </c>
    </row>
    <row r="26" spans="2:125" ht="36.5" customHeight="1">
      <c r="B26" s="114" t="s">
        <v>140</v>
      </c>
      <c r="C26" s="5">
        <v>4214</v>
      </c>
      <c r="D26" s="78" t="s">
        <v>35</v>
      </c>
      <c r="E26" s="113">
        <f t="shared" si="12"/>
        <v>0</v>
      </c>
      <c r="F26" s="56">
        <v>0</v>
      </c>
      <c r="G26" s="56">
        <v>0</v>
      </c>
      <c r="H26" s="56">
        <v>0</v>
      </c>
      <c r="I26" s="56">
        <v>0</v>
      </c>
      <c r="J26" s="56">
        <v>0</v>
      </c>
      <c r="K26" s="56">
        <v>0</v>
      </c>
      <c r="L26" s="56">
        <v>0</v>
      </c>
      <c r="M26" s="56">
        <v>0</v>
      </c>
      <c r="N26" s="56">
        <v>0</v>
      </c>
      <c r="O26" s="56">
        <v>0</v>
      </c>
      <c r="P26" s="56">
        <v>0</v>
      </c>
      <c r="Q26" s="56">
        <v>0</v>
      </c>
      <c r="R26" s="56">
        <v>0</v>
      </c>
      <c r="S26" s="56">
        <v>0</v>
      </c>
      <c r="T26" s="56">
        <v>0</v>
      </c>
      <c r="U26" s="56">
        <v>0</v>
      </c>
      <c r="V26" s="56">
        <v>0</v>
      </c>
      <c r="W26" s="56">
        <v>0</v>
      </c>
      <c r="X26" s="56">
        <v>0</v>
      </c>
      <c r="Y26" s="56">
        <v>0</v>
      </c>
      <c r="Z26" s="56">
        <v>0</v>
      </c>
      <c r="AA26" s="56">
        <v>0</v>
      </c>
      <c r="AB26" s="56">
        <v>0</v>
      </c>
      <c r="AC26" s="56">
        <v>0</v>
      </c>
      <c r="AD26" s="56">
        <v>0</v>
      </c>
      <c r="AE26" s="56">
        <v>0</v>
      </c>
      <c r="AF26" s="56">
        <v>0</v>
      </c>
      <c r="AG26" s="56">
        <v>0</v>
      </c>
      <c r="AH26" s="56">
        <v>0</v>
      </c>
      <c r="AI26" s="56">
        <v>0</v>
      </c>
      <c r="AJ26" s="56">
        <v>0</v>
      </c>
      <c r="AK26" s="56">
        <v>0</v>
      </c>
      <c r="AL26" s="56">
        <v>0</v>
      </c>
      <c r="AM26" s="56">
        <v>0</v>
      </c>
      <c r="AN26" s="56">
        <v>0</v>
      </c>
      <c r="AO26" s="56">
        <v>0</v>
      </c>
      <c r="AP26" s="56">
        <v>0</v>
      </c>
      <c r="AQ26" s="56">
        <v>0</v>
      </c>
      <c r="AR26" s="56">
        <v>0</v>
      </c>
      <c r="AS26" s="56">
        <v>0</v>
      </c>
      <c r="AT26" s="56">
        <v>0</v>
      </c>
      <c r="AU26" s="56">
        <v>0</v>
      </c>
      <c r="AV26" s="56">
        <v>0</v>
      </c>
      <c r="AW26" s="56">
        <v>0</v>
      </c>
      <c r="AX26" s="56">
        <v>0</v>
      </c>
      <c r="AY26" s="56">
        <v>0</v>
      </c>
      <c r="AZ26" s="56">
        <v>0</v>
      </c>
      <c r="BA26" s="56">
        <v>0</v>
      </c>
      <c r="BB26" s="56">
        <v>0</v>
      </c>
      <c r="BC26" s="56">
        <v>0</v>
      </c>
      <c r="BD26" s="56">
        <v>0</v>
      </c>
      <c r="BE26" s="56">
        <v>0</v>
      </c>
      <c r="BF26" s="56">
        <v>0</v>
      </c>
      <c r="BG26" s="56">
        <v>0</v>
      </c>
      <c r="BH26" s="56">
        <v>0</v>
      </c>
      <c r="BI26" s="56">
        <v>0</v>
      </c>
      <c r="BJ26" s="56">
        <v>0</v>
      </c>
      <c r="BK26" s="56">
        <v>0</v>
      </c>
      <c r="BL26" s="56">
        <v>0</v>
      </c>
      <c r="BM26" s="56">
        <v>0</v>
      </c>
      <c r="BN26" s="56">
        <v>0</v>
      </c>
      <c r="BO26" s="56">
        <v>0</v>
      </c>
      <c r="BP26" s="56">
        <v>0</v>
      </c>
      <c r="BQ26" s="56">
        <v>0</v>
      </c>
      <c r="BR26" s="56">
        <v>0</v>
      </c>
      <c r="BS26" s="56">
        <v>0</v>
      </c>
      <c r="BT26" s="56">
        <v>0</v>
      </c>
      <c r="BU26" s="56">
        <v>0</v>
      </c>
      <c r="BV26" s="56">
        <v>0</v>
      </c>
      <c r="BW26" s="56">
        <v>0</v>
      </c>
      <c r="BX26" s="56">
        <v>0</v>
      </c>
      <c r="BY26" s="56">
        <v>0</v>
      </c>
      <c r="BZ26" s="56">
        <v>0</v>
      </c>
      <c r="CA26" s="56">
        <v>0</v>
      </c>
      <c r="CB26" s="56">
        <v>0</v>
      </c>
      <c r="CC26" s="56">
        <v>0</v>
      </c>
      <c r="CD26" s="56">
        <v>0</v>
      </c>
      <c r="CE26" s="56">
        <v>0</v>
      </c>
      <c r="CF26" s="56">
        <v>0</v>
      </c>
      <c r="CG26" s="56">
        <v>0</v>
      </c>
      <c r="CH26" s="56">
        <v>0</v>
      </c>
      <c r="CI26" s="56">
        <v>0</v>
      </c>
      <c r="CJ26" s="56">
        <v>0</v>
      </c>
      <c r="CK26" s="56">
        <v>0</v>
      </c>
      <c r="CL26" s="56">
        <v>0</v>
      </c>
      <c r="CM26" s="56">
        <v>0</v>
      </c>
      <c r="CN26" s="56">
        <v>0</v>
      </c>
      <c r="CO26" s="56">
        <v>0</v>
      </c>
      <c r="CP26" s="56">
        <v>0</v>
      </c>
      <c r="CQ26" s="56">
        <v>0</v>
      </c>
      <c r="CR26" s="56">
        <v>0</v>
      </c>
      <c r="CS26" s="56">
        <v>0</v>
      </c>
      <c r="CT26" s="56">
        <v>0</v>
      </c>
      <c r="CU26" s="56">
        <v>0</v>
      </c>
      <c r="CV26" s="56">
        <v>0</v>
      </c>
      <c r="CW26" s="56">
        <v>0</v>
      </c>
      <c r="CX26" s="56">
        <v>0</v>
      </c>
      <c r="CY26" s="56">
        <v>0</v>
      </c>
      <c r="CZ26" s="56">
        <v>0</v>
      </c>
      <c r="DA26" s="56">
        <v>0</v>
      </c>
      <c r="DB26" s="56">
        <v>0</v>
      </c>
      <c r="DC26" s="56">
        <v>0</v>
      </c>
      <c r="DD26" s="56">
        <v>0</v>
      </c>
      <c r="DE26" s="56">
        <v>0</v>
      </c>
      <c r="DF26" s="56">
        <v>0</v>
      </c>
      <c r="DG26" s="56">
        <v>0</v>
      </c>
      <c r="DH26" s="56">
        <v>0</v>
      </c>
      <c r="DI26" s="56">
        <v>0</v>
      </c>
      <c r="DJ26" s="56">
        <v>0</v>
      </c>
      <c r="DK26" s="56">
        <v>0</v>
      </c>
      <c r="DL26" s="56">
        <v>0</v>
      </c>
      <c r="DM26" s="56">
        <v>0</v>
      </c>
      <c r="DN26" s="56">
        <v>0</v>
      </c>
      <c r="DO26" s="56">
        <v>0</v>
      </c>
      <c r="DP26" s="56">
        <v>0</v>
      </c>
      <c r="DQ26" s="56">
        <v>0</v>
      </c>
      <c r="DR26" s="56">
        <v>0</v>
      </c>
      <c r="DS26" s="56">
        <v>0</v>
      </c>
      <c r="DT26" s="56">
        <v>0</v>
      </c>
      <c r="DU26" s="56">
        <v>0</v>
      </c>
    </row>
    <row r="27" spans="2:125">
      <c r="B27" s="114" t="s">
        <v>121</v>
      </c>
      <c r="C27" s="5">
        <v>4219</v>
      </c>
      <c r="D27" s="78" t="s">
        <v>35</v>
      </c>
      <c r="E27" s="113">
        <f t="shared" si="12"/>
        <v>0</v>
      </c>
      <c r="F27" s="56">
        <v>0</v>
      </c>
      <c r="G27" s="56">
        <v>0</v>
      </c>
      <c r="H27" s="56">
        <v>0</v>
      </c>
      <c r="I27" s="56">
        <v>0</v>
      </c>
      <c r="J27" s="56">
        <v>0</v>
      </c>
      <c r="K27" s="56">
        <v>0</v>
      </c>
      <c r="L27" s="56">
        <v>0</v>
      </c>
      <c r="M27" s="56">
        <v>0</v>
      </c>
      <c r="N27" s="56">
        <v>0</v>
      </c>
      <c r="O27" s="56">
        <v>0</v>
      </c>
      <c r="P27" s="56">
        <v>0</v>
      </c>
      <c r="Q27" s="56">
        <v>0</v>
      </c>
      <c r="R27" s="56">
        <v>0</v>
      </c>
      <c r="S27" s="56">
        <v>0</v>
      </c>
      <c r="T27" s="56">
        <v>0</v>
      </c>
      <c r="U27" s="56">
        <v>0</v>
      </c>
      <c r="V27" s="56">
        <v>0</v>
      </c>
      <c r="W27" s="56">
        <v>0</v>
      </c>
      <c r="X27" s="56">
        <v>0</v>
      </c>
      <c r="Y27" s="56">
        <v>0</v>
      </c>
      <c r="Z27" s="56">
        <v>0</v>
      </c>
      <c r="AA27" s="56">
        <v>0</v>
      </c>
      <c r="AB27" s="56">
        <v>0</v>
      </c>
      <c r="AC27" s="56">
        <v>0</v>
      </c>
      <c r="AD27" s="56">
        <v>0</v>
      </c>
      <c r="AE27" s="56">
        <v>0</v>
      </c>
      <c r="AF27" s="56">
        <v>0</v>
      </c>
      <c r="AG27" s="56">
        <v>0</v>
      </c>
      <c r="AH27" s="56">
        <v>0</v>
      </c>
      <c r="AI27" s="56">
        <v>0</v>
      </c>
      <c r="AJ27" s="56">
        <v>0</v>
      </c>
      <c r="AK27" s="56">
        <v>0</v>
      </c>
      <c r="AL27" s="56">
        <v>0</v>
      </c>
      <c r="AM27" s="56">
        <v>0</v>
      </c>
      <c r="AN27" s="56">
        <v>0</v>
      </c>
      <c r="AO27" s="56">
        <v>0</v>
      </c>
      <c r="AP27" s="56">
        <v>0</v>
      </c>
      <c r="AQ27" s="56">
        <v>0</v>
      </c>
      <c r="AR27" s="56">
        <v>0</v>
      </c>
      <c r="AS27" s="56">
        <v>0</v>
      </c>
      <c r="AT27" s="56">
        <v>0</v>
      </c>
      <c r="AU27" s="56">
        <v>0</v>
      </c>
      <c r="AV27" s="56">
        <v>0</v>
      </c>
      <c r="AW27" s="56">
        <v>0</v>
      </c>
      <c r="AX27" s="56">
        <v>0</v>
      </c>
      <c r="AY27" s="56">
        <v>0</v>
      </c>
      <c r="AZ27" s="56">
        <v>0</v>
      </c>
      <c r="BA27" s="56">
        <v>0</v>
      </c>
      <c r="BB27" s="56">
        <v>0</v>
      </c>
      <c r="BC27" s="56">
        <v>0</v>
      </c>
      <c r="BD27" s="56">
        <v>0</v>
      </c>
      <c r="BE27" s="56">
        <v>0</v>
      </c>
      <c r="BF27" s="56">
        <v>0</v>
      </c>
      <c r="BG27" s="56">
        <v>0</v>
      </c>
      <c r="BH27" s="56">
        <v>0</v>
      </c>
      <c r="BI27" s="56">
        <v>0</v>
      </c>
      <c r="BJ27" s="56">
        <v>0</v>
      </c>
      <c r="BK27" s="56">
        <v>0</v>
      </c>
      <c r="BL27" s="56">
        <v>0</v>
      </c>
      <c r="BM27" s="56">
        <v>0</v>
      </c>
      <c r="BN27" s="56">
        <v>0</v>
      </c>
      <c r="BO27" s="56">
        <v>0</v>
      </c>
      <c r="BP27" s="56">
        <v>0</v>
      </c>
      <c r="BQ27" s="56">
        <v>0</v>
      </c>
      <c r="BR27" s="56">
        <v>0</v>
      </c>
      <c r="BS27" s="56">
        <v>0</v>
      </c>
      <c r="BT27" s="56">
        <v>0</v>
      </c>
      <c r="BU27" s="56">
        <v>0</v>
      </c>
      <c r="BV27" s="56">
        <v>0</v>
      </c>
      <c r="BW27" s="56">
        <v>0</v>
      </c>
      <c r="BX27" s="56">
        <v>0</v>
      </c>
      <c r="BY27" s="56">
        <v>0</v>
      </c>
      <c r="BZ27" s="56">
        <v>0</v>
      </c>
      <c r="CA27" s="56">
        <v>0</v>
      </c>
      <c r="CB27" s="56">
        <v>0</v>
      </c>
      <c r="CC27" s="56">
        <v>0</v>
      </c>
      <c r="CD27" s="56">
        <v>0</v>
      </c>
      <c r="CE27" s="56">
        <v>0</v>
      </c>
      <c r="CF27" s="56">
        <v>0</v>
      </c>
      <c r="CG27" s="56">
        <v>0</v>
      </c>
      <c r="CH27" s="56">
        <v>0</v>
      </c>
      <c r="CI27" s="56">
        <v>0</v>
      </c>
      <c r="CJ27" s="56">
        <v>0</v>
      </c>
      <c r="CK27" s="56">
        <v>0</v>
      </c>
      <c r="CL27" s="56">
        <v>0</v>
      </c>
      <c r="CM27" s="56">
        <v>0</v>
      </c>
      <c r="CN27" s="56">
        <v>0</v>
      </c>
      <c r="CO27" s="56">
        <v>0</v>
      </c>
      <c r="CP27" s="56">
        <v>0</v>
      </c>
      <c r="CQ27" s="56">
        <v>0</v>
      </c>
      <c r="CR27" s="56">
        <v>0</v>
      </c>
      <c r="CS27" s="56">
        <v>0</v>
      </c>
      <c r="CT27" s="56">
        <v>0</v>
      </c>
      <c r="CU27" s="56">
        <v>0</v>
      </c>
      <c r="CV27" s="56">
        <v>0</v>
      </c>
      <c r="CW27" s="56">
        <v>0</v>
      </c>
      <c r="CX27" s="56">
        <v>0</v>
      </c>
      <c r="CY27" s="56">
        <v>0</v>
      </c>
      <c r="CZ27" s="56">
        <v>0</v>
      </c>
      <c r="DA27" s="56">
        <v>0</v>
      </c>
      <c r="DB27" s="56">
        <v>0</v>
      </c>
      <c r="DC27" s="56">
        <v>0</v>
      </c>
      <c r="DD27" s="56">
        <v>0</v>
      </c>
      <c r="DE27" s="56">
        <v>0</v>
      </c>
      <c r="DF27" s="56">
        <v>0</v>
      </c>
      <c r="DG27" s="56">
        <v>0</v>
      </c>
      <c r="DH27" s="56">
        <v>0</v>
      </c>
      <c r="DI27" s="56">
        <v>0</v>
      </c>
      <c r="DJ27" s="56">
        <v>0</v>
      </c>
      <c r="DK27" s="56">
        <v>0</v>
      </c>
      <c r="DL27" s="56">
        <v>0</v>
      </c>
      <c r="DM27" s="56">
        <v>0</v>
      </c>
      <c r="DN27" s="56">
        <v>0</v>
      </c>
      <c r="DO27" s="56">
        <v>0</v>
      </c>
      <c r="DP27" s="56">
        <v>0</v>
      </c>
      <c r="DQ27" s="56">
        <v>0</v>
      </c>
      <c r="DR27" s="56">
        <v>0</v>
      </c>
      <c r="DS27" s="56">
        <v>0</v>
      </c>
      <c r="DT27" s="56">
        <v>0</v>
      </c>
      <c r="DU27" s="56">
        <v>0</v>
      </c>
    </row>
    <row r="28" spans="2:125">
      <c r="B28" s="115" t="s">
        <v>123</v>
      </c>
      <c r="C28" s="116">
        <v>4220</v>
      </c>
      <c r="D28" s="108" t="s">
        <v>35</v>
      </c>
      <c r="E28" s="110">
        <f>SUM(F28:DU28)</f>
        <v>0</v>
      </c>
      <c r="F28" s="110">
        <f>F30+F31+F32+F33+F34</f>
        <v>0</v>
      </c>
      <c r="G28" s="110">
        <f t="shared" si="13"/>
        <v>0</v>
      </c>
      <c r="H28" s="110">
        <f t="shared" si="13"/>
        <v>0</v>
      </c>
      <c r="I28" s="110">
        <f t="shared" si="13"/>
        <v>0</v>
      </c>
      <c r="J28" s="110">
        <f t="shared" si="13"/>
        <v>0</v>
      </c>
      <c r="K28" s="110">
        <f t="shared" si="13"/>
        <v>0</v>
      </c>
      <c r="L28" s="110">
        <f t="shared" si="13"/>
        <v>0</v>
      </c>
      <c r="M28" s="110">
        <f t="shared" si="13"/>
        <v>0</v>
      </c>
      <c r="N28" s="110">
        <f t="shared" si="13"/>
        <v>0</v>
      </c>
      <c r="O28" s="110">
        <f t="shared" si="13"/>
        <v>0</v>
      </c>
      <c r="P28" s="110">
        <f t="shared" si="13"/>
        <v>0</v>
      </c>
      <c r="Q28" s="110">
        <f t="shared" si="13"/>
        <v>0</v>
      </c>
      <c r="R28" s="110">
        <f t="shared" si="13"/>
        <v>0</v>
      </c>
      <c r="S28" s="110">
        <f t="shared" si="13"/>
        <v>0</v>
      </c>
      <c r="T28" s="110">
        <f t="shared" si="13"/>
        <v>0</v>
      </c>
      <c r="U28" s="110">
        <f t="shared" si="13"/>
        <v>0</v>
      </c>
      <c r="V28" s="110">
        <f t="shared" si="13"/>
        <v>0</v>
      </c>
      <c r="W28" s="110">
        <f t="shared" si="13"/>
        <v>0</v>
      </c>
      <c r="X28" s="110">
        <f t="shared" si="13"/>
        <v>0</v>
      </c>
      <c r="Y28" s="110">
        <f t="shared" si="13"/>
        <v>0</v>
      </c>
      <c r="Z28" s="110">
        <f t="shared" si="13"/>
        <v>0</v>
      </c>
      <c r="AA28" s="110">
        <f t="shared" si="13"/>
        <v>0</v>
      </c>
      <c r="AB28" s="110">
        <f t="shared" si="13"/>
        <v>0</v>
      </c>
      <c r="AC28" s="110">
        <f t="shared" si="13"/>
        <v>0</v>
      </c>
      <c r="AD28" s="110">
        <f t="shared" si="13"/>
        <v>0</v>
      </c>
      <c r="AE28" s="110">
        <f t="shared" si="13"/>
        <v>0</v>
      </c>
      <c r="AF28" s="110">
        <f t="shared" si="13"/>
        <v>0</v>
      </c>
      <c r="AG28" s="110">
        <f t="shared" si="13"/>
        <v>0</v>
      </c>
      <c r="AH28" s="110">
        <f t="shared" si="13"/>
        <v>0</v>
      </c>
      <c r="AI28" s="110">
        <f t="shared" si="13"/>
        <v>0</v>
      </c>
      <c r="AJ28" s="110">
        <f t="shared" si="13"/>
        <v>0</v>
      </c>
      <c r="AK28" s="110">
        <f t="shared" si="13"/>
        <v>0</v>
      </c>
      <c r="AL28" s="110">
        <f t="shared" si="13"/>
        <v>0</v>
      </c>
      <c r="AM28" s="110">
        <f t="shared" si="13"/>
        <v>0</v>
      </c>
      <c r="AN28" s="110">
        <f t="shared" si="13"/>
        <v>0</v>
      </c>
      <c r="AO28" s="110">
        <f t="shared" si="13"/>
        <v>0</v>
      </c>
      <c r="AP28" s="110">
        <f>AP30+AP31+AP32+AP33+AP34</f>
        <v>0</v>
      </c>
      <c r="AQ28" s="110">
        <f t="shared" ref="AQ28:BY28" si="17">AQ30+AQ31+AQ32+AQ33+AQ34</f>
        <v>0</v>
      </c>
      <c r="AR28" s="110">
        <f t="shared" si="17"/>
        <v>0</v>
      </c>
      <c r="AS28" s="110">
        <f t="shared" si="17"/>
        <v>0</v>
      </c>
      <c r="AT28" s="110">
        <f t="shared" si="17"/>
        <v>0</v>
      </c>
      <c r="AU28" s="110">
        <f t="shared" si="17"/>
        <v>0</v>
      </c>
      <c r="AV28" s="110">
        <f t="shared" si="17"/>
        <v>0</v>
      </c>
      <c r="AW28" s="110">
        <f t="shared" si="17"/>
        <v>0</v>
      </c>
      <c r="AX28" s="110">
        <f t="shared" si="17"/>
        <v>0</v>
      </c>
      <c r="AY28" s="110">
        <f t="shared" si="17"/>
        <v>0</v>
      </c>
      <c r="AZ28" s="110">
        <f t="shared" si="17"/>
        <v>0</v>
      </c>
      <c r="BA28" s="110">
        <f t="shared" si="17"/>
        <v>0</v>
      </c>
      <c r="BB28" s="110">
        <f t="shared" si="17"/>
        <v>0</v>
      </c>
      <c r="BC28" s="110">
        <f t="shared" si="17"/>
        <v>0</v>
      </c>
      <c r="BD28" s="110">
        <f t="shared" si="17"/>
        <v>0</v>
      </c>
      <c r="BE28" s="110">
        <f t="shared" si="17"/>
        <v>0</v>
      </c>
      <c r="BF28" s="110">
        <f t="shared" si="17"/>
        <v>0</v>
      </c>
      <c r="BG28" s="110">
        <f t="shared" si="17"/>
        <v>0</v>
      </c>
      <c r="BH28" s="110">
        <f t="shared" si="17"/>
        <v>0</v>
      </c>
      <c r="BI28" s="110">
        <f t="shared" si="17"/>
        <v>0</v>
      </c>
      <c r="BJ28" s="110">
        <f t="shared" si="17"/>
        <v>0</v>
      </c>
      <c r="BK28" s="110">
        <f t="shared" si="17"/>
        <v>0</v>
      </c>
      <c r="BL28" s="110">
        <f t="shared" si="17"/>
        <v>0</v>
      </c>
      <c r="BM28" s="110">
        <f t="shared" si="17"/>
        <v>0</v>
      </c>
      <c r="BN28" s="110">
        <f t="shared" si="17"/>
        <v>0</v>
      </c>
      <c r="BO28" s="110">
        <f t="shared" si="17"/>
        <v>0</v>
      </c>
      <c r="BP28" s="110">
        <f t="shared" si="17"/>
        <v>0</v>
      </c>
      <c r="BQ28" s="110">
        <f t="shared" si="17"/>
        <v>0</v>
      </c>
      <c r="BR28" s="110">
        <f t="shared" si="17"/>
        <v>0</v>
      </c>
      <c r="BS28" s="110">
        <f t="shared" si="17"/>
        <v>0</v>
      </c>
      <c r="BT28" s="110">
        <f t="shared" si="17"/>
        <v>0</v>
      </c>
      <c r="BU28" s="110">
        <f t="shared" si="17"/>
        <v>0</v>
      </c>
      <c r="BV28" s="110">
        <f t="shared" si="17"/>
        <v>0</v>
      </c>
      <c r="BW28" s="110">
        <f t="shared" si="17"/>
        <v>0</v>
      </c>
      <c r="BX28" s="110">
        <f t="shared" si="17"/>
        <v>0</v>
      </c>
      <c r="BY28" s="110">
        <f t="shared" si="17"/>
        <v>0</v>
      </c>
      <c r="BZ28" s="110">
        <f>BZ30+BZ31+BZ32+BZ33+BZ34</f>
        <v>0</v>
      </c>
      <c r="CA28" s="110">
        <f t="shared" ref="CA28:DI28" si="18">CA30+CA31+CA32+CA33+CA34</f>
        <v>0</v>
      </c>
      <c r="CB28" s="110">
        <f t="shared" si="18"/>
        <v>0</v>
      </c>
      <c r="CC28" s="110">
        <f t="shared" si="18"/>
        <v>0</v>
      </c>
      <c r="CD28" s="110">
        <f t="shared" si="18"/>
        <v>0</v>
      </c>
      <c r="CE28" s="110">
        <f t="shared" si="18"/>
        <v>0</v>
      </c>
      <c r="CF28" s="110">
        <f t="shared" si="18"/>
        <v>0</v>
      </c>
      <c r="CG28" s="110">
        <f t="shared" si="18"/>
        <v>0</v>
      </c>
      <c r="CH28" s="110">
        <f t="shared" si="18"/>
        <v>0</v>
      </c>
      <c r="CI28" s="110">
        <f t="shared" si="18"/>
        <v>0</v>
      </c>
      <c r="CJ28" s="110">
        <f t="shared" si="18"/>
        <v>0</v>
      </c>
      <c r="CK28" s="110">
        <f t="shared" si="18"/>
        <v>0</v>
      </c>
      <c r="CL28" s="110">
        <f t="shared" si="18"/>
        <v>0</v>
      </c>
      <c r="CM28" s="110">
        <f t="shared" si="18"/>
        <v>0</v>
      </c>
      <c r="CN28" s="110">
        <f t="shared" si="18"/>
        <v>0</v>
      </c>
      <c r="CO28" s="110">
        <f t="shared" si="18"/>
        <v>0</v>
      </c>
      <c r="CP28" s="110">
        <f t="shared" si="18"/>
        <v>0</v>
      </c>
      <c r="CQ28" s="110">
        <f t="shared" si="18"/>
        <v>0</v>
      </c>
      <c r="CR28" s="110">
        <f t="shared" si="18"/>
        <v>0</v>
      </c>
      <c r="CS28" s="110">
        <f t="shared" si="18"/>
        <v>0</v>
      </c>
      <c r="CT28" s="110">
        <f t="shared" si="18"/>
        <v>0</v>
      </c>
      <c r="CU28" s="110">
        <f t="shared" si="18"/>
        <v>0</v>
      </c>
      <c r="CV28" s="110">
        <f t="shared" si="18"/>
        <v>0</v>
      </c>
      <c r="CW28" s="110">
        <f t="shared" si="18"/>
        <v>0</v>
      </c>
      <c r="CX28" s="110">
        <f t="shared" si="18"/>
        <v>0</v>
      </c>
      <c r="CY28" s="110">
        <f t="shared" si="18"/>
        <v>0</v>
      </c>
      <c r="CZ28" s="110">
        <f t="shared" si="18"/>
        <v>0</v>
      </c>
      <c r="DA28" s="110">
        <f t="shared" si="18"/>
        <v>0</v>
      </c>
      <c r="DB28" s="110">
        <f t="shared" si="18"/>
        <v>0</v>
      </c>
      <c r="DC28" s="110">
        <f t="shared" si="18"/>
        <v>0</v>
      </c>
      <c r="DD28" s="110">
        <f t="shared" si="18"/>
        <v>0</v>
      </c>
      <c r="DE28" s="110">
        <f t="shared" si="18"/>
        <v>0</v>
      </c>
      <c r="DF28" s="110">
        <f t="shared" si="18"/>
        <v>0</v>
      </c>
      <c r="DG28" s="110">
        <f t="shared" si="18"/>
        <v>0</v>
      </c>
      <c r="DH28" s="110">
        <f t="shared" si="18"/>
        <v>0</v>
      </c>
      <c r="DI28" s="110">
        <f t="shared" si="18"/>
        <v>0</v>
      </c>
      <c r="DJ28" s="110">
        <f>DJ30+DJ31+DJ32+DJ33+DJ34</f>
        <v>0</v>
      </c>
      <c r="DK28" s="110">
        <f t="shared" ref="DK28:DU28" si="19">DK30+DK31+DK32+DK33+DK34</f>
        <v>0</v>
      </c>
      <c r="DL28" s="110">
        <f t="shared" si="19"/>
        <v>0</v>
      </c>
      <c r="DM28" s="110">
        <f t="shared" si="19"/>
        <v>0</v>
      </c>
      <c r="DN28" s="110">
        <f t="shared" si="19"/>
        <v>0</v>
      </c>
      <c r="DO28" s="110">
        <f t="shared" si="19"/>
        <v>0</v>
      </c>
      <c r="DP28" s="110">
        <f t="shared" si="19"/>
        <v>0</v>
      </c>
      <c r="DQ28" s="110">
        <f t="shared" si="19"/>
        <v>0</v>
      </c>
      <c r="DR28" s="110">
        <f t="shared" si="19"/>
        <v>0</v>
      </c>
      <c r="DS28" s="110">
        <f t="shared" si="19"/>
        <v>0</v>
      </c>
      <c r="DT28" s="110">
        <f t="shared" si="19"/>
        <v>0</v>
      </c>
      <c r="DU28" s="110">
        <f t="shared" si="19"/>
        <v>0</v>
      </c>
    </row>
    <row r="29" spans="2:125">
      <c r="B29" s="111" t="s">
        <v>114</v>
      </c>
      <c r="C29" s="77"/>
      <c r="D29" s="104"/>
      <c r="E29" s="105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6"/>
      <c r="CB29" s="56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M29" s="56"/>
      <c r="CN29" s="56"/>
      <c r="CO29" s="56"/>
      <c r="CP29" s="56"/>
      <c r="CQ29" s="56"/>
      <c r="CR29" s="56"/>
      <c r="CS29" s="56"/>
      <c r="CT29" s="56"/>
      <c r="CU29" s="56"/>
      <c r="CV29" s="56"/>
      <c r="CW29" s="56"/>
      <c r="CX29" s="56"/>
      <c r="CY29" s="56"/>
      <c r="CZ29" s="56"/>
      <c r="DA29" s="56"/>
      <c r="DB29" s="56"/>
      <c r="DC29" s="56"/>
      <c r="DD29" s="56"/>
      <c r="DE29" s="56"/>
      <c r="DF29" s="56"/>
      <c r="DG29" s="56"/>
      <c r="DH29" s="56"/>
      <c r="DI29" s="56"/>
      <c r="DJ29" s="56"/>
      <c r="DK29" s="56"/>
      <c r="DL29" s="56"/>
      <c r="DM29" s="56"/>
      <c r="DN29" s="56"/>
      <c r="DO29" s="56"/>
      <c r="DP29" s="56"/>
      <c r="DQ29" s="56"/>
      <c r="DR29" s="56"/>
      <c r="DS29" s="56"/>
      <c r="DT29" s="56"/>
      <c r="DU29" s="56"/>
    </row>
    <row r="30" spans="2:125" ht="35.75" customHeight="1">
      <c r="B30" s="112" t="s">
        <v>141</v>
      </c>
      <c r="C30" s="78">
        <v>4221</v>
      </c>
      <c r="D30" s="78" t="s">
        <v>35</v>
      </c>
      <c r="E30" s="113">
        <f t="shared" si="12"/>
        <v>0</v>
      </c>
      <c r="F30" s="56">
        <v>0</v>
      </c>
      <c r="G30" s="56">
        <v>0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56">
        <v>0</v>
      </c>
      <c r="O30" s="56">
        <v>0</v>
      </c>
      <c r="P30" s="56">
        <v>0</v>
      </c>
      <c r="Q30" s="56">
        <v>0</v>
      </c>
      <c r="R30" s="56">
        <v>0</v>
      </c>
      <c r="S30" s="56">
        <v>0</v>
      </c>
      <c r="T30" s="56">
        <v>0</v>
      </c>
      <c r="U30" s="56">
        <v>0</v>
      </c>
      <c r="V30" s="56">
        <v>0</v>
      </c>
      <c r="W30" s="56">
        <v>0</v>
      </c>
      <c r="X30" s="56">
        <v>0</v>
      </c>
      <c r="Y30" s="56">
        <v>0</v>
      </c>
      <c r="Z30" s="56">
        <v>0</v>
      </c>
      <c r="AA30" s="56">
        <v>0</v>
      </c>
      <c r="AB30" s="56">
        <v>0</v>
      </c>
      <c r="AC30" s="56">
        <v>0</v>
      </c>
      <c r="AD30" s="56">
        <v>0</v>
      </c>
      <c r="AE30" s="56">
        <v>0</v>
      </c>
      <c r="AF30" s="56">
        <v>0</v>
      </c>
      <c r="AG30" s="56">
        <v>0</v>
      </c>
      <c r="AH30" s="56">
        <v>0</v>
      </c>
      <c r="AI30" s="56">
        <v>0</v>
      </c>
      <c r="AJ30" s="56">
        <v>0</v>
      </c>
      <c r="AK30" s="56">
        <v>0</v>
      </c>
      <c r="AL30" s="56">
        <v>0</v>
      </c>
      <c r="AM30" s="56">
        <v>0</v>
      </c>
      <c r="AN30" s="56">
        <v>0</v>
      </c>
      <c r="AO30" s="56">
        <v>0</v>
      </c>
      <c r="AP30" s="56">
        <v>0</v>
      </c>
      <c r="AQ30" s="56">
        <v>0</v>
      </c>
      <c r="AR30" s="56">
        <v>0</v>
      </c>
      <c r="AS30" s="56">
        <v>0</v>
      </c>
      <c r="AT30" s="56">
        <v>0</v>
      </c>
      <c r="AU30" s="56">
        <v>0</v>
      </c>
      <c r="AV30" s="56">
        <v>0</v>
      </c>
      <c r="AW30" s="56">
        <v>0</v>
      </c>
      <c r="AX30" s="56">
        <v>0</v>
      </c>
      <c r="AY30" s="56">
        <v>0</v>
      </c>
      <c r="AZ30" s="56">
        <v>0</v>
      </c>
      <c r="BA30" s="56">
        <v>0</v>
      </c>
      <c r="BB30" s="56">
        <v>0</v>
      </c>
      <c r="BC30" s="56">
        <v>0</v>
      </c>
      <c r="BD30" s="56">
        <v>0</v>
      </c>
      <c r="BE30" s="56">
        <v>0</v>
      </c>
      <c r="BF30" s="56">
        <v>0</v>
      </c>
      <c r="BG30" s="56">
        <v>0</v>
      </c>
      <c r="BH30" s="56">
        <v>0</v>
      </c>
      <c r="BI30" s="56">
        <v>0</v>
      </c>
      <c r="BJ30" s="56">
        <v>0</v>
      </c>
      <c r="BK30" s="56">
        <v>0</v>
      </c>
      <c r="BL30" s="56">
        <v>0</v>
      </c>
      <c r="BM30" s="56">
        <v>0</v>
      </c>
      <c r="BN30" s="56">
        <v>0</v>
      </c>
      <c r="BO30" s="56">
        <v>0</v>
      </c>
      <c r="BP30" s="56">
        <v>0</v>
      </c>
      <c r="BQ30" s="56">
        <v>0</v>
      </c>
      <c r="BR30" s="56">
        <v>0</v>
      </c>
      <c r="BS30" s="56">
        <v>0</v>
      </c>
      <c r="BT30" s="56">
        <v>0</v>
      </c>
      <c r="BU30" s="56">
        <v>0</v>
      </c>
      <c r="BV30" s="56">
        <v>0</v>
      </c>
      <c r="BW30" s="56">
        <v>0</v>
      </c>
      <c r="BX30" s="56">
        <v>0</v>
      </c>
      <c r="BY30" s="56">
        <v>0</v>
      </c>
      <c r="BZ30" s="56">
        <v>0</v>
      </c>
      <c r="CA30" s="56">
        <v>0</v>
      </c>
      <c r="CB30" s="56">
        <v>0</v>
      </c>
      <c r="CC30" s="56">
        <v>0</v>
      </c>
      <c r="CD30" s="56">
        <v>0</v>
      </c>
      <c r="CE30" s="56">
        <v>0</v>
      </c>
      <c r="CF30" s="56">
        <v>0</v>
      </c>
      <c r="CG30" s="56">
        <v>0</v>
      </c>
      <c r="CH30" s="56">
        <v>0</v>
      </c>
      <c r="CI30" s="56">
        <v>0</v>
      </c>
      <c r="CJ30" s="56">
        <v>0</v>
      </c>
      <c r="CK30" s="56">
        <v>0</v>
      </c>
      <c r="CL30" s="56">
        <v>0</v>
      </c>
      <c r="CM30" s="56">
        <v>0</v>
      </c>
      <c r="CN30" s="56">
        <v>0</v>
      </c>
      <c r="CO30" s="56">
        <v>0</v>
      </c>
      <c r="CP30" s="56">
        <v>0</v>
      </c>
      <c r="CQ30" s="56">
        <v>0</v>
      </c>
      <c r="CR30" s="56">
        <v>0</v>
      </c>
      <c r="CS30" s="56">
        <v>0</v>
      </c>
      <c r="CT30" s="56">
        <v>0</v>
      </c>
      <c r="CU30" s="56">
        <v>0</v>
      </c>
      <c r="CV30" s="56">
        <v>0</v>
      </c>
      <c r="CW30" s="56">
        <v>0</v>
      </c>
      <c r="CX30" s="56">
        <v>0</v>
      </c>
      <c r="CY30" s="56">
        <v>0</v>
      </c>
      <c r="CZ30" s="56">
        <v>0</v>
      </c>
      <c r="DA30" s="56">
        <v>0</v>
      </c>
      <c r="DB30" s="56">
        <v>0</v>
      </c>
      <c r="DC30" s="56">
        <v>0</v>
      </c>
      <c r="DD30" s="56">
        <v>0</v>
      </c>
      <c r="DE30" s="56">
        <v>0</v>
      </c>
      <c r="DF30" s="56">
        <v>0</v>
      </c>
      <c r="DG30" s="56">
        <v>0</v>
      </c>
      <c r="DH30" s="56">
        <v>0</v>
      </c>
      <c r="DI30" s="56">
        <v>0</v>
      </c>
      <c r="DJ30" s="56">
        <v>0</v>
      </c>
      <c r="DK30" s="56">
        <v>0</v>
      </c>
      <c r="DL30" s="56">
        <v>0</v>
      </c>
      <c r="DM30" s="56">
        <v>0</v>
      </c>
      <c r="DN30" s="56">
        <v>0</v>
      </c>
      <c r="DO30" s="56">
        <v>0</v>
      </c>
      <c r="DP30" s="56">
        <v>0</v>
      </c>
      <c r="DQ30" s="56">
        <v>0</v>
      </c>
      <c r="DR30" s="56">
        <v>0</v>
      </c>
      <c r="DS30" s="56">
        <v>0</v>
      </c>
      <c r="DT30" s="56">
        <v>0</v>
      </c>
      <c r="DU30" s="56">
        <v>0</v>
      </c>
    </row>
    <row r="31" spans="2:125" ht="28.25" customHeight="1">
      <c r="B31" s="114" t="s">
        <v>142</v>
      </c>
      <c r="C31" s="5">
        <v>4222</v>
      </c>
      <c r="D31" s="78" t="s">
        <v>35</v>
      </c>
      <c r="E31" s="113">
        <f t="shared" si="12"/>
        <v>0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56">
        <v>0</v>
      </c>
      <c r="M31" s="56">
        <v>0</v>
      </c>
      <c r="N31" s="56">
        <v>0</v>
      </c>
      <c r="O31" s="56">
        <v>0</v>
      </c>
      <c r="P31" s="56">
        <v>0</v>
      </c>
      <c r="Q31" s="56">
        <v>0</v>
      </c>
      <c r="R31" s="56">
        <v>0</v>
      </c>
      <c r="S31" s="56">
        <v>0</v>
      </c>
      <c r="T31" s="56">
        <v>0</v>
      </c>
      <c r="U31" s="56">
        <v>0</v>
      </c>
      <c r="V31" s="56">
        <v>0</v>
      </c>
      <c r="W31" s="56">
        <v>0</v>
      </c>
      <c r="X31" s="56">
        <v>0</v>
      </c>
      <c r="Y31" s="56">
        <v>0</v>
      </c>
      <c r="Z31" s="56">
        <v>0</v>
      </c>
      <c r="AA31" s="56">
        <v>0</v>
      </c>
      <c r="AB31" s="56">
        <v>0</v>
      </c>
      <c r="AC31" s="56">
        <v>0</v>
      </c>
      <c r="AD31" s="56">
        <v>0</v>
      </c>
      <c r="AE31" s="56">
        <v>0</v>
      </c>
      <c r="AF31" s="56">
        <v>0</v>
      </c>
      <c r="AG31" s="56">
        <v>0</v>
      </c>
      <c r="AH31" s="56">
        <v>0</v>
      </c>
      <c r="AI31" s="56">
        <v>0</v>
      </c>
      <c r="AJ31" s="56">
        <v>0</v>
      </c>
      <c r="AK31" s="56">
        <v>0</v>
      </c>
      <c r="AL31" s="56">
        <v>0</v>
      </c>
      <c r="AM31" s="56">
        <v>0</v>
      </c>
      <c r="AN31" s="56">
        <v>0</v>
      </c>
      <c r="AO31" s="56">
        <v>0</v>
      </c>
      <c r="AP31" s="56">
        <v>0</v>
      </c>
      <c r="AQ31" s="56">
        <v>0</v>
      </c>
      <c r="AR31" s="56">
        <v>0</v>
      </c>
      <c r="AS31" s="56">
        <v>0</v>
      </c>
      <c r="AT31" s="56">
        <v>0</v>
      </c>
      <c r="AU31" s="56">
        <v>0</v>
      </c>
      <c r="AV31" s="56">
        <v>0</v>
      </c>
      <c r="AW31" s="56">
        <v>0</v>
      </c>
      <c r="AX31" s="56">
        <v>0</v>
      </c>
      <c r="AY31" s="56">
        <v>0</v>
      </c>
      <c r="AZ31" s="56">
        <v>0</v>
      </c>
      <c r="BA31" s="56">
        <v>0</v>
      </c>
      <c r="BB31" s="56">
        <v>0</v>
      </c>
      <c r="BC31" s="56">
        <v>0</v>
      </c>
      <c r="BD31" s="56">
        <v>0</v>
      </c>
      <c r="BE31" s="56">
        <v>0</v>
      </c>
      <c r="BF31" s="56">
        <v>0</v>
      </c>
      <c r="BG31" s="56">
        <v>0</v>
      </c>
      <c r="BH31" s="56">
        <v>0</v>
      </c>
      <c r="BI31" s="56">
        <v>0</v>
      </c>
      <c r="BJ31" s="56">
        <v>0</v>
      </c>
      <c r="BK31" s="56">
        <v>0</v>
      </c>
      <c r="BL31" s="56">
        <v>0</v>
      </c>
      <c r="BM31" s="56">
        <v>0</v>
      </c>
      <c r="BN31" s="56">
        <v>0</v>
      </c>
      <c r="BO31" s="56">
        <v>0</v>
      </c>
      <c r="BP31" s="56">
        <v>0</v>
      </c>
      <c r="BQ31" s="56">
        <v>0</v>
      </c>
      <c r="BR31" s="56">
        <v>0</v>
      </c>
      <c r="BS31" s="56">
        <v>0</v>
      </c>
      <c r="BT31" s="56">
        <v>0</v>
      </c>
      <c r="BU31" s="56">
        <v>0</v>
      </c>
      <c r="BV31" s="56">
        <v>0</v>
      </c>
      <c r="BW31" s="56">
        <v>0</v>
      </c>
      <c r="BX31" s="56">
        <v>0</v>
      </c>
      <c r="BY31" s="56">
        <v>0</v>
      </c>
      <c r="BZ31" s="56">
        <v>0</v>
      </c>
      <c r="CA31" s="56">
        <v>0</v>
      </c>
      <c r="CB31" s="56">
        <v>0</v>
      </c>
      <c r="CC31" s="56">
        <v>0</v>
      </c>
      <c r="CD31" s="56">
        <v>0</v>
      </c>
      <c r="CE31" s="56">
        <v>0</v>
      </c>
      <c r="CF31" s="56">
        <v>0</v>
      </c>
      <c r="CG31" s="56">
        <v>0</v>
      </c>
      <c r="CH31" s="56">
        <v>0</v>
      </c>
      <c r="CI31" s="56">
        <v>0</v>
      </c>
      <c r="CJ31" s="56">
        <v>0</v>
      </c>
      <c r="CK31" s="56">
        <v>0</v>
      </c>
      <c r="CL31" s="56">
        <v>0</v>
      </c>
      <c r="CM31" s="56">
        <v>0</v>
      </c>
      <c r="CN31" s="56">
        <v>0</v>
      </c>
      <c r="CO31" s="56">
        <v>0</v>
      </c>
      <c r="CP31" s="56">
        <v>0</v>
      </c>
      <c r="CQ31" s="56">
        <v>0</v>
      </c>
      <c r="CR31" s="56">
        <v>0</v>
      </c>
      <c r="CS31" s="56">
        <v>0</v>
      </c>
      <c r="CT31" s="56">
        <v>0</v>
      </c>
      <c r="CU31" s="56">
        <v>0</v>
      </c>
      <c r="CV31" s="56">
        <v>0</v>
      </c>
      <c r="CW31" s="56">
        <v>0</v>
      </c>
      <c r="CX31" s="56">
        <v>0</v>
      </c>
      <c r="CY31" s="56">
        <v>0</v>
      </c>
      <c r="CZ31" s="56">
        <v>0</v>
      </c>
      <c r="DA31" s="56">
        <v>0</v>
      </c>
      <c r="DB31" s="56">
        <v>0</v>
      </c>
      <c r="DC31" s="56">
        <v>0</v>
      </c>
      <c r="DD31" s="56">
        <v>0</v>
      </c>
      <c r="DE31" s="56">
        <v>0</v>
      </c>
      <c r="DF31" s="56">
        <v>0</v>
      </c>
      <c r="DG31" s="56">
        <v>0</v>
      </c>
      <c r="DH31" s="56">
        <v>0</v>
      </c>
      <c r="DI31" s="56">
        <v>0</v>
      </c>
      <c r="DJ31" s="56">
        <v>0</v>
      </c>
      <c r="DK31" s="56">
        <v>0</v>
      </c>
      <c r="DL31" s="56">
        <v>0</v>
      </c>
      <c r="DM31" s="56">
        <v>0</v>
      </c>
      <c r="DN31" s="56">
        <v>0</v>
      </c>
      <c r="DO31" s="56">
        <v>0</v>
      </c>
      <c r="DP31" s="56">
        <v>0</v>
      </c>
      <c r="DQ31" s="56">
        <v>0</v>
      </c>
      <c r="DR31" s="56">
        <v>0</v>
      </c>
      <c r="DS31" s="56">
        <v>0</v>
      </c>
      <c r="DT31" s="56">
        <v>0</v>
      </c>
      <c r="DU31" s="56">
        <v>0</v>
      </c>
    </row>
    <row r="32" spans="2:125" ht="39" customHeight="1">
      <c r="B32" s="114" t="s">
        <v>143</v>
      </c>
      <c r="C32" s="5">
        <v>4223</v>
      </c>
      <c r="D32" s="78" t="s">
        <v>35</v>
      </c>
      <c r="E32" s="113">
        <f t="shared" si="12"/>
        <v>0</v>
      </c>
      <c r="F32" s="56">
        <v>0</v>
      </c>
      <c r="G32" s="56">
        <v>0</v>
      </c>
      <c r="H32" s="56">
        <v>0</v>
      </c>
      <c r="I32" s="56">
        <v>0</v>
      </c>
      <c r="J32" s="56">
        <v>0</v>
      </c>
      <c r="K32" s="56">
        <v>0</v>
      </c>
      <c r="L32" s="56">
        <v>0</v>
      </c>
      <c r="M32" s="56">
        <v>0</v>
      </c>
      <c r="N32" s="56">
        <v>0</v>
      </c>
      <c r="O32" s="56">
        <v>0</v>
      </c>
      <c r="P32" s="56">
        <v>0</v>
      </c>
      <c r="Q32" s="56">
        <v>0</v>
      </c>
      <c r="R32" s="56">
        <v>0</v>
      </c>
      <c r="S32" s="56">
        <v>0</v>
      </c>
      <c r="T32" s="56">
        <v>0</v>
      </c>
      <c r="U32" s="56">
        <v>0</v>
      </c>
      <c r="V32" s="56">
        <v>0</v>
      </c>
      <c r="W32" s="56">
        <v>0</v>
      </c>
      <c r="X32" s="56">
        <v>0</v>
      </c>
      <c r="Y32" s="56">
        <v>0</v>
      </c>
      <c r="Z32" s="56">
        <v>0</v>
      </c>
      <c r="AA32" s="56">
        <v>0</v>
      </c>
      <c r="AB32" s="56">
        <v>0</v>
      </c>
      <c r="AC32" s="56">
        <v>0</v>
      </c>
      <c r="AD32" s="56">
        <v>0</v>
      </c>
      <c r="AE32" s="56">
        <v>0</v>
      </c>
      <c r="AF32" s="56">
        <v>0</v>
      </c>
      <c r="AG32" s="56">
        <v>0</v>
      </c>
      <c r="AH32" s="56">
        <v>0</v>
      </c>
      <c r="AI32" s="56">
        <v>0</v>
      </c>
      <c r="AJ32" s="56">
        <v>0</v>
      </c>
      <c r="AK32" s="56">
        <v>0</v>
      </c>
      <c r="AL32" s="56">
        <v>0</v>
      </c>
      <c r="AM32" s="56">
        <v>0</v>
      </c>
      <c r="AN32" s="56">
        <v>0</v>
      </c>
      <c r="AO32" s="56">
        <v>0</v>
      </c>
      <c r="AP32" s="56">
        <v>0</v>
      </c>
      <c r="AQ32" s="56">
        <v>0</v>
      </c>
      <c r="AR32" s="56">
        <v>0</v>
      </c>
      <c r="AS32" s="56">
        <v>0</v>
      </c>
      <c r="AT32" s="56">
        <v>0</v>
      </c>
      <c r="AU32" s="56">
        <v>0</v>
      </c>
      <c r="AV32" s="56">
        <v>0</v>
      </c>
      <c r="AW32" s="56">
        <v>0</v>
      </c>
      <c r="AX32" s="56">
        <v>0</v>
      </c>
      <c r="AY32" s="56">
        <v>0</v>
      </c>
      <c r="AZ32" s="56">
        <v>0</v>
      </c>
      <c r="BA32" s="56">
        <v>0</v>
      </c>
      <c r="BB32" s="56">
        <v>0</v>
      </c>
      <c r="BC32" s="56">
        <v>0</v>
      </c>
      <c r="BD32" s="56">
        <v>0</v>
      </c>
      <c r="BE32" s="56">
        <v>0</v>
      </c>
      <c r="BF32" s="56">
        <v>0</v>
      </c>
      <c r="BG32" s="56">
        <v>0</v>
      </c>
      <c r="BH32" s="56">
        <v>0</v>
      </c>
      <c r="BI32" s="56">
        <v>0</v>
      </c>
      <c r="BJ32" s="56">
        <v>0</v>
      </c>
      <c r="BK32" s="56">
        <v>0</v>
      </c>
      <c r="BL32" s="56">
        <v>0</v>
      </c>
      <c r="BM32" s="56">
        <v>0</v>
      </c>
      <c r="BN32" s="56">
        <v>0</v>
      </c>
      <c r="BO32" s="56">
        <v>0</v>
      </c>
      <c r="BP32" s="56">
        <v>0</v>
      </c>
      <c r="BQ32" s="56">
        <v>0</v>
      </c>
      <c r="BR32" s="56">
        <v>0</v>
      </c>
      <c r="BS32" s="56">
        <v>0</v>
      </c>
      <c r="BT32" s="56">
        <v>0</v>
      </c>
      <c r="BU32" s="56">
        <v>0</v>
      </c>
      <c r="BV32" s="56">
        <v>0</v>
      </c>
      <c r="BW32" s="56">
        <v>0</v>
      </c>
      <c r="BX32" s="56">
        <v>0</v>
      </c>
      <c r="BY32" s="56">
        <v>0</v>
      </c>
      <c r="BZ32" s="56">
        <v>0</v>
      </c>
      <c r="CA32" s="56">
        <v>0</v>
      </c>
      <c r="CB32" s="56">
        <v>0</v>
      </c>
      <c r="CC32" s="56">
        <v>0</v>
      </c>
      <c r="CD32" s="56">
        <v>0</v>
      </c>
      <c r="CE32" s="56">
        <v>0</v>
      </c>
      <c r="CF32" s="56">
        <v>0</v>
      </c>
      <c r="CG32" s="56">
        <v>0</v>
      </c>
      <c r="CH32" s="56">
        <v>0</v>
      </c>
      <c r="CI32" s="56">
        <v>0</v>
      </c>
      <c r="CJ32" s="56">
        <v>0</v>
      </c>
      <c r="CK32" s="56">
        <v>0</v>
      </c>
      <c r="CL32" s="56">
        <v>0</v>
      </c>
      <c r="CM32" s="56">
        <v>0</v>
      </c>
      <c r="CN32" s="56">
        <v>0</v>
      </c>
      <c r="CO32" s="56">
        <v>0</v>
      </c>
      <c r="CP32" s="56">
        <v>0</v>
      </c>
      <c r="CQ32" s="56">
        <v>0</v>
      </c>
      <c r="CR32" s="56">
        <v>0</v>
      </c>
      <c r="CS32" s="56">
        <v>0</v>
      </c>
      <c r="CT32" s="56">
        <v>0</v>
      </c>
      <c r="CU32" s="56">
        <v>0</v>
      </c>
      <c r="CV32" s="56">
        <v>0</v>
      </c>
      <c r="CW32" s="56">
        <v>0</v>
      </c>
      <c r="CX32" s="56">
        <v>0</v>
      </c>
      <c r="CY32" s="56">
        <v>0</v>
      </c>
      <c r="CZ32" s="56">
        <v>0</v>
      </c>
      <c r="DA32" s="56">
        <v>0</v>
      </c>
      <c r="DB32" s="56">
        <v>0</v>
      </c>
      <c r="DC32" s="56">
        <v>0</v>
      </c>
      <c r="DD32" s="56">
        <v>0</v>
      </c>
      <c r="DE32" s="56">
        <v>0</v>
      </c>
      <c r="DF32" s="56">
        <v>0</v>
      </c>
      <c r="DG32" s="56">
        <v>0</v>
      </c>
      <c r="DH32" s="56">
        <v>0</v>
      </c>
      <c r="DI32" s="56">
        <v>0</v>
      </c>
      <c r="DJ32" s="56">
        <v>0</v>
      </c>
      <c r="DK32" s="56">
        <v>0</v>
      </c>
      <c r="DL32" s="56">
        <v>0</v>
      </c>
      <c r="DM32" s="56">
        <v>0</v>
      </c>
      <c r="DN32" s="56">
        <v>0</v>
      </c>
      <c r="DO32" s="56">
        <v>0</v>
      </c>
      <c r="DP32" s="56">
        <v>0</v>
      </c>
      <c r="DQ32" s="56">
        <v>0</v>
      </c>
      <c r="DR32" s="56">
        <v>0</v>
      </c>
      <c r="DS32" s="56">
        <v>0</v>
      </c>
      <c r="DT32" s="56">
        <v>0</v>
      </c>
      <c r="DU32" s="56">
        <v>0</v>
      </c>
    </row>
    <row r="33" spans="2:125" ht="14.75" customHeight="1">
      <c r="B33" s="114" t="s">
        <v>144</v>
      </c>
      <c r="C33" s="5">
        <v>4224</v>
      </c>
      <c r="D33" s="78" t="s">
        <v>35</v>
      </c>
      <c r="E33" s="113">
        <f t="shared" si="12"/>
        <v>0</v>
      </c>
      <c r="F33" s="56">
        <v>0</v>
      </c>
      <c r="G33" s="56">
        <v>0</v>
      </c>
      <c r="H33" s="56">
        <v>0</v>
      </c>
      <c r="I33" s="56">
        <v>0</v>
      </c>
      <c r="J33" s="56">
        <v>0</v>
      </c>
      <c r="K33" s="56">
        <v>0</v>
      </c>
      <c r="L33" s="56">
        <v>0</v>
      </c>
      <c r="M33" s="56">
        <v>0</v>
      </c>
      <c r="N33" s="56">
        <v>0</v>
      </c>
      <c r="O33" s="56">
        <v>0</v>
      </c>
      <c r="P33" s="56">
        <v>0</v>
      </c>
      <c r="Q33" s="56">
        <v>0</v>
      </c>
      <c r="R33" s="56">
        <v>0</v>
      </c>
      <c r="S33" s="56">
        <v>0</v>
      </c>
      <c r="T33" s="56">
        <v>0</v>
      </c>
      <c r="U33" s="56">
        <v>0</v>
      </c>
      <c r="V33" s="56">
        <v>0</v>
      </c>
      <c r="W33" s="56">
        <v>0</v>
      </c>
      <c r="X33" s="56">
        <v>0</v>
      </c>
      <c r="Y33" s="56">
        <v>0</v>
      </c>
      <c r="Z33" s="56">
        <v>0</v>
      </c>
      <c r="AA33" s="56">
        <v>0</v>
      </c>
      <c r="AB33" s="56">
        <v>0</v>
      </c>
      <c r="AC33" s="56">
        <v>0</v>
      </c>
      <c r="AD33" s="56">
        <v>0</v>
      </c>
      <c r="AE33" s="56">
        <v>0</v>
      </c>
      <c r="AF33" s="56">
        <v>0</v>
      </c>
      <c r="AG33" s="56">
        <v>0</v>
      </c>
      <c r="AH33" s="56">
        <v>0</v>
      </c>
      <c r="AI33" s="56">
        <v>0</v>
      </c>
      <c r="AJ33" s="56">
        <v>0</v>
      </c>
      <c r="AK33" s="56">
        <v>0</v>
      </c>
      <c r="AL33" s="56">
        <v>0</v>
      </c>
      <c r="AM33" s="56">
        <v>0</v>
      </c>
      <c r="AN33" s="56">
        <v>0</v>
      </c>
      <c r="AO33" s="56">
        <v>0</v>
      </c>
      <c r="AP33" s="56">
        <v>0</v>
      </c>
      <c r="AQ33" s="56">
        <v>0</v>
      </c>
      <c r="AR33" s="56">
        <v>0</v>
      </c>
      <c r="AS33" s="56">
        <v>0</v>
      </c>
      <c r="AT33" s="56">
        <v>0</v>
      </c>
      <c r="AU33" s="56">
        <v>0</v>
      </c>
      <c r="AV33" s="56">
        <v>0</v>
      </c>
      <c r="AW33" s="56">
        <v>0</v>
      </c>
      <c r="AX33" s="56">
        <v>0</v>
      </c>
      <c r="AY33" s="56">
        <v>0</v>
      </c>
      <c r="AZ33" s="56">
        <v>0</v>
      </c>
      <c r="BA33" s="56">
        <v>0</v>
      </c>
      <c r="BB33" s="56">
        <v>0</v>
      </c>
      <c r="BC33" s="56">
        <v>0</v>
      </c>
      <c r="BD33" s="56">
        <v>0</v>
      </c>
      <c r="BE33" s="56">
        <v>0</v>
      </c>
      <c r="BF33" s="56">
        <v>0</v>
      </c>
      <c r="BG33" s="56">
        <v>0</v>
      </c>
      <c r="BH33" s="56">
        <v>0</v>
      </c>
      <c r="BI33" s="56">
        <v>0</v>
      </c>
      <c r="BJ33" s="56">
        <v>0</v>
      </c>
      <c r="BK33" s="56">
        <v>0</v>
      </c>
      <c r="BL33" s="56">
        <v>0</v>
      </c>
      <c r="BM33" s="56">
        <v>0</v>
      </c>
      <c r="BN33" s="56">
        <v>0</v>
      </c>
      <c r="BO33" s="56">
        <v>0</v>
      </c>
      <c r="BP33" s="56">
        <v>0</v>
      </c>
      <c r="BQ33" s="56">
        <v>0</v>
      </c>
      <c r="BR33" s="56">
        <v>0</v>
      </c>
      <c r="BS33" s="56">
        <v>0</v>
      </c>
      <c r="BT33" s="56">
        <v>0</v>
      </c>
      <c r="BU33" s="56">
        <v>0</v>
      </c>
      <c r="BV33" s="56">
        <v>0</v>
      </c>
      <c r="BW33" s="56">
        <v>0</v>
      </c>
      <c r="BX33" s="56">
        <v>0</v>
      </c>
      <c r="BY33" s="56">
        <v>0</v>
      </c>
      <c r="BZ33" s="56">
        <v>0</v>
      </c>
      <c r="CA33" s="56">
        <v>0</v>
      </c>
      <c r="CB33" s="56">
        <v>0</v>
      </c>
      <c r="CC33" s="56">
        <v>0</v>
      </c>
      <c r="CD33" s="56">
        <v>0</v>
      </c>
      <c r="CE33" s="56">
        <v>0</v>
      </c>
      <c r="CF33" s="56">
        <v>0</v>
      </c>
      <c r="CG33" s="56">
        <v>0</v>
      </c>
      <c r="CH33" s="56">
        <v>0</v>
      </c>
      <c r="CI33" s="56">
        <v>0</v>
      </c>
      <c r="CJ33" s="56">
        <v>0</v>
      </c>
      <c r="CK33" s="56">
        <v>0</v>
      </c>
      <c r="CL33" s="56">
        <v>0</v>
      </c>
      <c r="CM33" s="56">
        <v>0</v>
      </c>
      <c r="CN33" s="56">
        <v>0</v>
      </c>
      <c r="CO33" s="56">
        <v>0</v>
      </c>
      <c r="CP33" s="56">
        <v>0</v>
      </c>
      <c r="CQ33" s="56">
        <v>0</v>
      </c>
      <c r="CR33" s="56">
        <v>0</v>
      </c>
      <c r="CS33" s="56">
        <v>0</v>
      </c>
      <c r="CT33" s="56">
        <v>0</v>
      </c>
      <c r="CU33" s="56">
        <v>0</v>
      </c>
      <c r="CV33" s="56">
        <v>0</v>
      </c>
      <c r="CW33" s="56">
        <v>0</v>
      </c>
      <c r="CX33" s="56">
        <v>0</v>
      </c>
      <c r="CY33" s="56">
        <v>0</v>
      </c>
      <c r="CZ33" s="56">
        <v>0</v>
      </c>
      <c r="DA33" s="56">
        <v>0</v>
      </c>
      <c r="DB33" s="56">
        <v>0</v>
      </c>
      <c r="DC33" s="56">
        <v>0</v>
      </c>
      <c r="DD33" s="56">
        <v>0</v>
      </c>
      <c r="DE33" s="56">
        <v>0</v>
      </c>
      <c r="DF33" s="56">
        <v>0</v>
      </c>
      <c r="DG33" s="56">
        <v>0</v>
      </c>
      <c r="DH33" s="56">
        <v>0</v>
      </c>
      <c r="DI33" s="56">
        <v>0</v>
      </c>
      <c r="DJ33" s="56">
        <v>0</v>
      </c>
      <c r="DK33" s="56">
        <v>0</v>
      </c>
      <c r="DL33" s="56">
        <v>0</v>
      </c>
      <c r="DM33" s="56">
        <v>0</v>
      </c>
      <c r="DN33" s="56">
        <v>0</v>
      </c>
      <c r="DO33" s="56">
        <v>0</v>
      </c>
      <c r="DP33" s="56">
        <v>0</v>
      </c>
      <c r="DQ33" s="56">
        <v>0</v>
      </c>
      <c r="DR33" s="56">
        <v>0</v>
      </c>
      <c r="DS33" s="56">
        <v>0</v>
      </c>
      <c r="DT33" s="56">
        <v>0</v>
      </c>
      <c r="DU33" s="56">
        <v>0</v>
      </c>
    </row>
    <row r="34" spans="2:125">
      <c r="B34" s="114" t="s">
        <v>133</v>
      </c>
      <c r="C34" s="5">
        <v>4229</v>
      </c>
      <c r="D34" s="78" t="s">
        <v>35</v>
      </c>
      <c r="E34" s="113">
        <f t="shared" si="12"/>
        <v>0</v>
      </c>
      <c r="F34" s="56">
        <v>0</v>
      </c>
      <c r="G34" s="56">
        <v>0</v>
      </c>
      <c r="H34" s="56">
        <v>0</v>
      </c>
      <c r="I34" s="56">
        <v>0</v>
      </c>
      <c r="J34" s="56">
        <v>0</v>
      </c>
      <c r="K34" s="56">
        <v>0</v>
      </c>
      <c r="L34" s="56">
        <v>0</v>
      </c>
      <c r="M34" s="56">
        <v>0</v>
      </c>
      <c r="N34" s="56">
        <v>0</v>
      </c>
      <c r="O34" s="56">
        <v>0</v>
      </c>
      <c r="P34" s="56">
        <v>0</v>
      </c>
      <c r="Q34" s="56">
        <v>0</v>
      </c>
      <c r="R34" s="56">
        <v>0</v>
      </c>
      <c r="S34" s="56">
        <v>0</v>
      </c>
      <c r="T34" s="56">
        <v>0</v>
      </c>
      <c r="U34" s="56">
        <v>0</v>
      </c>
      <c r="V34" s="56">
        <v>0</v>
      </c>
      <c r="W34" s="56">
        <v>0</v>
      </c>
      <c r="X34" s="56">
        <v>0</v>
      </c>
      <c r="Y34" s="56">
        <v>0</v>
      </c>
      <c r="Z34" s="56">
        <v>0</v>
      </c>
      <c r="AA34" s="56">
        <v>0</v>
      </c>
      <c r="AB34" s="56">
        <v>0</v>
      </c>
      <c r="AC34" s="56">
        <v>0</v>
      </c>
      <c r="AD34" s="56">
        <v>0</v>
      </c>
      <c r="AE34" s="56">
        <v>0</v>
      </c>
      <c r="AF34" s="56">
        <v>0</v>
      </c>
      <c r="AG34" s="56">
        <v>0</v>
      </c>
      <c r="AH34" s="56">
        <v>0</v>
      </c>
      <c r="AI34" s="56">
        <v>0</v>
      </c>
      <c r="AJ34" s="56">
        <v>0</v>
      </c>
      <c r="AK34" s="56">
        <v>0</v>
      </c>
      <c r="AL34" s="56">
        <v>0</v>
      </c>
      <c r="AM34" s="56">
        <v>0</v>
      </c>
      <c r="AN34" s="56">
        <v>0</v>
      </c>
      <c r="AO34" s="56">
        <v>0</v>
      </c>
      <c r="AP34" s="56">
        <v>0</v>
      </c>
      <c r="AQ34" s="56">
        <v>0</v>
      </c>
      <c r="AR34" s="56">
        <v>0</v>
      </c>
      <c r="AS34" s="56">
        <v>0</v>
      </c>
      <c r="AT34" s="56">
        <v>0</v>
      </c>
      <c r="AU34" s="56">
        <v>0</v>
      </c>
      <c r="AV34" s="56">
        <v>0</v>
      </c>
      <c r="AW34" s="56">
        <v>0</v>
      </c>
      <c r="AX34" s="56">
        <v>0</v>
      </c>
      <c r="AY34" s="56">
        <v>0</v>
      </c>
      <c r="AZ34" s="56">
        <v>0</v>
      </c>
      <c r="BA34" s="56">
        <v>0</v>
      </c>
      <c r="BB34" s="56">
        <v>0</v>
      </c>
      <c r="BC34" s="56">
        <v>0</v>
      </c>
      <c r="BD34" s="56">
        <v>0</v>
      </c>
      <c r="BE34" s="56">
        <v>0</v>
      </c>
      <c r="BF34" s="56">
        <v>0</v>
      </c>
      <c r="BG34" s="56">
        <v>0</v>
      </c>
      <c r="BH34" s="56">
        <v>0</v>
      </c>
      <c r="BI34" s="56">
        <v>0</v>
      </c>
      <c r="BJ34" s="56">
        <v>0</v>
      </c>
      <c r="BK34" s="56">
        <v>0</v>
      </c>
      <c r="BL34" s="56">
        <v>0</v>
      </c>
      <c r="BM34" s="56">
        <v>0</v>
      </c>
      <c r="BN34" s="56">
        <v>0</v>
      </c>
      <c r="BO34" s="56">
        <v>0</v>
      </c>
      <c r="BP34" s="56">
        <v>0</v>
      </c>
      <c r="BQ34" s="56">
        <v>0</v>
      </c>
      <c r="BR34" s="56">
        <v>0</v>
      </c>
      <c r="BS34" s="56">
        <v>0</v>
      </c>
      <c r="BT34" s="56">
        <v>0</v>
      </c>
      <c r="BU34" s="56">
        <v>0</v>
      </c>
      <c r="BV34" s="56">
        <v>0</v>
      </c>
      <c r="BW34" s="56">
        <v>0</v>
      </c>
      <c r="BX34" s="56">
        <v>0</v>
      </c>
      <c r="BY34" s="56">
        <v>0</v>
      </c>
      <c r="BZ34" s="56">
        <v>0</v>
      </c>
      <c r="CA34" s="56">
        <v>0</v>
      </c>
      <c r="CB34" s="56">
        <v>0</v>
      </c>
      <c r="CC34" s="56">
        <v>0</v>
      </c>
      <c r="CD34" s="56">
        <v>0</v>
      </c>
      <c r="CE34" s="56">
        <v>0</v>
      </c>
      <c r="CF34" s="56">
        <v>0</v>
      </c>
      <c r="CG34" s="56">
        <v>0</v>
      </c>
      <c r="CH34" s="56">
        <v>0</v>
      </c>
      <c r="CI34" s="56">
        <v>0</v>
      </c>
      <c r="CJ34" s="56">
        <v>0</v>
      </c>
      <c r="CK34" s="56">
        <v>0</v>
      </c>
      <c r="CL34" s="56">
        <v>0</v>
      </c>
      <c r="CM34" s="56">
        <v>0</v>
      </c>
      <c r="CN34" s="56">
        <v>0</v>
      </c>
      <c r="CO34" s="56">
        <v>0</v>
      </c>
      <c r="CP34" s="56">
        <v>0</v>
      </c>
      <c r="CQ34" s="56">
        <v>0</v>
      </c>
      <c r="CR34" s="56">
        <v>0</v>
      </c>
      <c r="CS34" s="56">
        <v>0</v>
      </c>
      <c r="CT34" s="56">
        <v>0</v>
      </c>
      <c r="CU34" s="56">
        <v>0</v>
      </c>
      <c r="CV34" s="56">
        <v>0</v>
      </c>
      <c r="CW34" s="56">
        <v>0</v>
      </c>
      <c r="CX34" s="56">
        <v>0</v>
      </c>
      <c r="CY34" s="56">
        <v>0</v>
      </c>
      <c r="CZ34" s="56">
        <v>0</v>
      </c>
      <c r="DA34" s="56">
        <v>0</v>
      </c>
      <c r="DB34" s="56">
        <v>0</v>
      </c>
      <c r="DC34" s="56">
        <v>0</v>
      </c>
      <c r="DD34" s="56">
        <v>0</v>
      </c>
      <c r="DE34" s="56">
        <v>0</v>
      </c>
      <c r="DF34" s="56">
        <v>0</v>
      </c>
      <c r="DG34" s="56">
        <v>0</v>
      </c>
      <c r="DH34" s="56">
        <v>0</v>
      </c>
      <c r="DI34" s="56">
        <v>0</v>
      </c>
      <c r="DJ34" s="56">
        <v>0</v>
      </c>
      <c r="DK34" s="56">
        <v>0</v>
      </c>
      <c r="DL34" s="56">
        <v>0</v>
      </c>
      <c r="DM34" s="56">
        <v>0</v>
      </c>
      <c r="DN34" s="56">
        <v>0</v>
      </c>
      <c r="DO34" s="56">
        <v>0</v>
      </c>
      <c r="DP34" s="56">
        <v>0</v>
      </c>
      <c r="DQ34" s="56">
        <v>0</v>
      </c>
      <c r="DR34" s="56">
        <v>0</v>
      </c>
      <c r="DS34" s="56">
        <v>0</v>
      </c>
      <c r="DT34" s="56">
        <v>0</v>
      </c>
      <c r="DU34" s="56">
        <v>0</v>
      </c>
    </row>
    <row r="35" spans="2:125" ht="26">
      <c r="B35" s="124" t="s">
        <v>145</v>
      </c>
      <c r="C35" s="118">
        <v>4200</v>
      </c>
      <c r="D35" s="119" t="s">
        <v>35</v>
      </c>
      <c r="E35" s="120">
        <f>SUM(F35:DU35)</f>
        <v>0</v>
      </c>
      <c r="F35" s="121">
        <f>F21-F28</f>
        <v>0</v>
      </c>
      <c r="G35" s="121">
        <f t="shared" ref="G35:AO35" si="20">G21-G28</f>
        <v>0</v>
      </c>
      <c r="H35" s="121">
        <f t="shared" si="20"/>
        <v>0</v>
      </c>
      <c r="I35" s="121">
        <f t="shared" si="20"/>
        <v>0</v>
      </c>
      <c r="J35" s="121">
        <f t="shared" si="20"/>
        <v>0</v>
      </c>
      <c r="K35" s="121">
        <f t="shared" si="20"/>
        <v>0</v>
      </c>
      <c r="L35" s="121">
        <f t="shared" si="20"/>
        <v>0</v>
      </c>
      <c r="M35" s="121">
        <f t="shared" si="20"/>
        <v>0</v>
      </c>
      <c r="N35" s="121">
        <f t="shared" si="20"/>
        <v>0</v>
      </c>
      <c r="O35" s="121">
        <f t="shared" si="20"/>
        <v>0</v>
      </c>
      <c r="P35" s="121">
        <f t="shared" si="20"/>
        <v>0</v>
      </c>
      <c r="Q35" s="121">
        <f t="shared" si="20"/>
        <v>0</v>
      </c>
      <c r="R35" s="121">
        <f t="shared" si="20"/>
        <v>0</v>
      </c>
      <c r="S35" s="121">
        <f t="shared" si="20"/>
        <v>0</v>
      </c>
      <c r="T35" s="121">
        <f t="shared" si="20"/>
        <v>0</v>
      </c>
      <c r="U35" s="121">
        <f t="shared" si="20"/>
        <v>0</v>
      </c>
      <c r="V35" s="121">
        <f t="shared" si="20"/>
        <v>0</v>
      </c>
      <c r="W35" s="121">
        <f t="shared" si="20"/>
        <v>0</v>
      </c>
      <c r="X35" s="121">
        <f t="shared" si="20"/>
        <v>0</v>
      </c>
      <c r="Y35" s="121">
        <f t="shared" si="20"/>
        <v>0</v>
      </c>
      <c r="Z35" s="121">
        <f t="shared" si="20"/>
        <v>0</v>
      </c>
      <c r="AA35" s="121">
        <f t="shared" si="20"/>
        <v>0</v>
      </c>
      <c r="AB35" s="121">
        <f t="shared" si="20"/>
        <v>0</v>
      </c>
      <c r="AC35" s="121">
        <f t="shared" si="20"/>
        <v>0</v>
      </c>
      <c r="AD35" s="121">
        <f t="shared" si="20"/>
        <v>0</v>
      </c>
      <c r="AE35" s="121">
        <f t="shared" si="20"/>
        <v>0</v>
      </c>
      <c r="AF35" s="121">
        <f t="shared" si="20"/>
        <v>0</v>
      </c>
      <c r="AG35" s="121">
        <f t="shared" si="20"/>
        <v>0</v>
      </c>
      <c r="AH35" s="121">
        <f t="shared" si="20"/>
        <v>0</v>
      </c>
      <c r="AI35" s="121">
        <f t="shared" si="20"/>
        <v>0</v>
      </c>
      <c r="AJ35" s="121">
        <f t="shared" si="20"/>
        <v>0</v>
      </c>
      <c r="AK35" s="121">
        <f t="shared" si="20"/>
        <v>0</v>
      </c>
      <c r="AL35" s="121">
        <f t="shared" si="20"/>
        <v>0</v>
      </c>
      <c r="AM35" s="121">
        <f t="shared" si="20"/>
        <v>0</v>
      </c>
      <c r="AN35" s="121">
        <f t="shared" si="20"/>
        <v>0</v>
      </c>
      <c r="AO35" s="121">
        <f t="shared" si="20"/>
        <v>0</v>
      </c>
      <c r="AP35" s="121">
        <f>AP21-AP28</f>
        <v>0</v>
      </c>
      <c r="AQ35" s="121">
        <f t="shared" ref="AQ35:BY35" si="21">AQ21-AQ28</f>
        <v>0</v>
      </c>
      <c r="AR35" s="121">
        <f t="shared" si="21"/>
        <v>0</v>
      </c>
      <c r="AS35" s="121">
        <f t="shared" si="21"/>
        <v>0</v>
      </c>
      <c r="AT35" s="121">
        <f t="shared" si="21"/>
        <v>0</v>
      </c>
      <c r="AU35" s="121">
        <f t="shared" si="21"/>
        <v>0</v>
      </c>
      <c r="AV35" s="121">
        <f t="shared" si="21"/>
        <v>0</v>
      </c>
      <c r="AW35" s="121">
        <f t="shared" si="21"/>
        <v>0</v>
      </c>
      <c r="AX35" s="121">
        <f t="shared" si="21"/>
        <v>0</v>
      </c>
      <c r="AY35" s="121">
        <f t="shared" si="21"/>
        <v>0</v>
      </c>
      <c r="AZ35" s="121">
        <f t="shared" si="21"/>
        <v>0</v>
      </c>
      <c r="BA35" s="121">
        <f t="shared" si="21"/>
        <v>0</v>
      </c>
      <c r="BB35" s="121">
        <f t="shared" si="21"/>
        <v>0</v>
      </c>
      <c r="BC35" s="121">
        <f t="shared" si="21"/>
        <v>0</v>
      </c>
      <c r="BD35" s="121">
        <f t="shared" si="21"/>
        <v>0</v>
      </c>
      <c r="BE35" s="121">
        <f t="shared" si="21"/>
        <v>0</v>
      </c>
      <c r="BF35" s="121">
        <f t="shared" si="21"/>
        <v>0</v>
      </c>
      <c r="BG35" s="121">
        <f t="shared" si="21"/>
        <v>0</v>
      </c>
      <c r="BH35" s="121">
        <f t="shared" si="21"/>
        <v>0</v>
      </c>
      <c r="BI35" s="121">
        <f t="shared" si="21"/>
        <v>0</v>
      </c>
      <c r="BJ35" s="121">
        <f t="shared" si="21"/>
        <v>0</v>
      </c>
      <c r="BK35" s="121">
        <f t="shared" si="21"/>
        <v>0</v>
      </c>
      <c r="BL35" s="121">
        <f t="shared" si="21"/>
        <v>0</v>
      </c>
      <c r="BM35" s="121">
        <f t="shared" si="21"/>
        <v>0</v>
      </c>
      <c r="BN35" s="121">
        <f t="shared" si="21"/>
        <v>0</v>
      </c>
      <c r="BO35" s="121">
        <f t="shared" si="21"/>
        <v>0</v>
      </c>
      <c r="BP35" s="121">
        <f t="shared" si="21"/>
        <v>0</v>
      </c>
      <c r="BQ35" s="121">
        <f t="shared" si="21"/>
        <v>0</v>
      </c>
      <c r="BR35" s="121">
        <f t="shared" si="21"/>
        <v>0</v>
      </c>
      <c r="BS35" s="121">
        <f t="shared" si="21"/>
        <v>0</v>
      </c>
      <c r="BT35" s="121">
        <f t="shared" si="21"/>
        <v>0</v>
      </c>
      <c r="BU35" s="121">
        <f t="shared" si="21"/>
        <v>0</v>
      </c>
      <c r="BV35" s="121">
        <f t="shared" si="21"/>
        <v>0</v>
      </c>
      <c r="BW35" s="121">
        <f t="shared" si="21"/>
        <v>0</v>
      </c>
      <c r="BX35" s="121">
        <f t="shared" si="21"/>
        <v>0</v>
      </c>
      <c r="BY35" s="121">
        <f t="shared" si="21"/>
        <v>0</v>
      </c>
      <c r="BZ35" s="121">
        <f>BZ21-BZ28</f>
        <v>0</v>
      </c>
      <c r="CA35" s="121">
        <f t="shared" ref="CA35:DI35" si="22">CA21-CA28</f>
        <v>0</v>
      </c>
      <c r="CB35" s="121">
        <f t="shared" si="22"/>
        <v>0</v>
      </c>
      <c r="CC35" s="121">
        <f t="shared" si="22"/>
        <v>0</v>
      </c>
      <c r="CD35" s="121">
        <f t="shared" si="22"/>
        <v>0</v>
      </c>
      <c r="CE35" s="121">
        <f t="shared" si="22"/>
        <v>0</v>
      </c>
      <c r="CF35" s="121">
        <f t="shared" si="22"/>
        <v>0</v>
      </c>
      <c r="CG35" s="121">
        <f t="shared" si="22"/>
        <v>0</v>
      </c>
      <c r="CH35" s="121">
        <f t="shared" si="22"/>
        <v>0</v>
      </c>
      <c r="CI35" s="121">
        <f t="shared" si="22"/>
        <v>0</v>
      </c>
      <c r="CJ35" s="121">
        <f t="shared" si="22"/>
        <v>0</v>
      </c>
      <c r="CK35" s="121">
        <f t="shared" si="22"/>
        <v>0</v>
      </c>
      <c r="CL35" s="121">
        <f t="shared" si="22"/>
        <v>0</v>
      </c>
      <c r="CM35" s="121">
        <f t="shared" si="22"/>
        <v>0</v>
      </c>
      <c r="CN35" s="121">
        <f t="shared" si="22"/>
        <v>0</v>
      </c>
      <c r="CO35" s="121">
        <f t="shared" si="22"/>
        <v>0</v>
      </c>
      <c r="CP35" s="121">
        <f t="shared" si="22"/>
        <v>0</v>
      </c>
      <c r="CQ35" s="121">
        <f t="shared" si="22"/>
        <v>0</v>
      </c>
      <c r="CR35" s="121">
        <f t="shared" si="22"/>
        <v>0</v>
      </c>
      <c r="CS35" s="121">
        <f t="shared" si="22"/>
        <v>0</v>
      </c>
      <c r="CT35" s="121">
        <f t="shared" si="22"/>
        <v>0</v>
      </c>
      <c r="CU35" s="121">
        <f t="shared" si="22"/>
        <v>0</v>
      </c>
      <c r="CV35" s="121">
        <f t="shared" si="22"/>
        <v>0</v>
      </c>
      <c r="CW35" s="121">
        <f t="shared" si="22"/>
        <v>0</v>
      </c>
      <c r="CX35" s="121">
        <f t="shared" si="22"/>
        <v>0</v>
      </c>
      <c r="CY35" s="121">
        <f t="shared" si="22"/>
        <v>0</v>
      </c>
      <c r="CZ35" s="121">
        <f t="shared" si="22"/>
        <v>0</v>
      </c>
      <c r="DA35" s="121">
        <f t="shared" si="22"/>
        <v>0</v>
      </c>
      <c r="DB35" s="121">
        <f t="shared" si="22"/>
        <v>0</v>
      </c>
      <c r="DC35" s="121">
        <f t="shared" si="22"/>
        <v>0</v>
      </c>
      <c r="DD35" s="121">
        <f t="shared" si="22"/>
        <v>0</v>
      </c>
      <c r="DE35" s="121">
        <f t="shared" si="22"/>
        <v>0</v>
      </c>
      <c r="DF35" s="121">
        <f t="shared" si="22"/>
        <v>0</v>
      </c>
      <c r="DG35" s="121">
        <f t="shared" si="22"/>
        <v>0</v>
      </c>
      <c r="DH35" s="121">
        <f t="shared" si="22"/>
        <v>0</v>
      </c>
      <c r="DI35" s="121">
        <f t="shared" si="22"/>
        <v>0</v>
      </c>
      <c r="DJ35" s="121">
        <f>DJ21-DJ28</f>
        <v>0</v>
      </c>
      <c r="DK35" s="121">
        <f t="shared" ref="DK35:DU35" si="23">DK21-DK28</f>
        <v>0</v>
      </c>
      <c r="DL35" s="121">
        <f t="shared" si="23"/>
        <v>0</v>
      </c>
      <c r="DM35" s="121">
        <f t="shared" si="23"/>
        <v>0</v>
      </c>
      <c r="DN35" s="121">
        <f t="shared" si="23"/>
        <v>0</v>
      </c>
      <c r="DO35" s="121">
        <f t="shared" si="23"/>
        <v>0</v>
      </c>
      <c r="DP35" s="121">
        <f t="shared" si="23"/>
        <v>0</v>
      </c>
      <c r="DQ35" s="121">
        <f t="shared" si="23"/>
        <v>0</v>
      </c>
      <c r="DR35" s="121">
        <f t="shared" si="23"/>
        <v>0</v>
      </c>
      <c r="DS35" s="121">
        <f t="shared" si="23"/>
        <v>0</v>
      </c>
      <c r="DT35" s="121">
        <f t="shared" si="23"/>
        <v>0</v>
      </c>
      <c r="DU35" s="121">
        <f t="shared" si="23"/>
        <v>0</v>
      </c>
    </row>
    <row r="36" spans="2:125" ht="29" customHeight="1">
      <c r="B36" s="103" t="s">
        <v>146</v>
      </c>
      <c r="C36" s="77"/>
      <c r="D36" s="104"/>
      <c r="E36" s="105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  <c r="BR36" s="56"/>
      <c r="BS36" s="56"/>
      <c r="BT36" s="56"/>
      <c r="BU36" s="56"/>
      <c r="BV36" s="56"/>
      <c r="BW36" s="56"/>
      <c r="BX36" s="56"/>
      <c r="BY36" s="56"/>
      <c r="BZ36" s="56"/>
      <c r="CA36" s="56"/>
      <c r="CB36" s="56"/>
      <c r="CC36" s="56"/>
      <c r="CD36" s="56"/>
      <c r="CE36" s="56"/>
      <c r="CF36" s="56"/>
      <c r="CG36" s="56"/>
      <c r="CH36" s="56"/>
      <c r="CI36" s="56"/>
      <c r="CJ36" s="56"/>
      <c r="CK36" s="56"/>
      <c r="CL36" s="56"/>
      <c r="CM36" s="56"/>
      <c r="CN36" s="56"/>
      <c r="CO36" s="56"/>
      <c r="CP36" s="56"/>
      <c r="CQ36" s="56"/>
      <c r="CR36" s="56"/>
      <c r="CS36" s="56"/>
      <c r="CT36" s="56"/>
      <c r="CU36" s="56"/>
      <c r="CV36" s="56"/>
      <c r="CW36" s="56"/>
      <c r="CX36" s="56"/>
      <c r="CY36" s="56"/>
      <c r="CZ36" s="56"/>
      <c r="DA36" s="56"/>
      <c r="DB36" s="56"/>
      <c r="DC36" s="56"/>
      <c r="DD36" s="56"/>
      <c r="DE36" s="56"/>
      <c r="DF36" s="56"/>
      <c r="DG36" s="56"/>
      <c r="DH36" s="56"/>
      <c r="DI36" s="56"/>
      <c r="DJ36" s="56"/>
      <c r="DK36" s="56"/>
      <c r="DL36" s="56"/>
      <c r="DM36" s="56"/>
      <c r="DN36" s="56"/>
      <c r="DO36" s="56"/>
      <c r="DP36" s="56"/>
      <c r="DQ36" s="56"/>
      <c r="DR36" s="56"/>
      <c r="DS36" s="56"/>
      <c r="DT36" s="56"/>
      <c r="DU36" s="56"/>
    </row>
    <row r="37" spans="2:125" ht="15" customHeight="1">
      <c r="B37" s="106" t="s">
        <v>112</v>
      </c>
      <c r="C37" s="107">
        <v>4310</v>
      </c>
      <c r="D37" s="108" t="s">
        <v>35</v>
      </c>
      <c r="E37" s="109">
        <f>SUM(F37:DY37)</f>
        <v>0</v>
      </c>
      <c r="F37" s="110">
        <f>F39+F40+F41+F42+F43</f>
        <v>0</v>
      </c>
      <c r="G37" s="110">
        <f t="shared" ref="G37:AO37" si="24">G39+G40+G41+G42+G43</f>
        <v>0</v>
      </c>
      <c r="H37" s="110">
        <f t="shared" si="24"/>
        <v>0</v>
      </c>
      <c r="I37" s="110">
        <f t="shared" si="24"/>
        <v>0</v>
      </c>
      <c r="J37" s="110">
        <f t="shared" si="24"/>
        <v>0</v>
      </c>
      <c r="K37" s="110">
        <f t="shared" si="24"/>
        <v>0</v>
      </c>
      <c r="L37" s="110">
        <f t="shared" si="24"/>
        <v>0</v>
      </c>
      <c r="M37" s="110">
        <f t="shared" si="24"/>
        <v>0</v>
      </c>
      <c r="N37" s="110">
        <f t="shared" si="24"/>
        <v>0</v>
      </c>
      <c r="O37" s="110">
        <f t="shared" si="24"/>
        <v>0</v>
      </c>
      <c r="P37" s="110">
        <f t="shared" si="24"/>
        <v>0</v>
      </c>
      <c r="Q37" s="110">
        <f t="shared" si="24"/>
        <v>0</v>
      </c>
      <c r="R37" s="110">
        <f t="shared" si="24"/>
        <v>0</v>
      </c>
      <c r="S37" s="110">
        <f t="shared" si="24"/>
        <v>0</v>
      </c>
      <c r="T37" s="110">
        <f t="shared" si="24"/>
        <v>0</v>
      </c>
      <c r="U37" s="110">
        <f t="shared" si="24"/>
        <v>0</v>
      </c>
      <c r="V37" s="110">
        <f t="shared" si="24"/>
        <v>0</v>
      </c>
      <c r="W37" s="110">
        <f t="shared" si="24"/>
        <v>0</v>
      </c>
      <c r="X37" s="110">
        <f t="shared" si="24"/>
        <v>0</v>
      </c>
      <c r="Y37" s="110">
        <f t="shared" si="24"/>
        <v>0</v>
      </c>
      <c r="Z37" s="110">
        <f t="shared" si="24"/>
        <v>0</v>
      </c>
      <c r="AA37" s="110">
        <f t="shared" si="24"/>
        <v>0</v>
      </c>
      <c r="AB37" s="110">
        <f t="shared" si="24"/>
        <v>0</v>
      </c>
      <c r="AC37" s="110">
        <f t="shared" si="24"/>
        <v>0</v>
      </c>
      <c r="AD37" s="110">
        <f t="shared" si="24"/>
        <v>0</v>
      </c>
      <c r="AE37" s="110">
        <f t="shared" si="24"/>
        <v>0</v>
      </c>
      <c r="AF37" s="110">
        <f t="shared" si="24"/>
        <v>0</v>
      </c>
      <c r="AG37" s="110">
        <f t="shared" si="24"/>
        <v>0</v>
      </c>
      <c r="AH37" s="110">
        <f t="shared" si="24"/>
        <v>0</v>
      </c>
      <c r="AI37" s="110">
        <f t="shared" si="24"/>
        <v>0</v>
      </c>
      <c r="AJ37" s="110">
        <f t="shared" si="24"/>
        <v>0</v>
      </c>
      <c r="AK37" s="110">
        <f t="shared" si="24"/>
        <v>0</v>
      </c>
      <c r="AL37" s="110">
        <f t="shared" si="24"/>
        <v>0</v>
      </c>
      <c r="AM37" s="110">
        <f t="shared" si="24"/>
        <v>0</v>
      </c>
      <c r="AN37" s="110">
        <f t="shared" si="24"/>
        <v>0</v>
      </c>
      <c r="AO37" s="110">
        <f t="shared" si="24"/>
        <v>0</v>
      </c>
      <c r="AP37" s="110">
        <f>AP39+AP40+AP41+AP42+AP43</f>
        <v>0</v>
      </c>
      <c r="AQ37" s="110">
        <f t="shared" ref="AQ37:BY37" si="25">AQ39+AQ40+AQ41+AQ42+AQ43</f>
        <v>0</v>
      </c>
      <c r="AR37" s="110">
        <f t="shared" si="25"/>
        <v>0</v>
      </c>
      <c r="AS37" s="110">
        <f t="shared" si="25"/>
        <v>0</v>
      </c>
      <c r="AT37" s="110">
        <f t="shared" si="25"/>
        <v>0</v>
      </c>
      <c r="AU37" s="110">
        <f t="shared" si="25"/>
        <v>0</v>
      </c>
      <c r="AV37" s="110">
        <f t="shared" si="25"/>
        <v>0</v>
      </c>
      <c r="AW37" s="110">
        <f t="shared" si="25"/>
        <v>0</v>
      </c>
      <c r="AX37" s="110">
        <f t="shared" si="25"/>
        <v>0</v>
      </c>
      <c r="AY37" s="110">
        <f t="shared" si="25"/>
        <v>0</v>
      </c>
      <c r="AZ37" s="110">
        <f t="shared" si="25"/>
        <v>0</v>
      </c>
      <c r="BA37" s="110">
        <f t="shared" si="25"/>
        <v>0</v>
      </c>
      <c r="BB37" s="110">
        <f t="shared" si="25"/>
        <v>0</v>
      </c>
      <c r="BC37" s="110">
        <f t="shared" si="25"/>
        <v>0</v>
      </c>
      <c r="BD37" s="110">
        <f t="shared" si="25"/>
        <v>0</v>
      </c>
      <c r="BE37" s="110">
        <f t="shared" si="25"/>
        <v>0</v>
      </c>
      <c r="BF37" s="110">
        <f t="shared" si="25"/>
        <v>0</v>
      </c>
      <c r="BG37" s="110">
        <f t="shared" si="25"/>
        <v>0</v>
      </c>
      <c r="BH37" s="110">
        <f t="shared" si="25"/>
        <v>0</v>
      </c>
      <c r="BI37" s="110">
        <f t="shared" si="25"/>
        <v>0</v>
      </c>
      <c r="BJ37" s="110">
        <f t="shared" si="25"/>
        <v>0</v>
      </c>
      <c r="BK37" s="110">
        <f t="shared" si="25"/>
        <v>0</v>
      </c>
      <c r="BL37" s="110">
        <f t="shared" si="25"/>
        <v>0</v>
      </c>
      <c r="BM37" s="110">
        <f t="shared" si="25"/>
        <v>0</v>
      </c>
      <c r="BN37" s="110">
        <f t="shared" si="25"/>
        <v>0</v>
      </c>
      <c r="BO37" s="110">
        <f t="shared" si="25"/>
        <v>0</v>
      </c>
      <c r="BP37" s="110">
        <f t="shared" si="25"/>
        <v>0</v>
      </c>
      <c r="BQ37" s="110">
        <f t="shared" si="25"/>
        <v>0</v>
      </c>
      <c r="BR37" s="110">
        <f t="shared" si="25"/>
        <v>0</v>
      </c>
      <c r="BS37" s="110">
        <f t="shared" si="25"/>
        <v>0</v>
      </c>
      <c r="BT37" s="110">
        <f t="shared" si="25"/>
        <v>0</v>
      </c>
      <c r="BU37" s="110">
        <f t="shared" si="25"/>
        <v>0</v>
      </c>
      <c r="BV37" s="110">
        <f t="shared" si="25"/>
        <v>0</v>
      </c>
      <c r="BW37" s="110">
        <f t="shared" si="25"/>
        <v>0</v>
      </c>
      <c r="BX37" s="110">
        <f t="shared" si="25"/>
        <v>0</v>
      </c>
      <c r="BY37" s="110">
        <f t="shared" si="25"/>
        <v>0</v>
      </c>
      <c r="BZ37" s="110">
        <f>BZ39+BZ40+BZ41+BZ42+BZ43</f>
        <v>0</v>
      </c>
      <c r="CA37" s="110">
        <f t="shared" ref="CA37:DI37" si="26">CA39+CA40+CA41+CA42+CA43</f>
        <v>0</v>
      </c>
      <c r="CB37" s="110">
        <f t="shared" si="26"/>
        <v>0</v>
      </c>
      <c r="CC37" s="110">
        <f t="shared" si="26"/>
        <v>0</v>
      </c>
      <c r="CD37" s="110">
        <f t="shared" si="26"/>
        <v>0</v>
      </c>
      <c r="CE37" s="110">
        <f t="shared" si="26"/>
        <v>0</v>
      </c>
      <c r="CF37" s="110">
        <f t="shared" si="26"/>
        <v>0</v>
      </c>
      <c r="CG37" s="110">
        <f t="shared" si="26"/>
        <v>0</v>
      </c>
      <c r="CH37" s="110">
        <f t="shared" si="26"/>
        <v>0</v>
      </c>
      <c r="CI37" s="110">
        <f t="shared" si="26"/>
        <v>0</v>
      </c>
      <c r="CJ37" s="110">
        <f t="shared" si="26"/>
        <v>0</v>
      </c>
      <c r="CK37" s="110">
        <f t="shared" si="26"/>
        <v>0</v>
      </c>
      <c r="CL37" s="110">
        <f t="shared" si="26"/>
        <v>0</v>
      </c>
      <c r="CM37" s="110">
        <f t="shared" si="26"/>
        <v>0</v>
      </c>
      <c r="CN37" s="110">
        <f t="shared" si="26"/>
        <v>0</v>
      </c>
      <c r="CO37" s="110">
        <f t="shared" si="26"/>
        <v>0</v>
      </c>
      <c r="CP37" s="110">
        <f t="shared" si="26"/>
        <v>0</v>
      </c>
      <c r="CQ37" s="110">
        <f t="shared" si="26"/>
        <v>0</v>
      </c>
      <c r="CR37" s="110">
        <f t="shared" si="26"/>
        <v>0</v>
      </c>
      <c r="CS37" s="110">
        <f t="shared" si="26"/>
        <v>0</v>
      </c>
      <c r="CT37" s="110">
        <f t="shared" si="26"/>
        <v>0</v>
      </c>
      <c r="CU37" s="110">
        <f t="shared" si="26"/>
        <v>0</v>
      </c>
      <c r="CV37" s="110">
        <f t="shared" si="26"/>
        <v>0</v>
      </c>
      <c r="CW37" s="110">
        <f t="shared" si="26"/>
        <v>0</v>
      </c>
      <c r="CX37" s="110">
        <f t="shared" si="26"/>
        <v>0</v>
      </c>
      <c r="CY37" s="110">
        <f t="shared" si="26"/>
        <v>0</v>
      </c>
      <c r="CZ37" s="110">
        <f t="shared" si="26"/>
        <v>0</v>
      </c>
      <c r="DA37" s="110">
        <f t="shared" si="26"/>
        <v>0</v>
      </c>
      <c r="DB37" s="110">
        <f t="shared" si="26"/>
        <v>0</v>
      </c>
      <c r="DC37" s="110">
        <f t="shared" si="26"/>
        <v>0</v>
      </c>
      <c r="DD37" s="110">
        <f t="shared" si="26"/>
        <v>0</v>
      </c>
      <c r="DE37" s="110">
        <f t="shared" si="26"/>
        <v>0</v>
      </c>
      <c r="DF37" s="110">
        <f t="shared" si="26"/>
        <v>0</v>
      </c>
      <c r="DG37" s="110">
        <f t="shared" si="26"/>
        <v>0</v>
      </c>
      <c r="DH37" s="110">
        <f t="shared" si="26"/>
        <v>0</v>
      </c>
      <c r="DI37" s="110">
        <f t="shared" si="26"/>
        <v>0</v>
      </c>
      <c r="DJ37" s="110">
        <f>DJ39+DJ40+DJ41+DJ42+DJ43</f>
        <v>0</v>
      </c>
      <c r="DK37" s="110">
        <f t="shared" ref="DK37:DU37" si="27">DK39+DK40+DK41+DK42+DK43</f>
        <v>0</v>
      </c>
      <c r="DL37" s="110">
        <f t="shared" si="27"/>
        <v>0</v>
      </c>
      <c r="DM37" s="110">
        <f t="shared" si="27"/>
        <v>0</v>
      </c>
      <c r="DN37" s="110">
        <f t="shared" si="27"/>
        <v>0</v>
      </c>
      <c r="DO37" s="110">
        <f t="shared" si="27"/>
        <v>0</v>
      </c>
      <c r="DP37" s="110">
        <f t="shared" si="27"/>
        <v>0</v>
      </c>
      <c r="DQ37" s="110">
        <f t="shared" si="27"/>
        <v>0</v>
      </c>
      <c r="DR37" s="110">
        <f t="shared" si="27"/>
        <v>0</v>
      </c>
      <c r="DS37" s="110">
        <f t="shared" si="27"/>
        <v>0</v>
      </c>
      <c r="DT37" s="110">
        <f t="shared" si="27"/>
        <v>0</v>
      </c>
      <c r="DU37" s="110">
        <f t="shared" si="27"/>
        <v>0</v>
      </c>
    </row>
    <row r="38" spans="2:125" ht="10.5" customHeight="1">
      <c r="B38" s="111" t="s">
        <v>114</v>
      </c>
      <c r="C38" s="77"/>
      <c r="D38" s="104"/>
      <c r="E38" s="105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6"/>
      <c r="BM38" s="56"/>
      <c r="BN38" s="56"/>
      <c r="BO38" s="56"/>
      <c r="BP38" s="56"/>
      <c r="BQ38" s="56"/>
      <c r="BR38" s="56"/>
      <c r="BS38" s="56"/>
      <c r="BT38" s="56"/>
      <c r="BU38" s="56"/>
      <c r="BV38" s="56"/>
      <c r="BW38" s="56"/>
      <c r="BX38" s="56"/>
      <c r="BY38" s="56"/>
      <c r="BZ38" s="56"/>
      <c r="CA38" s="56"/>
      <c r="CB38" s="56"/>
      <c r="CC38" s="56"/>
      <c r="CD38" s="56"/>
      <c r="CE38" s="56"/>
      <c r="CF38" s="56"/>
      <c r="CG38" s="56"/>
      <c r="CH38" s="56"/>
      <c r="CI38" s="56"/>
      <c r="CJ38" s="56"/>
      <c r="CK38" s="56"/>
      <c r="CL38" s="56"/>
      <c r="CM38" s="56"/>
      <c r="CN38" s="56"/>
      <c r="CO38" s="56"/>
      <c r="CP38" s="56"/>
      <c r="CQ38" s="56"/>
      <c r="CR38" s="56"/>
      <c r="CS38" s="56"/>
      <c r="CT38" s="56"/>
      <c r="CU38" s="56"/>
      <c r="CV38" s="56"/>
      <c r="CW38" s="56"/>
      <c r="CX38" s="56"/>
      <c r="CY38" s="56"/>
      <c r="CZ38" s="56"/>
      <c r="DA38" s="56"/>
      <c r="DB38" s="56"/>
      <c r="DC38" s="56"/>
      <c r="DD38" s="56"/>
      <c r="DE38" s="56"/>
      <c r="DF38" s="56"/>
      <c r="DG38" s="56"/>
      <c r="DH38" s="56"/>
      <c r="DI38" s="56"/>
      <c r="DJ38" s="56"/>
      <c r="DK38" s="56"/>
      <c r="DL38" s="56"/>
      <c r="DM38" s="56"/>
      <c r="DN38" s="56"/>
      <c r="DO38" s="56"/>
      <c r="DP38" s="56"/>
      <c r="DQ38" s="56"/>
      <c r="DR38" s="56"/>
      <c r="DS38" s="56"/>
      <c r="DT38" s="56"/>
      <c r="DU38" s="56"/>
    </row>
    <row r="39" spans="2:125" ht="15.5" customHeight="1">
      <c r="B39" s="112" t="s">
        <v>147</v>
      </c>
      <c r="C39" s="78">
        <v>4311</v>
      </c>
      <c r="D39" s="78" t="s">
        <v>35</v>
      </c>
      <c r="E39" s="113">
        <f t="shared" si="12"/>
        <v>0</v>
      </c>
      <c r="F39" s="56">
        <v>0</v>
      </c>
      <c r="G39" s="56">
        <v>0</v>
      </c>
      <c r="H39" s="56">
        <v>0</v>
      </c>
      <c r="I39" s="56">
        <v>0</v>
      </c>
      <c r="J39" s="56">
        <f>'Исходные данные'!J36</f>
        <v>0</v>
      </c>
      <c r="K39" s="56">
        <f>'Исходные данные'!K36</f>
        <v>0</v>
      </c>
      <c r="L39" s="56">
        <f>'Исходные данные'!L36</f>
        <v>0</v>
      </c>
      <c r="M39" s="56">
        <f>'Исходные данные'!M36</f>
        <v>0</v>
      </c>
      <c r="N39" s="56">
        <f>'Исходные данные'!N36</f>
        <v>0</v>
      </c>
      <c r="O39" s="56">
        <f>'Исходные данные'!O36</f>
        <v>0</v>
      </c>
      <c r="P39" s="56">
        <f>'Исходные данные'!P36</f>
        <v>0</v>
      </c>
      <c r="Q39" s="56">
        <f>'Исходные данные'!Q36</f>
        <v>0</v>
      </c>
      <c r="R39" s="56">
        <f>'Исходные данные'!R36</f>
        <v>0</v>
      </c>
      <c r="S39" s="56">
        <f>'Исходные данные'!S36</f>
        <v>0</v>
      </c>
      <c r="T39" s="56">
        <f>'Исходные данные'!T36</f>
        <v>0</v>
      </c>
      <c r="U39" s="56">
        <f>'Исходные данные'!U36</f>
        <v>0</v>
      </c>
      <c r="V39" s="56">
        <f>'Исходные данные'!V36</f>
        <v>0</v>
      </c>
      <c r="W39" s="56">
        <f>'Исходные данные'!W36</f>
        <v>0</v>
      </c>
      <c r="X39" s="56">
        <f>'Исходные данные'!X36</f>
        <v>0</v>
      </c>
      <c r="Y39" s="56">
        <f>'Исходные данные'!Y36</f>
        <v>0</v>
      </c>
      <c r="Z39" s="56">
        <f>'Исходные данные'!Z36</f>
        <v>0</v>
      </c>
      <c r="AA39" s="56">
        <f>'Исходные данные'!AA36</f>
        <v>0</v>
      </c>
      <c r="AB39" s="56">
        <f>'Исходные данные'!AB36</f>
        <v>0</v>
      </c>
      <c r="AC39" s="56">
        <f>'Исходные данные'!AC36</f>
        <v>0</v>
      </c>
      <c r="AD39" s="56">
        <f>'Исходные данные'!AD36</f>
        <v>0</v>
      </c>
      <c r="AE39" s="56">
        <f>'Исходные данные'!AE36</f>
        <v>0</v>
      </c>
      <c r="AF39" s="56">
        <f>'Исходные данные'!AF36</f>
        <v>0</v>
      </c>
      <c r="AG39" s="56">
        <f>'Исходные данные'!AG36</f>
        <v>0</v>
      </c>
      <c r="AH39" s="56">
        <f>'Исходные данные'!AH36</f>
        <v>0</v>
      </c>
      <c r="AI39" s="56">
        <f>'Исходные данные'!AI36</f>
        <v>0</v>
      </c>
      <c r="AJ39" s="56">
        <f>'Исходные данные'!AJ36</f>
        <v>0</v>
      </c>
      <c r="AK39" s="56">
        <f>'Исходные данные'!AK36</f>
        <v>0</v>
      </c>
      <c r="AL39" s="56">
        <f>'Исходные данные'!AL36</f>
        <v>0</v>
      </c>
      <c r="AM39" s="56">
        <f>'Исходные данные'!AM36</f>
        <v>0</v>
      </c>
      <c r="AN39" s="56">
        <f>'Исходные данные'!AN36</f>
        <v>0</v>
      </c>
      <c r="AO39" s="56">
        <f>'Исходные данные'!AO36</f>
        <v>0</v>
      </c>
      <c r="AP39" s="56">
        <v>0</v>
      </c>
      <c r="AQ39" s="56">
        <v>0</v>
      </c>
      <c r="AR39" s="56">
        <v>0</v>
      </c>
      <c r="AS39" s="56">
        <v>0</v>
      </c>
      <c r="AT39" s="56">
        <f>'Исходные данные'!AT36</f>
        <v>0</v>
      </c>
      <c r="AU39" s="56">
        <f>'Исходные данные'!AU36</f>
        <v>0</v>
      </c>
      <c r="AV39" s="56">
        <f>'Исходные данные'!AV36</f>
        <v>0</v>
      </c>
      <c r="AW39" s="56">
        <f>'Исходные данные'!AW36</f>
        <v>0</v>
      </c>
      <c r="AX39" s="56">
        <f>'Исходные данные'!AX36</f>
        <v>0</v>
      </c>
      <c r="AY39" s="56">
        <f>'Исходные данные'!AY36</f>
        <v>0</v>
      </c>
      <c r="AZ39" s="56">
        <f>'Исходные данные'!AZ36</f>
        <v>0</v>
      </c>
      <c r="BA39" s="56">
        <f>'Исходные данные'!BA36</f>
        <v>0</v>
      </c>
      <c r="BB39" s="56">
        <f>'Исходные данные'!BB36</f>
        <v>0</v>
      </c>
      <c r="BC39" s="56">
        <f>'Исходные данные'!BC36</f>
        <v>0</v>
      </c>
      <c r="BD39" s="56">
        <f>'Исходные данные'!BD36</f>
        <v>0</v>
      </c>
      <c r="BE39" s="56">
        <f>'Исходные данные'!BE36</f>
        <v>0</v>
      </c>
      <c r="BF39" s="56">
        <f>'Исходные данные'!BF36</f>
        <v>0</v>
      </c>
      <c r="BG39" s="56">
        <f>'Исходные данные'!BG36</f>
        <v>0</v>
      </c>
      <c r="BH39" s="56">
        <f>'Исходные данные'!BH36</f>
        <v>0</v>
      </c>
      <c r="BI39" s="56">
        <f>'Исходные данные'!BI36</f>
        <v>0</v>
      </c>
      <c r="BJ39" s="56">
        <f>'Исходные данные'!BJ36</f>
        <v>0</v>
      </c>
      <c r="BK39" s="56">
        <f>'Исходные данные'!BK36</f>
        <v>0</v>
      </c>
      <c r="BL39" s="56">
        <f>'Исходные данные'!BL36</f>
        <v>0</v>
      </c>
      <c r="BM39" s="56">
        <f>'Исходные данные'!BM36</f>
        <v>0</v>
      </c>
      <c r="BN39" s="56">
        <f>'Исходные данные'!BN36</f>
        <v>0</v>
      </c>
      <c r="BO39" s="56">
        <f>'Исходные данные'!BO36</f>
        <v>0</v>
      </c>
      <c r="BP39" s="56">
        <f>'Исходные данные'!BP36</f>
        <v>0</v>
      </c>
      <c r="BQ39" s="56">
        <f>'Исходные данные'!BQ36</f>
        <v>0</v>
      </c>
      <c r="BR39" s="56">
        <f>'Исходные данные'!BR36</f>
        <v>0</v>
      </c>
      <c r="BS39" s="56">
        <f>'Исходные данные'!BS36</f>
        <v>0</v>
      </c>
      <c r="BT39" s="56">
        <f>'Исходные данные'!BT36</f>
        <v>0</v>
      </c>
      <c r="BU39" s="56">
        <f>'Исходные данные'!BU36</f>
        <v>0</v>
      </c>
      <c r="BV39" s="56">
        <f>'Исходные данные'!BV36</f>
        <v>0</v>
      </c>
      <c r="BW39" s="56">
        <f>'Исходные данные'!BW36</f>
        <v>0</v>
      </c>
      <c r="BX39" s="56">
        <f>'Исходные данные'!BX36</f>
        <v>0</v>
      </c>
      <c r="BY39" s="56">
        <f>'Исходные данные'!BY36</f>
        <v>0</v>
      </c>
      <c r="BZ39" s="56">
        <v>0</v>
      </c>
      <c r="CA39" s="56">
        <v>0</v>
      </c>
      <c r="CB39" s="56">
        <v>0</v>
      </c>
      <c r="CC39" s="56">
        <v>0</v>
      </c>
      <c r="CD39" s="56">
        <f>'Исходные данные'!CD36</f>
        <v>0</v>
      </c>
      <c r="CE39" s="56">
        <f>'Исходные данные'!CE36</f>
        <v>0</v>
      </c>
      <c r="CF39" s="56">
        <f>'Исходные данные'!CF36</f>
        <v>0</v>
      </c>
      <c r="CG39" s="56">
        <f>'Исходные данные'!CG36</f>
        <v>0</v>
      </c>
      <c r="CH39" s="56">
        <f>'Исходные данные'!CH36</f>
        <v>0</v>
      </c>
      <c r="CI39" s="56">
        <f>'Исходные данные'!CI36</f>
        <v>0</v>
      </c>
      <c r="CJ39" s="56">
        <f>'Исходные данные'!CJ36</f>
        <v>0</v>
      </c>
      <c r="CK39" s="56">
        <f>'Исходные данные'!CK36</f>
        <v>0</v>
      </c>
      <c r="CL39" s="56">
        <f>'Исходные данные'!CL36</f>
        <v>0</v>
      </c>
      <c r="CM39" s="56">
        <f>'Исходные данные'!CM36</f>
        <v>0</v>
      </c>
      <c r="CN39" s="56">
        <f>'Исходные данные'!CN36</f>
        <v>0</v>
      </c>
      <c r="CO39" s="56">
        <f>'Исходные данные'!CO36</f>
        <v>0</v>
      </c>
      <c r="CP39" s="56">
        <f>'Исходные данные'!CP36</f>
        <v>0</v>
      </c>
      <c r="CQ39" s="56">
        <f>'Исходные данные'!CQ36</f>
        <v>0</v>
      </c>
      <c r="CR39" s="56">
        <f>'Исходные данные'!CR36</f>
        <v>0</v>
      </c>
      <c r="CS39" s="56">
        <f>'Исходные данные'!CS36</f>
        <v>0</v>
      </c>
      <c r="CT39" s="56">
        <f>'Исходные данные'!CT36</f>
        <v>0</v>
      </c>
      <c r="CU39" s="56">
        <f>'Исходные данные'!CU36</f>
        <v>0</v>
      </c>
      <c r="CV39" s="56">
        <f>'Исходные данные'!CV36</f>
        <v>0</v>
      </c>
      <c r="CW39" s="56">
        <f>'Исходные данные'!CW36</f>
        <v>0</v>
      </c>
      <c r="CX39" s="56">
        <f>'Исходные данные'!CX36</f>
        <v>0</v>
      </c>
      <c r="CY39" s="56">
        <f>'Исходные данные'!CY36</f>
        <v>0</v>
      </c>
      <c r="CZ39" s="56">
        <f>'Исходные данные'!CZ36</f>
        <v>0</v>
      </c>
      <c r="DA39" s="56">
        <f>'Исходные данные'!DA36</f>
        <v>0</v>
      </c>
      <c r="DB39" s="56">
        <f>'Исходные данные'!DB36</f>
        <v>0</v>
      </c>
      <c r="DC39" s="56">
        <f>'Исходные данные'!DC36</f>
        <v>0</v>
      </c>
      <c r="DD39" s="56">
        <f>'Исходные данные'!DD36</f>
        <v>0</v>
      </c>
      <c r="DE39" s="56">
        <f>'Исходные данные'!DE36</f>
        <v>0</v>
      </c>
      <c r="DF39" s="56">
        <f>'Исходные данные'!DF36</f>
        <v>0</v>
      </c>
      <c r="DG39" s="56">
        <f>'Исходные данные'!DG36</f>
        <v>0</v>
      </c>
      <c r="DH39" s="56">
        <f>'Исходные данные'!DH36</f>
        <v>0</v>
      </c>
      <c r="DI39" s="56">
        <f>'Исходные данные'!DI36</f>
        <v>0</v>
      </c>
      <c r="DJ39" s="56">
        <v>0</v>
      </c>
      <c r="DK39" s="56">
        <v>0</v>
      </c>
      <c r="DL39" s="56">
        <v>0</v>
      </c>
      <c r="DM39" s="56">
        <v>0</v>
      </c>
      <c r="DN39" s="56">
        <f>'Исходные данные'!DN36</f>
        <v>0</v>
      </c>
      <c r="DO39" s="56">
        <f>'Исходные данные'!DO36</f>
        <v>0</v>
      </c>
      <c r="DP39" s="56">
        <f>'Исходные данные'!DP36</f>
        <v>0</v>
      </c>
      <c r="DQ39" s="56">
        <f>'Исходные данные'!DQ36</f>
        <v>0</v>
      </c>
      <c r="DR39" s="56">
        <f>'Исходные данные'!DR36</f>
        <v>0</v>
      </c>
      <c r="DS39" s="56">
        <f>'Исходные данные'!DS36</f>
        <v>0</v>
      </c>
      <c r="DT39" s="56">
        <f>'Исходные данные'!DT36</f>
        <v>0</v>
      </c>
      <c r="DU39" s="56">
        <f>'Исходные данные'!DU36</f>
        <v>0</v>
      </c>
    </row>
    <row r="40" spans="2:125" ht="15.5" customHeight="1">
      <c r="B40" s="114" t="s">
        <v>148</v>
      </c>
      <c r="C40" s="5">
        <v>4312</v>
      </c>
      <c r="D40" s="78" t="s">
        <v>35</v>
      </c>
      <c r="E40" s="113">
        <f>SUM(F40:DY40)</f>
        <v>0</v>
      </c>
      <c r="F40" s="56">
        <v>0</v>
      </c>
      <c r="G40" s="56">
        <v>0</v>
      </c>
      <c r="H40" s="56">
        <v>0</v>
      </c>
      <c r="I40" s="56">
        <v>0</v>
      </c>
      <c r="J40" s="56">
        <v>0</v>
      </c>
      <c r="K40" s="56">
        <v>0</v>
      </c>
      <c r="L40" s="56">
        <v>0</v>
      </c>
      <c r="M40" s="56">
        <v>0</v>
      </c>
      <c r="N40" s="56">
        <v>0</v>
      </c>
      <c r="O40" s="56">
        <v>0</v>
      </c>
      <c r="P40" s="56">
        <v>0</v>
      </c>
      <c r="Q40" s="56">
        <v>0</v>
      </c>
      <c r="R40" s="56">
        <v>0</v>
      </c>
      <c r="S40" s="56">
        <v>0</v>
      </c>
      <c r="T40" s="56">
        <v>0</v>
      </c>
      <c r="U40" s="56">
        <v>0</v>
      </c>
      <c r="V40" s="56">
        <v>0</v>
      </c>
      <c r="W40" s="56">
        <v>0</v>
      </c>
      <c r="X40" s="56">
        <v>0</v>
      </c>
      <c r="Y40" s="56">
        <v>0</v>
      </c>
      <c r="Z40" s="56">
        <v>0</v>
      </c>
      <c r="AA40" s="56">
        <v>0</v>
      </c>
      <c r="AB40" s="56">
        <v>0</v>
      </c>
      <c r="AC40" s="56">
        <v>0</v>
      </c>
      <c r="AD40" s="56">
        <v>0</v>
      </c>
      <c r="AE40" s="56">
        <v>0</v>
      </c>
      <c r="AF40" s="56">
        <v>0</v>
      </c>
      <c r="AG40" s="56">
        <v>0</v>
      </c>
      <c r="AH40" s="56">
        <v>0</v>
      </c>
      <c r="AI40" s="56">
        <v>0</v>
      </c>
      <c r="AJ40" s="56">
        <v>0</v>
      </c>
      <c r="AK40" s="56">
        <v>0</v>
      </c>
      <c r="AL40" s="56">
        <v>0</v>
      </c>
      <c r="AM40" s="56">
        <v>0</v>
      </c>
      <c r="AN40" s="56">
        <v>0</v>
      </c>
      <c r="AO40" s="56">
        <v>0</v>
      </c>
      <c r="AP40" s="56">
        <v>0</v>
      </c>
      <c r="AQ40" s="56">
        <v>0</v>
      </c>
      <c r="AR40" s="56">
        <v>0</v>
      </c>
      <c r="AS40" s="56">
        <v>0</v>
      </c>
      <c r="AT40" s="56">
        <v>0</v>
      </c>
      <c r="AU40" s="56">
        <v>0</v>
      </c>
      <c r="AV40" s="56">
        <v>0</v>
      </c>
      <c r="AW40" s="56">
        <v>0</v>
      </c>
      <c r="AX40" s="56">
        <v>0</v>
      </c>
      <c r="AY40" s="56">
        <v>0</v>
      </c>
      <c r="AZ40" s="56">
        <v>0</v>
      </c>
      <c r="BA40" s="56">
        <v>0</v>
      </c>
      <c r="BB40" s="56">
        <v>0</v>
      </c>
      <c r="BC40" s="56">
        <v>0</v>
      </c>
      <c r="BD40" s="56">
        <v>0</v>
      </c>
      <c r="BE40" s="56">
        <v>0</v>
      </c>
      <c r="BF40" s="56">
        <v>0</v>
      </c>
      <c r="BG40" s="56">
        <v>0</v>
      </c>
      <c r="BH40" s="56">
        <v>0</v>
      </c>
      <c r="BI40" s="56">
        <v>0</v>
      </c>
      <c r="BJ40" s="56">
        <v>0</v>
      </c>
      <c r="BK40" s="56">
        <v>0</v>
      </c>
      <c r="BL40" s="56">
        <v>0</v>
      </c>
      <c r="BM40" s="56">
        <v>0</v>
      </c>
      <c r="BN40" s="56">
        <v>0</v>
      </c>
      <c r="BO40" s="56">
        <v>0</v>
      </c>
      <c r="BP40" s="56">
        <v>0</v>
      </c>
      <c r="BQ40" s="56">
        <v>0</v>
      </c>
      <c r="BR40" s="56">
        <v>0</v>
      </c>
      <c r="BS40" s="56">
        <v>0</v>
      </c>
      <c r="BT40" s="56">
        <v>0</v>
      </c>
      <c r="BU40" s="56">
        <v>0</v>
      </c>
      <c r="BV40" s="56">
        <v>0</v>
      </c>
      <c r="BW40" s="56">
        <v>0</v>
      </c>
      <c r="BX40" s="56">
        <v>0</v>
      </c>
      <c r="BY40" s="56">
        <v>0</v>
      </c>
      <c r="BZ40" s="56">
        <v>0</v>
      </c>
      <c r="CA40" s="56">
        <v>0</v>
      </c>
      <c r="CB40" s="56">
        <v>0</v>
      </c>
      <c r="CC40" s="56">
        <v>0</v>
      </c>
      <c r="CD40" s="56">
        <v>0</v>
      </c>
      <c r="CE40" s="56">
        <v>0</v>
      </c>
      <c r="CF40" s="56">
        <v>0</v>
      </c>
      <c r="CG40" s="56">
        <v>0</v>
      </c>
      <c r="CH40" s="56">
        <v>0</v>
      </c>
      <c r="CI40" s="56">
        <v>0</v>
      </c>
      <c r="CJ40" s="56">
        <v>0</v>
      </c>
      <c r="CK40" s="56">
        <v>0</v>
      </c>
      <c r="CL40" s="56">
        <v>0</v>
      </c>
      <c r="CM40" s="56">
        <v>0</v>
      </c>
      <c r="CN40" s="56">
        <v>0</v>
      </c>
      <c r="CO40" s="56">
        <v>0</v>
      </c>
      <c r="CP40" s="56">
        <v>0</v>
      </c>
      <c r="CQ40" s="56">
        <v>0</v>
      </c>
      <c r="CR40" s="56">
        <v>0</v>
      </c>
      <c r="CS40" s="56">
        <v>0</v>
      </c>
      <c r="CT40" s="56">
        <v>0</v>
      </c>
      <c r="CU40" s="56">
        <v>0</v>
      </c>
      <c r="CV40" s="56">
        <v>0</v>
      </c>
      <c r="CW40" s="56">
        <v>0</v>
      </c>
      <c r="CX40" s="56">
        <v>0</v>
      </c>
      <c r="CY40" s="56">
        <v>0</v>
      </c>
      <c r="CZ40" s="56">
        <v>0</v>
      </c>
      <c r="DA40" s="56">
        <v>0</v>
      </c>
      <c r="DB40" s="56">
        <v>0</v>
      </c>
      <c r="DC40" s="56">
        <v>0</v>
      </c>
      <c r="DD40" s="56">
        <v>0</v>
      </c>
      <c r="DE40" s="56">
        <v>0</v>
      </c>
      <c r="DF40" s="56">
        <v>0</v>
      </c>
      <c r="DG40" s="56">
        <v>0</v>
      </c>
      <c r="DH40" s="56">
        <v>0</v>
      </c>
      <c r="DI40" s="56">
        <v>0</v>
      </c>
      <c r="DJ40" s="56">
        <v>0</v>
      </c>
      <c r="DK40" s="56">
        <v>0</v>
      </c>
      <c r="DL40" s="56">
        <v>0</v>
      </c>
      <c r="DM40" s="56">
        <v>0</v>
      </c>
      <c r="DN40" s="56">
        <v>0</v>
      </c>
      <c r="DO40" s="56">
        <v>0</v>
      </c>
      <c r="DP40" s="56">
        <v>0</v>
      </c>
      <c r="DQ40" s="56">
        <v>0</v>
      </c>
      <c r="DR40" s="56">
        <v>0</v>
      </c>
      <c r="DS40" s="56">
        <v>0</v>
      </c>
      <c r="DT40" s="56">
        <v>0</v>
      </c>
      <c r="DU40" s="56">
        <v>0</v>
      </c>
    </row>
    <row r="41" spans="2:125" ht="15.5" customHeight="1">
      <c r="B41" s="114" t="s">
        <v>149</v>
      </c>
      <c r="C41" s="5">
        <v>4313</v>
      </c>
      <c r="D41" s="78" t="s">
        <v>35</v>
      </c>
      <c r="E41" s="113">
        <f t="shared" si="12"/>
        <v>0</v>
      </c>
      <c r="F41" s="56">
        <v>0</v>
      </c>
      <c r="G41" s="56">
        <v>0</v>
      </c>
      <c r="H41" s="56">
        <v>0</v>
      </c>
      <c r="I41" s="56">
        <v>0</v>
      </c>
      <c r="J41" s="56">
        <v>0</v>
      </c>
      <c r="K41" s="56">
        <v>0</v>
      </c>
      <c r="L41" s="56">
        <v>0</v>
      </c>
      <c r="M41" s="56">
        <v>0</v>
      </c>
      <c r="N41" s="56">
        <v>0</v>
      </c>
      <c r="O41" s="56">
        <v>0</v>
      </c>
      <c r="P41" s="56">
        <v>0</v>
      </c>
      <c r="Q41" s="56">
        <v>0</v>
      </c>
      <c r="R41" s="56">
        <v>0</v>
      </c>
      <c r="S41" s="56">
        <v>0</v>
      </c>
      <c r="T41" s="56">
        <v>0</v>
      </c>
      <c r="U41" s="56">
        <v>0</v>
      </c>
      <c r="V41" s="56">
        <v>0</v>
      </c>
      <c r="W41" s="56">
        <v>0</v>
      </c>
      <c r="X41" s="56">
        <v>0</v>
      </c>
      <c r="Y41" s="56">
        <v>0</v>
      </c>
      <c r="Z41" s="56">
        <v>0</v>
      </c>
      <c r="AA41" s="56">
        <v>0</v>
      </c>
      <c r="AB41" s="56">
        <v>0</v>
      </c>
      <c r="AC41" s="56">
        <v>0</v>
      </c>
      <c r="AD41" s="56">
        <v>0</v>
      </c>
      <c r="AE41" s="56">
        <v>0</v>
      </c>
      <c r="AF41" s="56">
        <v>0</v>
      </c>
      <c r="AG41" s="56">
        <v>0</v>
      </c>
      <c r="AH41" s="56">
        <v>0</v>
      </c>
      <c r="AI41" s="56">
        <v>0</v>
      </c>
      <c r="AJ41" s="56">
        <v>0</v>
      </c>
      <c r="AK41" s="56">
        <v>0</v>
      </c>
      <c r="AL41" s="56">
        <v>0</v>
      </c>
      <c r="AM41" s="56">
        <v>0</v>
      </c>
      <c r="AN41" s="56">
        <v>0</v>
      </c>
      <c r="AO41" s="56">
        <v>0</v>
      </c>
      <c r="AP41" s="56">
        <v>0</v>
      </c>
      <c r="AQ41" s="56">
        <v>0</v>
      </c>
      <c r="AR41" s="56">
        <v>0</v>
      </c>
      <c r="AS41" s="56">
        <v>0</v>
      </c>
      <c r="AT41" s="56">
        <v>0</v>
      </c>
      <c r="AU41" s="56">
        <v>0</v>
      </c>
      <c r="AV41" s="56">
        <v>0</v>
      </c>
      <c r="AW41" s="56">
        <v>0</v>
      </c>
      <c r="AX41" s="56">
        <v>0</v>
      </c>
      <c r="AY41" s="56">
        <v>0</v>
      </c>
      <c r="AZ41" s="56">
        <v>0</v>
      </c>
      <c r="BA41" s="56">
        <v>0</v>
      </c>
      <c r="BB41" s="56">
        <v>0</v>
      </c>
      <c r="BC41" s="56">
        <v>0</v>
      </c>
      <c r="BD41" s="56">
        <v>0</v>
      </c>
      <c r="BE41" s="56">
        <v>0</v>
      </c>
      <c r="BF41" s="56">
        <v>0</v>
      </c>
      <c r="BG41" s="56">
        <v>0</v>
      </c>
      <c r="BH41" s="56">
        <v>0</v>
      </c>
      <c r="BI41" s="56">
        <v>0</v>
      </c>
      <c r="BJ41" s="56">
        <v>0</v>
      </c>
      <c r="BK41" s="56">
        <v>0</v>
      </c>
      <c r="BL41" s="56">
        <v>0</v>
      </c>
      <c r="BM41" s="56">
        <v>0</v>
      </c>
      <c r="BN41" s="56">
        <v>0</v>
      </c>
      <c r="BO41" s="56">
        <v>0</v>
      </c>
      <c r="BP41" s="56">
        <v>0</v>
      </c>
      <c r="BQ41" s="56">
        <v>0</v>
      </c>
      <c r="BR41" s="56">
        <v>0</v>
      </c>
      <c r="BS41" s="56">
        <v>0</v>
      </c>
      <c r="BT41" s="56">
        <v>0</v>
      </c>
      <c r="BU41" s="56">
        <v>0</v>
      </c>
      <c r="BV41" s="56">
        <v>0</v>
      </c>
      <c r="BW41" s="56">
        <v>0</v>
      </c>
      <c r="BX41" s="56">
        <v>0</v>
      </c>
      <c r="BY41" s="56">
        <v>0</v>
      </c>
      <c r="BZ41" s="56">
        <v>0</v>
      </c>
      <c r="CA41" s="56">
        <v>0</v>
      </c>
      <c r="CB41" s="56">
        <v>0</v>
      </c>
      <c r="CC41" s="56">
        <v>0</v>
      </c>
      <c r="CD41" s="56">
        <v>0</v>
      </c>
      <c r="CE41" s="56">
        <v>0</v>
      </c>
      <c r="CF41" s="56">
        <v>0</v>
      </c>
      <c r="CG41" s="56">
        <v>0</v>
      </c>
      <c r="CH41" s="56">
        <v>0</v>
      </c>
      <c r="CI41" s="56">
        <v>0</v>
      </c>
      <c r="CJ41" s="56">
        <v>0</v>
      </c>
      <c r="CK41" s="56">
        <v>0</v>
      </c>
      <c r="CL41" s="56">
        <v>0</v>
      </c>
      <c r="CM41" s="56">
        <v>0</v>
      </c>
      <c r="CN41" s="56">
        <v>0</v>
      </c>
      <c r="CO41" s="56">
        <v>0</v>
      </c>
      <c r="CP41" s="56">
        <v>0</v>
      </c>
      <c r="CQ41" s="56">
        <v>0</v>
      </c>
      <c r="CR41" s="56">
        <v>0</v>
      </c>
      <c r="CS41" s="56">
        <v>0</v>
      </c>
      <c r="CT41" s="56">
        <v>0</v>
      </c>
      <c r="CU41" s="56">
        <v>0</v>
      </c>
      <c r="CV41" s="56">
        <v>0</v>
      </c>
      <c r="CW41" s="56">
        <v>0</v>
      </c>
      <c r="CX41" s="56">
        <v>0</v>
      </c>
      <c r="CY41" s="56">
        <v>0</v>
      </c>
      <c r="CZ41" s="56">
        <v>0</v>
      </c>
      <c r="DA41" s="56">
        <v>0</v>
      </c>
      <c r="DB41" s="56">
        <v>0</v>
      </c>
      <c r="DC41" s="56">
        <v>0</v>
      </c>
      <c r="DD41" s="56">
        <v>0</v>
      </c>
      <c r="DE41" s="56">
        <v>0</v>
      </c>
      <c r="DF41" s="56">
        <v>0</v>
      </c>
      <c r="DG41" s="56">
        <v>0</v>
      </c>
      <c r="DH41" s="56">
        <v>0</v>
      </c>
      <c r="DI41" s="56">
        <v>0</v>
      </c>
      <c r="DJ41" s="56">
        <v>0</v>
      </c>
      <c r="DK41" s="56">
        <v>0</v>
      </c>
      <c r="DL41" s="56">
        <v>0</v>
      </c>
      <c r="DM41" s="56">
        <v>0</v>
      </c>
      <c r="DN41" s="56">
        <v>0</v>
      </c>
      <c r="DO41" s="56">
        <v>0</v>
      </c>
      <c r="DP41" s="56">
        <v>0</v>
      </c>
      <c r="DQ41" s="56">
        <v>0</v>
      </c>
      <c r="DR41" s="56">
        <v>0</v>
      </c>
      <c r="DS41" s="56">
        <v>0</v>
      </c>
      <c r="DT41" s="56">
        <v>0</v>
      </c>
      <c r="DU41" s="56">
        <v>0</v>
      </c>
    </row>
    <row r="42" spans="2:125" ht="26" customHeight="1">
      <c r="B42" s="114" t="s">
        <v>150</v>
      </c>
      <c r="C42" s="5">
        <v>4314</v>
      </c>
      <c r="D42" s="78" t="s">
        <v>35</v>
      </c>
      <c r="E42" s="113">
        <f t="shared" si="12"/>
        <v>0</v>
      </c>
      <c r="F42" s="56">
        <v>0</v>
      </c>
      <c r="G42" s="56">
        <v>0</v>
      </c>
      <c r="H42" s="56">
        <v>0</v>
      </c>
      <c r="I42" s="56">
        <v>0</v>
      </c>
      <c r="J42" s="56">
        <v>0</v>
      </c>
      <c r="K42" s="56">
        <v>0</v>
      </c>
      <c r="L42" s="56">
        <v>0</v>
      </c>
      <c r="M42" s="56">
        <v>0</v>
      </c>
      <c r="N42" s="56">
        <v>0</v>
      </c>
      <c r="O42" s="56">
        <v>0</v>
      </c>
      <c r="P42" s="56">
        <v>0</v>
      </c>
      <c r="Q42" s="56">
        <v>0</v>
      </c>
      <c r="R42" s="56">
        <v>0</v>
      </c>
      <c r="S42" s="56">
        <v>0</v>
      </c>
      <c r="T42" s="56">
        <v>0</v>
      </c>
      <c r="U42" s="56">
        <v>0</v>
      </c>
      <c r="V42" s="56">
        <v>0</v>
      </c>
      <c r="W42" s="56">
        <v>0</v>
      </c>
      <c r="X42" s="56">
        <v>0</v>
      </c>
      <c r="Y42" s="56">
        <v>0</v>
      </c>
      <c r="Z42" s="56">
        <v>0</v>
      </c>
      <c r="AA42" s="56">
        <v>0</v>
      </c>
      <c r="AB42" s="56">
        <v>0</v>
      </c>
      <c r="AC42" s="56">
        <v>0</v>
      </c>
      <c r="AD42" s="56">
        <v>0</v>
      </c>
      <c r="AE42" s="56">
        <v>0</v>
      </c>
      <c r="AF42" s="56">
        <v>0</v>
      </c>
      <c r="AG42" s="56">
        <v>0</v>
      </c>
      <c r="AH42" s="56">
        <v>0</v>
      </c>
      <c r="AI42" s="56">
        <v>0</v>
      </c>
      <c r="AJ42" s="56">
        <v>0</v>
      </c>
      <c r="AK42" s="56">
        <v>0</v>
      </c>
      <c r="AL42" s="56">
        <v>0</v>
      </c>
      <c r="AM42" s="56">
        <v>0</v>
      </c>
      <c r="AN42" s="56">
        <v>0</v>
      </c>
      <c r="AO42" s="56">
        <v>0</v>
      </c>
      <c r="AP42" s="56">
        <v>0</v>
      </c>
      <c r="AQ42" s="56">
        <v>0</v>
      </c>
      <c r="AR42" s="56">
        <v>0</v>
      </c>
      <c r="AS42" s="56">
        <v>0</v>
      </c>
      <c r="AT42" s="56">
        <v>0</v>
      </c>
      <c r="AU42" s="56">
        <v>0</v>
      </c>
      <c r="AV42" s="56">
        <v>0</v>
      </c>
      <c r="AW42" s="56">
        <v>0</v>
      </c>
      <c r="AX42" s="56">
        <v>0</v>
      </c>
      <c r="AY42" s="56">
        <v>0</v>
      </c>
      <c r="AZ42" s="56">
        <v>0</v>
      </c>
      <c r="BA42" s="56">
        <v>0</v>
      </c>
      <c r="BB42" s="56">
        <v>0</v>
      </c>
      <c r="BC42" s="56">
        <v>0</v>
      </c>
      <c r="BD42" s="56">
        <v>0</v>
      </c>
      <c r="BE42" s="56">
        <v>0</v>
      </c>
      <c r="BF42" s="56">
        <v>0</v>
      </c>
      <c r="BG42" s="56">
        <v>0</v>
      </c>
      <c r="BH42" s="56">
        <v>0</v>
      </c>
      <c r="BI42" s="56">
        <v>0</v>
      </c>
      <c r="BJ42" s="56">
        <v>0</v>
      </c>
      <c r="BK42" s="56">
        <v>0</v>
      </c>
      <c r="BL42" s="56">
        <v>0</v>
      </c>
      <c r="BM42" s="56">
        <v>0</v>
      </c>
      <c r="BN42" s="56">
        <v>0</v>
      </c>
      <c r="BO42" s="56">
        <v>0</v>
      </c>
      <c r="BP42" s="56">
        <v>0</v>
      </c>
      <c r="BQ42" s="56">
        <v>0</v>
      </c>
      <c r="BR42" s="56">
        <v>0</v>
      </c>
      <c r="BS42" s="56">
        <v>0</v>
      </c>
      <c r="BT42" s="56">
        <v>0</v>
      </c>
      <c r="BU42" s="56">
        <v>0</v>
      </c>
      <c r="BV42" s="56">
        <v>0</v>
      </c>
      <c r="BW42" s="56">
        <v>0</v>
      </c>
      <c r="BX42" s="56">
        <v>0</v>
      </c>
      <c r="BY42" s="56">
        <v>0</v>
      </c>
      <c r="BZ42" s="56">
        <v>0</v>
      </c>
      <c r="CA42" s="56">
        <v>0</v>
      </c>
      <c r="CB42" s="56">
        <v>0</v>
      </c>
      <c r="CC42" s="56">
        <v>0</v>
      </c>
      <c r="CD42" s="56">
        <v>0</v>
      </c>
      <c r="CE42" s="56">
        <v>0</v>
      </c>
      <c r="CF42" s="56">
        <v>0</v>
      </c>
      <c r="CG42" s="56">
        <v>0</v>
      </c>
      <c r="CH42" s="56">
        <v>0</v>
      </c>
      <c r="CI42" s="56">
        <v>0</v>
      </c>
      <c r="CJ42" s="56">
        <v>0</v>
      </c>
      <c r="CK42" s="56">
        <v>0</v>
      </c>
      <c r="CL42" s="56">
        <v>0</v>
      </c>
      <c r="CM42" s="56">
        <v>0</v>
      </c>
      <c r="CN42" s="56">
        <v>0</v>
      </c>
      <c r="CO42" s="56">
        <v>0</v>
      </c>
      <c r="CP42" s="56">
        <v>0</v>
      </c>
      <c r="CQ42" s="56">
        <v>0</v>
      </c>
      <c r="CR42" s="56">
        <v>0</v>
      </c>
      <c r="CS42" s="56">
        <v>0</v>
      </c>
      <c r="CT42" s="56">
        <v>0</v>
      </c>
      <c r="CU42" s="56">
        <v>0</v>
      </c>
      <c r="CV42" s="56">
        <v>0</v>
      </c>
      <c r="CW42" s="56">
        <v>0</v>
      </c>
      <c r="CX42" s="56">
        <v>0</v>
      </c>
      <c r="CY42" s="56">
        <v>0</v>
      </c>
      <c r="CZ42" s="56">
        <v>0</v>
      </c>
      <c r="DA42" s="56">
        <v>0</v>
      </c>
      <c r="DB42" s="56">
        <v>0</v>
      </c>
      <c r="DC42" s="56">
        <v>0</v>
      </c>
      <c r="DD42" s="56">
        <v>0</v>
      </c>
      <c r="DE42" s="56">
        <v>0</v>
      </c>
      <c r="DF42" s="56">
        <v>0</v>
      </c>
      <c r="DG42" s="56">
        <v>0</v>
      </c>
      <c r="DH42" s="56">
        <v>0</v>
      </c>
      <c r="DI42" s="56">
        <v>0</v>
      </c>
      <c r="DJ42" s="56">
        <v>0</v>
      </c>
      <c r="DK42" s="56">
        <v>0</v>
      </c>
      <c r="DL42" s="56">
        <v>0</v>
      </c>
      <c r="DM42" s="56">
        <v>0</v>
      </c>
      <c r="DN42" s="56">
        <v>0</v>
      </c>
      <c r="DO42" s="56">
        <v>0</v>
      </c>
      <c r="DP42" s="56">
        <v>0</v>
      </c>
      <c r="DQ42" s="56">
        <v>0</v>
      </c>
      <c r="DR42" s="56">
        <v>0</v>
      </c>
      <c r="DS42" s="56">
        <v>0</v>
      </c>
      <c r="DT42" s="56">
        <v>0</v>
      </c>
      <c r="DU42" s="56">
        <v>0</v>
      </c>
    </row>
    <row r="43" spans="2:125" ht="14" customHeight="1">
      <c r="B43" s="114" t="s">
        <v>121</v>
      </c>
      <c r="C43" s="5">
        <v>4319</v>
      </c>
      <c r="D43" s="78" t="s">
        <v>35</v>
      </c>
      <c r="E43" s="113">
        <f t="shared" si="12"/>
        <v>0</v>
      </c>
      <c r="F43" s="56">
        <v>0</v>
      </c>
      <c r="G43" s="56">
        <v>0</v>
      </c>
      <c r="H43" s="56">
        <v>0</v>
      </c>
      <c r="I43" s="56">
        <v>0</v>
      </c>
      <c r="J43" s="56">
        <v>0</v>
      </c>
      <c r="K43" s="56">
        <v>0</v>
      </c>
      <c r="L43" s="56">
        <v>0</v>
      </c>
      <c r="M43" s="56">
        <v>0</v>
      </c>
      <c r="N43" s="56">
        <v>0</v>
      </c>
      <c r="O43" s="56">
        <v>0</v>
      </c>
      <c r="P43" s="56">
        <v>0</v>
      </c>
      <c r="Q43" s="56">
        <v>0</v>
      </c>
      <c r="R43" s="56">
        <v>0</v>
      </c>
      <c r="S43" s="56">
        <v>0</v>
      </c>
      <c r="T43" s="56">
        <v>0</v>
      </c>
      <c r="U43" s="56">
        <v>0</v>
      </c>
      <c r="V43" s="56">
        <v>0</v>
      </c>
      <c r="W43" s="56">
        <v>0</v>
      </c>
      <c r="X43" s="56">
        <v>0</v>
      </c>
      <c r="Y43" s="56">
        <v>0</v>
      </c>
      <c r="Z43" s="56">
        <v>0</v>
      </c>
      <c r="AA43" s="56">
        <v>0</v>
      </c>
      <c r="AB43" s="56">
        <v>0</v>
      </c>
      <c r="AC43" s="56">
        <v>0</v>
      </c>
      <c r="AD43" s="56">
        <v>0</v>
      </c>
      <c r="AE43" s="56">
        <v>0</v>
      </c>
      <c r="AF43" s="56">
        <v>0</v>
      </c>
      <c r="AG43" s="56">
        <v>0</v>
      </c>
      <c r="AH43" s="56">
        <v>0</v>
      </c>
      <c r="AI43" s="56">
        <v>0</v>
      </c>
      <c r="AJ43" s="56">
        <v>0</v>
      </c>
      <c r="AK43" s="56">
        <v>0</v>
      </c>
      <c r="AL43" s="56">
        <v>0</v>
      </c>
      <c r="AM43" s="56">
        <v>0</v>
      </c>
      <c r="AN43" s="56">
        <v>0</v>
      </c>
      <c r="AO43" s="56">
        <v>0</v>
      </c>
      <c r="AP43" s="56">
        <v>0</v>
      </c>
      <c r="AQ43" s="56">
        <v>0</v>
      </c>
      <c r="AR43" s="56">
        <v>0</v>
      </c>
      <c r="AS43" s="56">
        <v>0</v>
      </c>
      <c r="AT43" s="56">
        <v>0</v>
      </c>
      <c r="AU43" s="56">
        <v>0</v>
      </c>
      <c r="AV43" s="56">
        <v>0</v>
      </c>
      <c r="AW43" s="56">
        <v>0</v>
      </c>
      <c r="AX43" s="56">
        <v>0</v>
      </c>
      <c r="AY43" s="56">
        <v>0</v>
      </c>
      <c r="AZ43" s="56">
        <v>0</v>
      </c>
      <c r="BA43" s="56">
        <v>0</v>
      </c>
      <c r="BB43" s="56">
        <v>0</v>
      </c>
      <c r="BC43" s="56">
        <v>0</v>
      </c>
      <c r="BD43" s="56">
        <v>0</v>
      </c>
      <c r="BE43" s="56">
        <v>0</v>
      </c>
      <c r="BF43" s="56">
        <v>0</v>
      </c>
      <c r="BG43" s="56">
        <v>0</v>
      </c>
      <c r="BH43" s="56">
        <v>0</v>
      </c>
      <c r="BI43" s="56">
        <v>0</v>
      </c>
      <c r="BJ43" s="56">
        <v>0</v>
      </c>
      <c r="BK43" s="56">
        <v>0</v>
      </c>
      <c r="BL43" s="56">
        <v>0</v>
      </c>
      <c r="BM43" s="56">
        <v>0</v>
      </c>
      <c r="BN43" s="56">
        <v>0</v>
      </c>
      <c r="BO43" s="56">
        <v>0</v>
      </c>
      <c r="BP43" s="56">
        <v>0</v>
      </c>
      <c r="BQ43" s="56">
        <v>0</v>
      </c>
      <c r="BR43" s="56">
        <v>0</v>
      </c>
      <c r="BS43" s="56">
        <v>0</v>
      </c>
      <c r="BT43" s="56">
        <v>0</v>
      </c>
      <c r="BU43" s="56">
        <v>0</v>
      </c>
      <c r="BV43" s="56">
        <v>0</v>
      </c>
      <c r="BW43" s="56">
        <v>0</v>
      </c>
      <c r="BX43" s="56">
        <v>0</v>
      </c>
      <c r="BY43" s="56">
        <v>0</v>
      </c>
      <c r="BZ43" s="56">
        <v>0</v>
      </c>
      <c r="CA43" s="56">
        <v>0</v>
      </c>
      <c r="CB43" s="56">
        <v>0</v>
      </c>
      <c r="CC43" s="56">
        <v>0</v>
      </c>
      <c r="CD43" s="56">
        <v>0</v>
      </c>
      <c r="CE43" s="56">
        <v>0</v>
      </c>
      <c r="CF43" s="56">
        <v>0</v>
      </c>
      <c r="CG43" s="56">
        <v>0</v>
      </c>
      <c r="CH43" s="56">
        <v>0</v>
      </c>
      <c r="CI43" s="56">
        <v>0</v>
      </c>
      <c r="CJ43" s="56">
        <v>0</v>
      </c>
      <c r="CK43" s="56">
        <v>0</v>
      </c>
      <c r="CL43" s="56">
        <v>0</v>
      </c>
      <c r="CM43" s="56">
        <v>0</v>
      </c>
      <c r="CN43" s="56">
        <v>0</v>
      </c>
      <c r="CO43" s="56">
        <v>0</v>
      </c>
      <c r="CP43" s="56">
        <v>0</v>
      </c>
      <c r="CQ43" s="56">
        <v>0</v>
      </c>
      <c r="CR43" s="56">
        <v>0</v>
      </c>
      <c r="CS43" s="56">
        <v>0</v>
      </c>
      <c r="CT43" s="56">
        <v>0</v>
      </c>
      <c r="CU43" s="56">
        <v>0</v>
      </c>
      <c r="CV43" s="56">
        <v>0</v>
      </c>
      <c r="CW43" s="56">
        <v>0</v>
      </c>
      <c r="CX43" s="56">
        <v>0</v>
      </c>
      <c r="CY43" s="56">
        <v>0</v>
      </c>
      <c r="CZ43" s="56">
        <v>0</v>
      </c>
      <c r="DA43" s="56">
        <v>0</v>
      </c>
      <c r="DB43" s="56">
        <v>0</v>
      </c>
      <c r="DC43" s="56">
        <v>0</v>
      </c>
      <c r="DD43" s="56">
        <v>0</v>
      </c>
      <c r="DE43" s="56">
        <v>0</v>
      </c>
      <c r="DF43" s="56">
        <v>0</v>
      </c>
      <c r="DG43" s="56">
        <v>0</v>
      </c>
      <c r="DH43" s="56">
        <v>0</v>
      </c>
      <c r="DI43" s="56">
        <v>0</v>
      </c>
      <c r="DJ43" s="56">
        <v>0</v>
      </c>
      <c r="DK43" s="56">
        <v>0</v>
      </c>
      <c r="DL43" s="56">
        <v>0</v>
      </c>
      <c r="DM43" s="56">
        <v>0</v>
      </c>
      <c r="DN43" s="56">
        <v>0</v>
      </c>
      <c r="DO43" s="56">
        <v>0</v>
      </c>
      <c r="DP43" s="56">
        <v>0</v>
      </c>
      <c r="DQ43" s="56">
        <v>0</v>
      </c>
      <c r="DR43" s="56">
        <v>0</v>
      </c>
      <c r="DS43" s="56">
        <v>0</v>
      </c>
      <c r="DT43" s="56">
        <v>0</v>
      </c>
      <c r="DU43" s="56">
        <v>0</v>
      </c>
    </row>
    <row r="44" spans="2:125">
      <c r="B44" s="115" t="s">
        <v>123</v>
      </c>
      <c r="C44" s="125">
        <v>4320</v>
      </c>
      <c r="D44" s="108" t="s">
        <v>35</v>
      </c>
      <c r="E44" s="109">
        <f t="shared" si="12"/>
        <v>0</v>
      </c>
      <c r="F44" s="110">
        <f>F46+F47+F48+F49</f>
        <v>0</v>
      </c>
      <c r="G44" s="110">
        <f t="shared" ref="G44:AO44" si="28">G46+G47+G48+G49</f>
        <v>0</v>
      </c>
      <c r="H44" s="110">
        <f t="shared" si="28"/>
        <v>0</v>
      </c>
      <c r="I44" s="110">
        <f t="shared" si="28"/>
        <v>0</v>
      </c>
      <c r="J44" s="110">
        <f t="shared" si="28"/>
        <v>0</v>
      </c>
      <c r="K44" s="110">
        <f t="shared" si="28"/>
        <v>0</v>
      </c>
      <c r="L44" s="110">
        <f t="shared" si="28"/>
        <v>0</v>
      </c>
      <c r="M44" s="110">
        <f t="shared" si="28"/>
        <v>0</v>
      </c>
      <c r="N44" s="110">
        <f t="shared" si="28"/>
        <v>0</v>
      </c>
      <c r="O44" s="110">
        <f t="shared" si="28"/>
        <v>0</v>
      </c>
      <c r="P44" s="110">
        <f t="shared" si="28"/>
        <v>0</v>
      </c>
      <c r="Q44" s="110">
        <f t="shared" si="28"/>
        <v>0</v>
      </c>
      <c r="R44" s="110">
        <f t="shared" si="28"/>
        <v>0</v>
      </c>
      <c r="S44" s="110">
        <f t="shared" si="28"/>
        <v>0</v>
      </c>
      <c r="T44" s="110">
        <f t="shared" si="28"/>
        <v>0</v>
      </c>
      <c r="U44" s="110">
        <f t="shared" si="28"/>
        <v>0</v>
      </c>
      <c r="V44" s="110">
        <f t="shared" si="28"/>
        <v>0</v>
      </c>
      <c r="W44" s="110">
        <f t="shared" si="28"/>
        <v>0</v>
      </c>
      <c r="X44" s="110">
        <f t="shared" si="28"/>
        <v>0</v>
      </c>
      <c r="Y44" s="110">
        <f t="shared" si="28"/>
        <v>0</v>
      </c>
      <c r="Z44" s="110">
        <f t="shared" si="28"/>
        <v>0</v>
      </c>
      <c r="AA44" s="110">
        <f t="shared" si="28"/>
        <v>0</v>
      </c>
      <c r="AB44" s="110">
        <f t="shared" si="28"/>
        <v>0</v>
      </c>
      <c r="AC44" s="110">
        <f t="shared" si="28"/>
        <v>0</v>
      </c>
      <c r="AD44" s="110">
        <f t="shared" si="28"/>
        <v>0</v>
      </c>
      <c r="AE44" s="110">
        <f t="shared" si="28"/>
        <v>0</v>
      </c>
      <c r="AF44" s="110">
        <f t="shared" si="28"/>
        <v>0</v>
      </c>
      <c r="AG44" s="110">
        <f t="shared" si="28"/>
        <v>0</v>
      </c>
      <c r="AH44" s="110">
        <f t="shared" si="28"/>
        <v>0</v>
      </c>
      <c r="AI44" s="110">
        <f t="shared" si="28"/>
        <v>0</v>
      </c>
      <c r="AJ44" s="110">
        <f t="shared" si="28"/>
        <v>0</v>
      </c>
      <c r="AK44" s="110">
        <f t="shared" si="28"/>
        <v>0</v>
      </c>
      <c r="AL44" s="110">
        <f t="shared" si="28"/>
        <v>0</v>
      </c>
      <c r="AM44" s="110">
        <f t="shared" si="28"/>
        <v>0</v>
      </c>
      <c r="AN44" s="110">
        <f t="shared" si="28"/>
        <v>0</v>
      </c>
      <c r="AO44" s="110">
        <f t="shared" si="28"/>
        <v>0</v>
      </c>
      <c r="AP44" s="110">
        <f>AP46+AP47+AP48+AP49</f>
        <v>0</v>
      </c>
      <c r="AQ44" s="110">
        <f t="shared" ref="AQ44:BY44" si="29">AQ46+AQ47+AQ48+AQ49</f>
        <v>0</v>
      </c>
      <c r="AR44" s="110">
        <f t="shared" si="29"/>
        <v>0</v>
      </c>
      <c r="AS44" s="110">
        <f t="shared" si="29"/>
        <v>0</v>
      </c>
      <c r="AT44" s="110">
        <f t="shared" si="29"/>
        <v>0</v>
      </c>
      <c r="AU44" s="110">
        <f t="shared" si="29"/>
        <v>0</v>
      </c>
      <c r="AV44" s="110">
        <f t="shared" si="29"/>
        <v>0</v>
      </c>
      <c r="AW44" s="110">
        <f t="shared" si="29"/>
        <v>0</v>
      </c>
      <c r="AX44" s="110">
        <f t="shared" si="29"/>
        <v>0</v>
      </c>
      <c r="AY44" s="110">
        <f t="shared" si="29"/>
        <v>0</v>
      </c>
      <c r="AZ44" s="110">
        <f t="shared" si="29"/>
        <v>0</v>
      </c>
      <c r="BA44" s="110">
        <f t="shared" si="29"/>
        <v>0</v>
      </c>
      <c r="BB44" s="110">
        <f t="shared" si="29"/>
        <v>0</v>
      </c>
      <c r="BC44" s="110">
        <f t="shared" si="29"/>
        <v>0</v>
      </c>
      <c r="BD44" s="110">
        <f t="shared" si="29"/>
        <v>0</v>
      </c>
      <c r="BE44" s="110">
        <f t="shared" si="29"/>
        <v>0</v>
      </c>
      <c r="BF44" s="110">
        <f t="shared" si="29"/>
        <v>0</v>
      </c>
      <c r="BG44" s="110">
        <f t="shared" si="29"/>
        <v>0</v>
      </c>
      <c r="BH44" s="110">
        <f t="shared" si="29"/>
        <v>0</v>
      </c>
      <c r="BI44" s="110">
        <f t="shared" si="29"/>
        <v>0</v>
      </c>
      <c r="BJ44" s="110">
        <f t="shared" si="29"/>
        <v>0</v>
      </c>
      <c r="BK44" s="110">
        <f t="shared" si="29"/>
        <v>0</v>
      </c>
      <c r="BL44" s="110">
        <f t="shared" si="29"/>
        <v>0</v>
      </c>
      <c r="BM44" s="110">
        <f t="shared" si="29"/>
        <v>0</v>
      </c>
      <c r="BN44" s="110">
        <f t="shared" si="29"/>
        <v>0</v>
      </c>
      <c r="BO44" s="110">
        <f t="shared" si="29"/>
        <v>0</v>
      </c>
      <c r="BP44" s="110">
        <f t="shared" si="29"/>
        <v>0</v>
      </c>
      <c r="BQ44" s="110">
        <f t="shared" si="29"/>
        <v>0</v>
      </c>
      <c r="BR44" s="110">
        <f t="shared" si="29"/>
        <v>0</v>
      </c>
      <c r="BS44" s="110">
        <f t="shared" si="29"/>
        <v>0</v>
      </c>
      <c r="BT44" s="110">
        <f t="shared" si="29"/>
        <v>0</v>
      </c>
      <c r="BU44" s="110">
        <f t="shared" si="29"/>
        <v>0</v>
      </c>
      <c r="BV44" s="110">
        <f t="shared" si="29"/>
        <v>0</v>
      </c>
      <c r="BW44" s="110">
        <f t="shared" si="29"/>
        <v>0</v>
      </c>
      <c r="BX44" s="110">
        <f t="shared" si="29"/>
        <v>0</v>
      </c>
      <c r="BY44" s="110">
        <f t="shared" si="29"/>
        <v>0</v>
      </c>
      <c r="BZ44" s="110">
        <f>BZ46+BZ47+BZ48+BZ49</f>
        <v>0</v>
      </c>
      <c r="CA44" s="110">
        <f t="shared" ref="CA44:DI44" si="30">CA46+CA47+CA48+CA49</f>
        <v>0</v>
      </c>
      <c r="CB44" s="110">
        <f t="shared" si="30"/>
        <v>0</v>
      </c>
      <c r="CC44" s="110">
        <f t="shared" si="30"/>
        <v>0</v>
      </c>
      <c r="CD44" s="110">
        <f t="shared" si="30"/>
        <v>0</v>
      </c>
      <c r="CE44" s="110">
        <f t="shared" si="30"/>
        <v>0</v>
      </c>
      <c r="CF44" s="110">
        <f t="shared" si="30"/>
        <v>0</v>
      </c>
      <c r="CG44" s="110">
        <f t="shared" si="30"/>
        <v>0</v>
      </c>
      <c r="CH44" s="110">
        <f t="shared" si="30"/>
        <v>0</v>
      </c>
      <c r="CI44" s="110">
        <f t="shared" si="30"/>
        <v>0</v>
      </c>
      <c r="CJ44" s="110">
        <f t="shared" si="30"/>
        <v>0</v>
      </c>
      <c r="CK44" s="110">
        <f t="shared" si="30"/>
        <v>0</v>
      </c>
      <c r="CL44" s="110">
        <f t="shared" si="30"/>
        <v>0</v>
      </c>
      <c r="CM44" s="110">
        <f t="shared" si="30"/>
        <v>0</v>
      </c>
      <c r="CN44" s="110">
        <f t="shared" si="30"/>
        <v>0</v>
      </c>
      <c r="CO44" s="110">
        <f t="shared" si="30"/>
        <v>0</v>
      </c>
      <c r="CP44" s="110">
        <f t="shared" si="30"/>
        <v>0</v>
      </c>
      <c r="CQ44" s="110">
        <f t="shared" si="30"/>
        <v>0</v>
      </c>
      <c r="CR44" s="110">
        <f t="shared" si="30"/>
        <v>0</v>
      </c>
      <c r="CS44" s="110">
        <f t="shared" si="30"/>
        <v>0</v>
      </c>
      <c r="CT44" s="110">
        <f t="shared" si="30"/>
        <v>0</v>
      </c>
      <c r="CU44" s="110">
        <f t="shared" si="30"/>
        <v>0</v>
      </c>
      <c r="CV44" s="110">
        <f t="shared" si="30"/>
        <v>0</v>
      </c>
      <c r="CW44" s="110">
        <f t="shared" si="30"/>
        <v>0</v>
      </c>
      <c r="CX44" s="110">
        <f t="shared" si="30"/>
        <v>0</v>
      </c>
      <c r="CY44" s="110">
        <f t="shared" si="30"/>
        <v>0</v>
      </c>
      <c r="CZ44" s="110">
        <f t="shared" si="30"/>
        <v>0</v>
      </c>
      <c r="DA44" s="110">
        <f t="shared" si="30"/>
        <v>0</v>
      </c>
      <c r="DB44" s="110">
        <f t="shared" si="30"/>
        <v>0</v>
      </c>
      <c r="DC44" s="110">
        <f t="shared" si="30"/>
        <v>0</v>
      </c>
      <c r="DD44" s="110">
        <f t="shared" si="30"/>
        <v>0</v>
      </c>
      <c r="DE44" s="110">
        <f t="shared" si="30"/>
        <v>0</v>
      </c>
      <c r="DF44" s="110">
        <f t="shared" si="30"/>
        <v>0</v>
      </c>
      <c r="DG44" s="110">
        <f t="shared" si="30"/>
        <v>0</v>
      </c>
      <c r="DH44" s="110">
        <f t="shared" si="30"/>
        <v>0</v>
      </c>
      <c r="DI44" s="110">
        <f t="shared" si="30"/>
        <v>0</v>
      </c>
      <c r="DJ44" s="110">
        <f>DJ46+DJ47+DJ48+DJ49</f>
        <v>0</v>
      </c>
      <c r="DK44" s="110">
        <f t="shared" ref="DK44:DU44" si="31">DK46+DK47+DK48+DK49</f>
        <v>0</v>
      </c>
      <c r="DL44" s="110">
        <f t="shared" si="31"/>
        <v>0</v>
      </c>
      <c r="DM44" s="110">
        <f t="shared" si="31"/>
        <v>0</v>
      </c>
      <c r="DN44" s="110">
        <f t="shared" si="31"/>
        <v>0</v>
      </c>
      <c r="DO44" s="110">
        <f t="shared" si="31"/>
        <v>0</v>
      </c>
      <c r="DP44" s="110">
        <f t="shared" si="31"/>
        <v>0</v>
      </c>
      <c r="DQ44" s="110">
        <f t="shared" si="31"/>
        <v>0</v>
      </c>
      <c r="DR44" s="110">
        <f t="shared" si="31"/>
        <v>0</v>
      </c>
      <c r="DS44" s="110">
        <f t="shared" si="31"/>
        <v>0</v>
      </c>
      <c r="DT44" s="110">
        <f t="shared" si="31"/>
        <v>0</v>
      </c>
      <c r="DU44" s="110">
        <f t="shared" si="31"/>
        <v>0</v>
      </c>
    </row>
    <row r="45" spans="2:125">
      <c r="B45" s="111" t="s">
        <v>114</v>
      </c>
      <c r="C45" s="77"/>
      <c r="D45" s="104"/>
      <c r="E45" s="105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  <c r="BI45" s="56"/>
      <c r="BJ45" s="56"/>
      <c r="BK45" s="56"/>
      <c r="BL45" s="56"/>
      <c r="BM45" s="56"/>
      <c r="BN45" s="56"/>
      <c r="BO45" s="56"/>
      <c r="BP45" s="56"/>
      <c r="BQ45" s="56"/>
      <c r="BR45" s="56"/>
      <c r="BS45" s="56"/>
      <c r="BT45" s="56"/>
      <c r="BU45" s="56"/>
      <c r="BV45" s="56"/>
      <c r="BW45" s="56"/>
      <c r="BX45" s="56"/>
      <c r="BY45" s="56"/>
      <c r="BZ45" s="56"/>
      <c r="CA45" s="56"/>
      <c r="CB45" s="56"/>
      <c r="CC45" s="56"/>
      <c r="CD45" s="56"/>
      <c r="CE45" s="56"/>
      <c r="CF45" s="56"/>
      <c r="CG45" s="56"/>
      <c r="CH45" s="56"/>
      <c r="CI45" s="56"/>
      <c r="CJ45" s="56"/>
      <c r="CK45" s="56"/>
      <c r="CL45" s="56"/>
      <c r="CM45" s="56"/>
      <c r="CN45" s="56"/>
      <c r="CO45" s="56"/>
      <c r="CP45" s="56"/>
      <c r="CQ45" s="56"/>
      <c r="CR45" s="56"/>
      <c r="CS45" s="56"/>
      <c r="CT45" s="56"/>
      <c r="CU45" s="56"/>
      <c r="CV45" s="56"/>
      <c r="CW45" s="56"/>
      <c r="CX45" s="56"/>
      <c r="CY45" s="56"/>
      <c r="CZ45" s="56"/>
      <c r="DA45" s="56"/>
      <c r="DB45" s="56"/>
      <c r="DC45" s="56"/>
      <c r="DD45" s="56"/>
      <c r="DE45" s="56"/>
      <c r="DF45" s="56"/>
      <c r="DG45" s="56"/>
      <c r="DH45" s="56"/>
      <c r="DI45" s="56"/>
      <c r="DJ45" s="56"/>
      <c r="DK45" s="56"/>
      <c r="DL45" s="56"/>
      <c r="DM45" s="56"/>
      <c r="DN45" s="56"/>
      <c r="DO45" s="56"/>
      <c r="DP45" s="56"/>
      <c r="DQ45" s="56"/>
      <c r="DR45" s="56"/>
      <c r="DS45" s="56"/>
      <c r="DT45" s="56"/>
      <c r="DU45" s="56"/>
    </row>
    <row r="46" spans="2:125" ht="39">
      <c r="B46" s="112" t="s">
        <v>151</v>
      </c>
      <c r="C46" s="78">
        <v>4321</v>
      </c>
      <c r="D46" s="78" t="s">
        <v>35</v>
      </c>
      <c r="E46" s="113">
        <f t="shared" si="12"/>
        <v>0</v>
      </c>
      <c r="F46" s="56">
        <v>0</v>
      </c>
      <c r="G46" s="56">
        <v>0</v>
      </c>
      <c r="H46" s="56">
        <v>0</v>
      </c>
      <c r="I46" s="56">
        <v>0</v>
      </c>
      <c r="J46" s="56">
        <v>0</v>
      </c>
      <c r="K46" s="56">
        <v>0</v>
      </c>
      <c r="L46" s="56">
        <v>0</v>
      </c>
      <c r="M46" s="56">
        <v>0</v>
      </c>
      <c r="N46" s="56">
        <v>0</v>
      </c>
      <c r="O46" s="56">
        <v>0</v>
      </c>
      <c r="P46" s="56">
        <v>0</v>
      </c>
      <c r="Q46" s="56">
        <v>0</v>
      </c>
      <c r="R46" s="56">
        <v>0</v>
      </c>
      <c r="S46" s="56">
        <v>0</v>
      </c>
      <c r="T46" s="56">
        <v>0</v>
      </c>
      <c r="U46" s="56">
        <v>0</v>
      </c>
      <c r="V46" s="56">
        <v>0</v>
      </c>
      <c r="W46" s="56">
        <v>0</v>
      </c>
      <c r="X46" s="56">
        <v>0</v>
      </c>
      <c r="Y46" s="56">
        <v>0</v>
      </c>
      <c r="Z46" s="56">
        <v>0</v>
      </c>
      <c r="AA46" s="56">
        <v>0</v>
      </c>
      <c r="AB46" s="56">
        <v>0</v>
      </c>
      <c r="AC46" s="56">
        <v>0</v>
      </c>
      <c r="AD46" s="56">
        <v>0</v>
      </c>
      <c r="AE46" s="56">
        <v>0</v>
      </c>
      <c r="AF46" s="56">
        <v>0</v>
      </c>
      <c r="AG46" s="56">
        <v>0</v>
      </c>
      <c r="AH46" s="56">
        <v>0</v>
      </c>
      <c r="AI46" s="56">
        <v>0</v>
      </c>
      <c r="AJ46" s="56">
        <v>0</v>
      </c>
      <c r="AK46" s="56">
        <v>0</v>
      </c>
      <c r="AL46" s="56">
        <v>0</v>
      </c>
      <c r="AM46" s="56">
        <v>0</v>
      </c>
      <c r="AN46" s="56">
        <v>0</v>
      </c>
      <c r="AO46" s="56">
        <v>0</v>
      </c>
      <c r="AP46" s="56">
        <v>0</v>
      </c>
      <c r="AQ46" s="56">
        <v>0</v>
      </c>
      <c r="AR46" s="56">
        <v>0</v>
      </c>
      <c r="AS46" s="56">
        <v>0</v>
      </c>
      <c r="AT46" s="56">
        <v>0</v>
      </c>
      <c r="AU46" s="56">
        <v>0</v>
      </c>
      <c r="AV46" s="56">
        <v>0</v>
      </c>
      <c r="AW46" s="56">
        <v>0</v>
      </c>
      <c r="AX46" s="56">
        <v>0</v>
      </c>
      <c r="AY46" s="56">
        <v>0</v>
      </c>
      <c r="AZ46" s="56">
        <v>0</v>
      </c>
      <c r="BA46" s="56">
        <v>0</v>
      </c>
      <c r="BB46" s="56">
        <v>0</v>
      </c>
      <c r="BC46" s="56">
        <v>0</v>
      </c>
      <c r="BD46" s="56">
        <v>0</v>
      </c>
      <c r="BE46" s="56">
        <v>0</v>
      </c>
      <c r="BF46" s="56">
        <v>0</v>
      </c>
      <c r="BG46" s="56">
        <v>0</v>
      </c>
      <c r="BH46" s="56">
        <v>0</v>
      </c>
      <c r="BI46" s="56">
        <v>0</v>
      </c>
      <c r="BJ46" s="56">
        <v>0</v>
      </c>
      <c r="BK46" s="56">
        <v>0</v>
      </c>
      <c r="BL46" s="56">
        <v>0</v>
      </c>
      <c r="BM46" s="56">
        <v>0</v>
      </c>
      <c r="BN46" s="56">
        <v>0</v>
      </c>
      <c r="BO46" s="56">
        <v>0</v>
      </c>
      <c r="BP46" s="56">
        <v>0</v>
      </c>
      <c r="BQ46" s="56">
        <v>0</v>
      </c>
      <c r="BR46" s="56">
        <v>0</v>
      </c>
      <c r="BS46" s="56">
        <v>0</v>
      </c>
      <c r="BT46" s="56">
        <v>0</v>
      </c>
      <c r="BU46" s="56">
        <v>0</v>
      </c>
      <c r="BV46" s="56">
        <v>0</v>
      </c>
      <c r="BW46" s="56">
        <v>0</v>
      </c>
      <c r="BX46" s="56">
        <v>0</v>
      </c>
      <c r="BY46" s="56">
        <v>0</v>
      </c>
      <c r="BZ46" s="56">
        <v>0</v>
      </c>
      <c r="CA46" s="56">
        <v>0</v>
      </c>
      <c r="CB46" s="56">
        <v>0</v>
      </c>
      <c r="CC46" s="56">
        <v>0</v>
      </c>
      <c r="CD46" s="56">
        <v>0</v>
      </c>
      <c r="CE46" s="56">
        <v>0</v>
      </c>
      <c r="CF46" s="56">
        <v>0</v>
      </c>
      <c r="CG46" s="56">
        <v>0</v>
      </c>
      <c r="CH46" s="56">
        <v>0</v>
      </c>
      <c r="CI46" s="56">
        <v>0</v>
      </c>
      <c r="CJ46" s="56">
        <v>0</v>
      </c>
      <c r="CK46" s="56">
        <v>0</v>
      </c>
      <c r="CL46" s="56">
        <v>0</v>
      </c>
      <c r="CM46" s="56">
        <v>0</v>
      </c>
      <c r="CN46" s="56">
        <v>0</v>
      </c>
      <c r="CO46" s="56">
        <v>0</v>
      </c>
      <c r="CP46" s="56">
        <v>0</v>
      </c>
      <c r="CQ46" s="56">
        <v>0</v>
      </c>
      <c r="CR46" s="56">
        <v>0</v>
      </c>
      <c r="CS46" s="56">
        <v>0</v>
      </c>
      <c r="CT46" s="56">
        <v>0</v>
      </c>
      <c r="CU46" s="56">
        <v>0</v>
      </c>
      <c r="CV46" s="56">
        <v>0</v>
      </c>
      <c r="CW46" s="56">
        <v>0</v>
      </c>
      <c r="CX46" s="56">
        <v>0</v>
      </c>
      <c r="CY46" s="56">
        <v>0</v>
      </c>
      <c r="CZ46" s="56">
        <v>0</v>
      </c>
      <c r="DA46" s="56">
        <v>0</v>
      </c>
      <c r="DB46" s="56">
        <v>0</v>
      </c>
      <c r="DC46" s="56">
        <v>0</v>
      </c>
      <c r="DD46" s="56">
        <v>0</v>
      </c>
      <c r="DE46" s="56">
        <v>0</v>
      </c>
      <c r="DF46" s="56">
        <v>0</v>
      </c>
      <c r="DG46" s="56">
        <v>0</v>
      </c>
      <c r="DH46" s="56">
        <v>0</v>
      </c>
      <c r="DI46" s="56">
        <v>0</v>
      </c>
      <c r="DJ46" s="56">
        <v>0</v>
      </c>
      <c r="DK46" s="56">
        <v>0</v>
      </c>
      <c r="DL46" s="56">
        <v>0</v>
      </c>
      <c r="DM46" s="56">
        <v>0</v>
      </c>
      <c r="DN46" s="56">
        <v>0</v>
      </c>
      <c r="DO46" s="56">
        <v>0</v>
      </c>
      <c r="DP46" s="56">
        <v>0</v>
      </c>
      <c r="DQ46" s="56">
        <v>0</v>
      </c>
      <c r="DR46" s="56">
        <v>0</v>
      </c>
      <c r="DS46" s="56">
        <v>0</v>
      </c>
      <c r="DT46" s="56">
        <v>0</v>
      </c>
      <c r="DU46" s="56">
        <v>0</v>
      </c>
    </row>
    <row r="47" spans="2:125" ht="39">
      <c r="B47" s="114" t="s">
        <v>152</v>
      </c>
      <c r="C47" s="5">
        <v>4322</v>
      </c>
      <c r="D47" s="78" t="s">
        <v>35</v>
      </c>
      <c r="E47" s="113">
        <f t="shared" si="12"/>
        <v>0</v>
      </c>
      <c r="F47" s="56">
        <v>0</v>
      </c>
      <c r="G47" s="56">
        <v>0</v>
      </c>
      <c r="H47" s="56">
        <v>0</v>
      </c>
      <c r="I47" s="56">
        <v>0</v>
      </c>
      <c r="J47" s="56">
        <v>0</v>
      </c>
      <c r="K47" s="56">
        <v>0</v>
      </c>
      <c r="L47" s="56">
        <v>0</v>
      </c>
      <c r="M47" s="56">
        <v>0</v>
      </c>
      <c r="N47" s="56">
        <v>0</v>
      </c>
      <c r="O47" s="56">
        <v>0</v>
      </c>
      <c r="P47" s="56">
        <v>0</v>
      </c>
      <c r="Q47" s="56">
        <v>0</v>
      </c>
      <c r="R47" s="56">
        <v>0</v>
      </c>
      <c r="S47" s="56">
        <v>0</v>
      </c>
      <c r="T47" s="56">
        <v>0</v>
      </c>
      <c r="U47" s="56">
        <v>0</v>
      </c>
      <c r="V47" s="56">
        <v>0</v>
      </c>
      <c r="W47" s="56">
        <v>0</v>
      </c>
      <c r="X47" s="56">
        <v>0</v>
      </c>
      <c r="Y47" s="56">
        <v>0</v>
      </c>
      <c r="Z47" s="56">
        <v>0</v>
      </c>
      <c r="AA47" s="56">
        <v>0</v>
      </c>
      <c r="AB47" s="56">
        <v>0</v>
      </c>
      <c r="AC47" s="56">
        <v>0</v>
      </c>
      <c r="AD47" s="56">
        <v>0</v>
      </c>
      <c r="AE47" s="56">
        <v>0</v>
      </c>
      <c r="AF47" s="56">
        <v>0</v>
      </c>
      <c r="AG47" s="56">
        <v>0</v>
      </c>
      <c r="AH47" s="56">
        <v>0</v>
      </c>
      <c r="AI47" s="56">
        <v>0</v>
      </c>
      <c r="AJ47" s="56">
        <v>0</v>
      </c>
      <c r="AK47" s="56">
        <v>0</v>
      </c>
      <c r="AL47" s="56">
        <v>0</v>
      </c>
      <c r="AM47" s="56">
        <v>0</v>
      </c>
      <c r="AN47" s="56">
        <v>0</v>
      </c>
      <c r="AO47" s="56">
        <v>0</v>
      </c>
      <c r="AP47" s="56">
        <v>0</v>
      </c>
      <c r="AQ47" s="56">
        <v>0</v>
      </c>
      <c r="AR47" s="56">
        <v>0</v>
      </c>
      <c r="AS47" s="56">
        <v>0</v>
      </c>
      <c r="AT47" s="56">
        <v>0</v>
      </c>
      <c r="AU47" s="56">
        <v>0</v>
      </c>
      <c r="AV47" s="56">
        <v>0</v>
      </c>
      <c r="AW47" s="56">
        <v>0</v>
      </c>
      <c r="AX47" s="56">
        <v>0</v>
      </c>
      <c r="AY47" s="56">
        <v>0</v>
      </c>
      <c r="AZ47" s="56">
        <v>0</v>
      </c>
      <c r="BA47" s="56">
        <v>0</v>
      </c>
      <c r="BB47" s="56">
        <v>0</v>
      </c>
      <c r="BC47" s="56">
        <v>0</v>
      </c>
      <c r="BD47" s="56">
        <v>0</v>
      </c>
      <c r="BE47" s="56">
        <v>0</v>
      </c>
      <c r="BF47" s="56">
        <v>0</v>
      </c>
      <c r="BG47" s="56">
        <v>0</v>
      </c>
      <c r="BH47" s="56">
        <v>0</v>
      </c>
      <c r="BI47" s="56">
        <v>0</v>
      </c>
      <c r="BJ47" s="56">
        <v>0</v>
      </c>
      <c r="BK47" s="56">
        <v>0</v>
      </c>
      <c r="BL47" s="56">
        <v>0</v>
      </c>
      <c r="BM47" s="56">
        <v>0</v>
      </c>
      <c r="BN47" s="56">
        <v>0</v>
      </c>
      <c r="BO47" s="56">
        <v>0</v>
      </c>
      <c r="BP47" s="56">
        <v>0</v>
      </c>
      <c r="BQ47" s="56">
        <v>0</v>
      </c>
      <c r="BR47" s="56">
        <v>0</v>
      </c>
      <c r="BS47" s="56">
        <v>0</v>
      </c>
      <c r="BT47" s="56">
        <v>0</v>
      </c>
      <c r="BU47" s="56">
        <v>0</v>
      </c>
      <c r="BV47" s="56">
        <v>0</v>
      </c>
      <c r="BW47" s="56">
        <v>0</v>
      </c>
      <c r="BX47" s="56">
        <v>0</v>
      </c>
      <c r="BY47" s="56">
        <v>0</v>
      </c>
      <c r="BZ47" s="56">
        <v>0</v>
      </c>
      <c r="CA47" s="56">
        <v>0</v>
      </c>
      <c r="CB47" s="56">
        <v>0</v>
      </c>
      <c r="CC47" s="56">
        <v>0</v>
      </c>
      <c r="CD47" s="56">
        <v>0</v>
      </c>
      <c r="CE47" s="56">
        <v>0</v>
      </c>
      <c r="CF47" s="56">
        <v>0</v>
      </c>
      <c r="CG47" s="56">
        <v>0</v>
      </c>
      <c r="CH47" s="56">
        <v>0</v>
      </c>
      <c r="CI47" s="56">
        <v>0</v>
      </c>
      <c r="CJ47" s="56">
        <v>0</v>
      </c>
      <c r="CK47" s="56">
        <v>0</v>
      </c>
      <c r="CL47" s="56">
        <v>0</v>
      </c>
      <c r="CM47" s="56">
        <v>0</v>
      </c>
      <c r="CN47" s="56">
        <v>0</v>
      </c>
      <c r="CO47" s="56">
        <v>0</v>
      </c>
      <c r="CP47" s="56">
        <v>0</v>
      </c>
      <c r="CQ47" s="56">
        <v>0</v>
      </c>
      <c r="CR47" s="56">
        <v>0</v>
      </c>
      <c r="CS47" s="56">
        <v>0</v>
      </c>
      <c r="CT47" s="56">
        <v>0</v>
      </c>
      <c r="CU47" s="56">
        <v>0</v>
      </c>
      <c r="CV47" s="56">
        <v>0</v>
      </c>
      <c r="CW47" s="56">
        <v>0</v>
      </c>
      <c r="CX47" s="56">
        <v>0</v>
      </c>
      <c r="CY47" s="56">
        <v>0</v>
      </c>
      <c r="CZ47" s="56">
        <v>0</v>
      </c>
      <c r="DA47" s="56">
        <v>0</v>
      </c>
      <c r="DB47" s="56">
        <v>0</v>
      </c>
      <c r="DC47" s="56">
        <v>0</v>
      </c>
      <c r="DD47" s="56">
        <v>0</v>
      </c>
      <c r="DE47" s="56">
        <v>0</v>
      </c>
      <c r="DF47" s="56">
        <v>0</v>
      </c>
      <c r="DG47" s="56">
        <v>0</v>
      </c>
      <c r="DH47" s="56">
        <v>0</v>
      </c>
      <c r="DI47" s="56">
        <v>0</v>
      </c>
      <c r="DJ47" s="56">
        <v>0</v>
      </c>
      <c r="DK47" s="56">
        <v>0</v>
      </c>
      <c r="DL47" s="56">
        <v>0</v>
      </c>
      <c r="DM47" s="56">
        <v>0</v>
      </c>
      <c r="DN47" s="56">
        <v>0</v>
      </c>
      <c r="DO47" s="56">
        <v>0</v>
      </c>
      <c r="DP47" s="56">
        <v>0</v>
      </c>
      <c r="DQ47" s="56">
        <v>0</v>
      </c>
      <c r="DR47" s="56">
        <v>0</v>
      </c>
      <c r="DS47" s="56">
        <v>0</v>
      </c>
      <c r="DT47" s="56">
        <v>0</v>
      </c>
      <c r="DU47" s="56">
        <v>0</v>
      </c>
    </row>
    <row r="48" spans="2:125" ht="25.25" customHeight="1">
      <c r="B48" s="114" t="s">
        <v>153</v>
      </c>
      <c r="C48" s="5">
        <v>4323</v>
      </c>
      <c r="D48" s="78" t="s">
        <v>35</v>
      </c>
      <c r="E48" s="113">
        <f t="shared" si="12"/>
        <v>0</v>
      </c>
      <c r="F48" s="56">
        <v>0</v>
      </c>
      <c r="G48" s="56">
        <v>0</v>
      </c>
      <c r="H48" s="56">
        <v>0</v>
      </c>
      <c r="I48" s="56">
        <v>0</v>
      </c>
      <c r="J48" s="56">
        <v>0</v>
      </c>
      <c r="K48" s="56">
        <v>0</v>
      </c>
      <c r="L48" s="56">
        <v>0</v>
      </c>
      <c r="M48" s="56">
        <v>0</v>
      </c>
      <c r="N48" s="56">
        <v>0</v>
      </c>
      <c r="O48" s="56">
        <v>0</v>
      </c>
      <c r="P48" s="56">
        <v>0</v>
      </c>
      <c r="Q48" s="56">
        <v>0</v>
      </c>
      <c r="R48" s="56">
        <v>0</v>
      </c>
      <c r="S48" s="56">
        <v>0</v>
      </c>
      <c r="T48" s="56">
        <v>0</v>
      </c>
      <c r="U48" s="56">
        <v>0</v>
      </c>
      <c r="V48" s="56">
        <v>0</v>
      </c>
      <c r="W48" s="56">
        <v>0</v>
      </c>
      <c r="X48" s="56">
        <v>0</v>
      </c>
      <c r="Y48" s="56">
        <v>0</v>
      </c>
      <c r="Z48" s="56">
        <v>0</v>
      </c>
      <c r="AA48" s="56">
        <v>0</v>
      </c>
      <c r="AB48" s="56">
        <v>0</v>
      </c>
      <c r="AC48" s="56">
        <v>0</v>
      </c>
      <c r="AD48" s="56">
        <v>0</v>
      </c>
      <c r="AE48" s="56">
        <v>0</v>
      </c>
      <c r="AF48" s="56">
        <v>0</v>
      </c>
      <c r="AG48" s="56">
        <v>0</v>
      </c>
      <c r="AH48" s="56">
        <v>0</v>
      </c>
      <c r="AI48" s="56">
        <v>0</v>
      </c>
      <c r="AJ48" s="56">
        <v>0</v>
      </c>
      <c r="AK48" s="56">
        <v>0</v>
      </c>
      <c r="AL48" s="56">
        <v>0</v>
      </c>
      <c r="AM48" s="56">
        <v>0</v>
      </c>
      <c r="AN48" s="56">
        <v>0</v>
      </c>
      <c r="AO48" s="56">
        <v>0</v>
      </c>
      <c r="AP48" s="56">
        <v>0</v>
      </c>
      <c r="AQ48" s="56">
        <v>0</v>
      </c>
      <c r="AR48" s="56">
        <v>0</v>
      </c>
      <c r="AS48" s="56">
        <v>0</v>
      </c>
      <c r="AT48" s="56">
        <v>0</v>
      </c>
      <c r="AU48" s="56">
        <v>0</v>
      </c>
      <c r="AV48" s="56">
        <v>0</v>
      </c>
      <c r="AW48" s="56">
        <v>0</v>
      </c>
      <c r="AX48" s="56">
        <v>0</v>
      </c>
      <c r="AY48" s="56">
        <v>0</v>
      </c>
      <c r="AZ48" s="56">
        <v>0</v>
      </c>
      <c r="BA48" s="56">
        <v>0</v>
      </c>
      <c r="BB48" s="56">
        <v>0</v>
      </c>
      <c r="BC48" s="56">
        <v>0</v>
      </c>
      <c r="BD48" s="56">
        <v>0</v>
      </c>
      <c r="BE48" s="56">
        <v>0</v>
      </c>
      <c r="BF48" s="56">
        <v>0</v>
      </c>
      <c r="BG48" s="56">
        <v>0</v>
      </c>
      <c r="BH48" s="56">
        <v>0</v>
      </c>
      <c r="BI48" s="56">
        <v>0</v>
      </c>
      <c r="BJ48" s="56">
        <v>0</v>
      </c>
      <c r="BK48" s="56">
        <v>0</v>
      </c>
      <c r="BL48" s="56">
        <v>0</v>
      </c>
      <c r="BM48" s="56">
        <v>0</v>
      </c>
      <c r="BN48" s="56">
        <v>0</v>
      </c>
      <c r="BO48" s="56">
        <v>0</v>
      </c>
      <c r="BP48" s="56">
        <v>0</v>
      </c>
      <c r="BQ48" s="56">
        <v>0</v>
      </c>
      <c r="BR48" s="56">
        <v>0</v>
      </c>
      <c r="BS48" s="56">
        <v>0</v>
      </c>
      <c r="BT48" s="56">
        <v>0</v>
      </c>
      <c r="BU48" s="56">
        <v>0</v>
      </c>
      <c r="BV48" s="56">
        <v>0</v>
      </c>
      <c r="BW48" s="56">
        <v>0</v>
      </c>
      <c r="BX48" s="56">
        <v>0</v>
      </c>
      <c r="BY48" s="56">
        <v>0</v>
      </c>
      <c r="BZ48" s="56">
        <v>0</v>
      </c>
      <c r="CA48" s="56">
        <v>0</v>
      </c>
      <c r="CB48" s="56">
        <v>0</v>
      </c>
      <c r="CC48" s="56">
        <v>0</v>
      </c>
      <c r="CD48" s="56">
        <v>0</v>
      </c>
      <c r="CE48" s="56">
        <v>0</v>
      </c>
      <c r="CF48" s="56">
        <v>0</v>
      </c>
      <c r="CG48" s="56">
        <v>0</v>
      </c>
      <c r="CH48" s="56">
        <v>0</v>
      </c>
      <c r="CI48" s="56">
        <v>0</v>
      </c>
      <c r="CJ48" s="56">
        <v>0</v>
      </c>
      <c r="CK48" s="56">
        <v>0</v>
      </c>
      <c r="CL48" s="56">
        <v>0</v>
      </c>
      <c r="CM48" s="56">
        <v>0</v>
      </c>
      <c r="CN48" s="56">
        <v>0</v>
      </c>
      <c r="CO48" s="56">
        <v>0</v>
      </c>
      <c r="CP48" s="56">
        <v>0</v>
      </c>
      <c r="CQ48" s="56">
        <v>0</v>
      </c>
      <c r="CR48" s="56">
        <v>0</v>
      </c>
      <c r="CS48" s="56">
        <v>0</v>
      </c>
      <c r="CT48" s="56">
        <v>0</v>
      </c>
      <c r="CU48" s="56">
        <v>0</v>
      </c>
      <c r="CV48" s="56">
        <v>0</v>
      </c>
      <c r="CW48" s="56">
        <v>0</v>
      </c>
      <c r="CX48" s="56">
        <v>0</v>
      </c>
      <c r="CY48" s="56">
        <v>0</v>
      </c>
      <c r="CZ48" s="56">
        <v>0</v>
      </c>
      <c r="DA48" s="56">
        <v>0</v>
      </c>
      <c r="DB48" s="56">
        <v>0</v>
      </c>
      <c r="DC48" s="56">
        <v>0</v>
      </c>
      <c r="DD48" s="56">
        <v>0</v>
      </c>
      <c r="DE48" s="56">
        <v>0</v>
      </c>
      <c r="DF48" s="56">
        <v>0</v>
      </c>
      <c r="DG48" s="56">
        <v>0</v>
      </c>
      <c r="DH48" s="56">
        <v>0</v>
      </c>
      <c r="DI48" s="56">
        <v>0</v>
      </c>
      <c r="DJ48" s="56">
        <v>0</v>
      </c>
      <c r="DK48" s="56">
        <v>0</v>
      </c>
      <c r="DL48" s="56">
        <v>0</v>
      </c>
      <c r="DM48" s="56">
        <v>0</v>
      </c>
      <c r="DN48" s="56">
        <v>0</v>
      </c>
      <c r="DO48" s="56">
        <v>0</v>
      </c>
      <c r="DP48" s="56">
        <v>0</v>
      </c>
      <c r="DQ48" s="56">
        <v>0</v>
      </c>
      <c r="DR48" s="56">
        <v>0</v>
      </c>
      <c r="DS48" s="56">
        <v>0</v>
      </c>
      <c r="DT48" s="56">
        <v>0</v>
      </c>
      <c r="DU48" s="56">
        <v>0</v>
      </c>
    </row>
    <row r="49" spans="2:125">
      <c r="B49" s="114" t="s">
        <v>133</v>
      </c>
      <c r="C49" s="5">
        <v>4329</v>
      </c>
      <c r="D49" s="78" t="s">
        <v>35</v>
      </c>
      <c r="E49" s="113">
        <f t="shared" si="12"/>
        <v>0</v>
      </c>
      <c r="F49" s="56">
        <v>0</v>
      </c>
      <c r="G49" s="56">
        <v>0</v>
      </c>
      <c r="H49" s="56">
        <v>0</v>
      </c>
      <c r="I49" s="56">
        <v>0</v>
      </c>
      <c r="J49" s="56">
        <v>0</v>
      </c>
      <c r="K49" s="56">
        <v>0</v>
      </c>
      <c r="L49" s="56">
        <v>0</v>
      </c>
      <c r="M49" s="56">
        <v>0</v>
      </c>
      <c r="N49" s="56">
        <v>0</v>
      </c>
      <c r="O49" s="56">
        <v>0</v>
      </c>
      <c r="P49" s="56">
        <v>0</v>
      </c>
      <c r="Q49" s="56">
        <v>0</v>
      </c>
      <c r="R49" s="56">
        <v>0</v>
      </c>
      <c r="S49" s="56">
        <v>0</v>
      </c>
      <c r="T49" s="56">
        <v>0</v>
      </c>
      <c r="U49" s="56">
        <v>0</v>
      </c>
      <c r="V49" s="56">
        <v>0</v>
      </c>
      <c r="W49" s="56">
        <v>0</v>
      </c>
      <c r="X49" s="56">
        <v>0</v>
      </c>
      <c r="Y49" s="56">
        <v>0</v>
      </c>
      <c r="Z49" s="56">
        <v>0</v>
      </c>
      <c r="AA49" s="56">
        <v>0</v>
      </c>
      <c r="AB49" s="56">
        <v>0</v>
      </c>
      <c r="AC49" s="56">
        <v>0</v>
      </c>
      <c r="AD49" s="56">
        <v>0</v>
      </c>
      <c r="AE49" s="56">
        <v>0</v>
      </c>
      <c r="AF49" s="56">
        <v>0</v>
      </c>
      <c r="AG49" s="56">
        <v>0</v>
      </c>
      <c r="AH49" s="56">
        <v>0</v>
      </c>
      <c r="AI49" s="56">
        <v>0</v>
      </c>
      <c r="AJ49" s="56">
        <v>0</v>
      </c>
      <c r="AK49" s="56">
        <v>0</v>
      </c>
      <c r="AL49" s="56">
        <v>0</v>
      </c>
      <c r="AM49" s="56">
        <v>0</v>
      </c>
      <c r="AN49" s="56">
        <v>0</v>
      </c>
      <c r="AO49" s="56">
        <v>0</v>
      </c>
      <c r="AP49" s="56">
        <v>0</v>
      </c>
      <c r="AQ49" s="56">
        <v>0</v>
      </c>
      <c r="AR49" s="56">
        <v>0</v>
      </c>
      <c r="AS49" s="56">
        <v>0</v>
      </c>
      <c r="AT49" s="56">
        <v>0</v>
      </c>
      <c r="AU49" s="56">
        <v>0</v>
      </c>
      <c r="AV49" s="56">
        <v>0</v>
      </c>
      <c r="AW49" s="56">
        <v>0</v>
      </c>
      <c r="AX49" s="56">
        <v>0</v>
      </c>
      <c r="AY49" s="56">
        <v>0</v>
      </c>
      <c r="AZ49" s="56">
        <v>0</v>
      </c>
      <c r="BA49" s="56">
        <v>0</v>
      </c>
      <c r="BB49" s="56">
        <v>0</v>
      </c>
      <c r="BC49" s="56">
        <v>0</v>
      </c>
      <c r="BD49" s="56">
        <v>0</v>
      </c>
      <c r="BE49" s="56">
        <v>0</v>
      </c>
      <c r="BF49" s="56">
        <v>0</v>
      </c>
      <c r="BG49" s="56">
        <v>0</v>
      </c>
      <c r="BH49" s="56">
        <v>0</v>
      </c>
      <c r="BI49" s="56">
        <v>0</v>
      </c>
      <c r="BJ49" s="56">
        <v>0</v>
      </c>
      <c r="BK49" s="56">
        <v>0</v>
      </c>
      <c r="BL49" s="56">
        <v>0</v>
      </c>
      <c r="BM49" s="56">
        <v>0</v>
      </c>
      <c r="BN49" s="56">
        <v>0</v>
      </c>
      <c r="BO49" s="56">
        <v>0</v>
      </c>
      <c r="BP49" s="56">
        <v>0</v>
      </c>
      <c r="BQ49" s="56">
        <v>0</v>
      </c>
      <c r="BR49" s="56">
        <v>0</v>
      </c>
      <c r="BS49" s="56">
        <v>0</v>
      </c>
      <c r="BT49" s="56">
        <v>0</v>
      </c>
      <c r="BU49" s="56">
        <v>0</v>
      </c>
      <c r="BV49" s="56">
        <v>0</v>
      </c>
      <c r="BW49" s="56">
        <v>0</v>
      </c>
      <c r="BX49" s="56">
        <v>0</v>
      </c>
      <c r="BY49" s="56">
        <v>0</v>
      </c>
      <c r="BZ49" s="56">
        <v>0</v>
      </c>
      <c r="CA49" s="56">
        <v>0</v>
      </c>
      <c r="CB49" s="56">
        <v>0</v>
      </c>
      <c r="CC49" s="56">
        <v>0</v>
      </c>
      <c r="CD49" s="56">
        <v>0</v>
      </c>
      <c r="CE49" s="56">
        <v>0</v>
      </c>
      <c r="CF49" s="56">
        <v>0</v>
      </c>
      <c r="CG49" s="56">
        <v>0</v>
      </c>
      <c r="CH49" s="56">
        <v>0</v>
      </c>
      <c r="CI49" s="56">
        <v>0</v>
      </c>
      <c r="CJ49" s="56">
        <v>0</v>
      </c>
      <c r="CK49" s="56">
        <v>0</v>
      </c>
      <c r="CL49" s="56">
        <v>0</v>
      </c>
      <c r="CM49" s="56">
        <v>0</v>
      </c>
      <c r="CN49" s="56">
        <v>0</v>
      </c>
      <c r="CO49" s="56">
        <v>0</v>
      </c>
      <c r="CP49" s="56">
        <v>0</v>
      </c>
      <c r="CQ49" s="56">
        <v>0</v>
      </c>
      <c r="CR49" s="56">
        <v>0</v>
      </c>
      <c r="CS49" s="56">
        <v>0</v>
      </c>
      <c r="CT49" s="56">
        <v>0</v>
      </c>
      <c r="CU49" s="56">
        <v>0</v>
      </c>
      <c r="CV49" s="56">
        <v>0</v>
      </c>
      <c r="CW49" s="56">
        <v>0</v>
      </c>
      <c r="CX49" s="56">
        <v>0</v>
      </c>
      <c r="CY49" s="56">
        <v>0</v>
      </c>
      <c r="CZ49" s="56">
        <v>0</v>
      </c>
      <c r="DA49" s="56">
        <v>0</v>
      </c>
      <c r="DB49" s="56">
        <v>0</v>
      </c>
      <c r="DC49" s="56">
        <v>0</v>
      </c>
      <c r="DD49" s="56">
        <v>0</v>
      </c>
      <c r="DE49" s="56">
        <v>0</v>
      </c>
      <c r="DF49" s="56">
        <v>0</v>
      </c>
      <c r="DG49" s="56">
        <v>0</v>
      </c>
      <c r="DH49" s="56">
        <v>0</v>
      </c>
      <c r="DI49" s="56">
        <v>0</v>
      </c>
      <c r="DJ49" s="56">
        <v>0</v>
      </c>
      <c r="DK49" s="56">
        <v>0</v>
      </c>
      <c r="DL49" s="56">
        <v>0</v>
      </c>
      <c r="DM49" s="56">
        <v>0</v>
      </c>
      <c r="DN49" s="56">
        <v>0</v>
      </c>
      <c r="DO49" s="56">
        <v>0</v>
      </c>
      <c r="DP49" s="56">
        <v>0</v>
      </c>
      <c r="DQ49" s="56">
        <v>0</v>
      </c>
      <c r="DR49" s="56">
        <v>0</v>
      </c>
      <c r="DS49" s="56">
        <v>0</v>
      </c>
      <c r="DT49" s="56">
        <v>0</v>
      </c>
      <c r="DU49" s="56">
        <v>0</v>
      </c>
    </row>
    <row r="50" spans="2:125" ht="26">
      <c r="B50" s="124" t="s">
        <v>154</v>
      </c>
      <c r="C50" s="118">
        <v>4300</v>
      </c>
      <c r="D50" s="119" t="s">
        <v>35</v>
      </c>
      <c r="E50" s="120">
        <f>SUM(F50:DU50)</f>
        <v>0</v>
      </c>
      <c r="F50" s="121">
        <f>F37-F44</f>
        <v>0</v>
      </c>
      <c r="G50" s="121">
        <f t="shared" ref="G50:AO50" si="32">G37-G44</f>
        <v>0</v>
      </c>
      <c r="H50" s="121">
        <f t="shared" si="32"/>
        <v>0</v>
      </c>
      <c r="I50" s="121">
        <f t="shared" si="32"/>
        <v>0</v>
      </c>
      <c r="J50" s="121">
        <f>J37-J44</f>
        <v>0</v>
      </c>
      <c r="K50" s="121">
        <f t="shared" si="32"/>
        <v>0</v>
      </c>
      <c r="L50" s="121">
        <f t="shared" si="32"/>
        <v>0</v>
      </c>
      <c r="M50" s="121">
        <f t="shared" si="32"/>
        <v>0</v>
      </c>
      <c r="N50" s="121">
        <f t="shared" si="32"/>
        <v>0</v>
      </c>
      <c r="O50" s="121">
        <f t="shared" si="32"/>
        <v>0</v>
      </c>
      <c r="P50" s="121">
        <f t="shared" si="32"/>
        <v>0</v>
      </c>
      <c r="Q50" s="121">
        <f t="shared" si="32"/>
        <v>0</v>
      </c>
      <c r="R50" s="121">
        <f t="shared" si="32"/>
        <v>0</v>
      </c>
      <c r="S50" s="121">
        <f t="shared" si="32"/>
        <v>0</v>
      </c>
      <c r="T50" s="121">
        <f t="shared" si="32"/>
        <v>0</v>
      </c>
      <c r="U50" s="121">
        <f t="shared" si="32"/>
        <v>0</v>
      </c>
      <c r="V50" s="121">
        <f t="shared" si="32"/>
        <v>0</v>
      </c>
      <c r="W50" s="121">
        <f t="shared" si="32"/>
        <v>0</v>
      </c>
      <c r="X50" s="121">
        <f t="shared" si="32"/>
        <v>0</v>
      </c>
      <c r="Y50" s="121">
        <f t="shared" si="32"/>
        <v>0</v>
      </c>
      <c r="Z50" s="121">
        <f t="shared" si="32"/>
        <v>0</v>
      </c>
      <c r="AA50" s="121">
        <f t="shared" si="32"/>
        <v>0</v>
      </c>
      <c r="AB50" s="121">
        <f t="shared" si="32"/>
        <v>0</v>
      </c>
      <c r="AC50" s="121">
        <f t="shared" si="32"/>
        <v>0</v>
      </c>
      <c r="AD50" s="121">
        <f t="shared" si="32"/>
        <v>0</v>
      </c>
      <c r="AE50" s="121">
        <f t="shared" si="32"/>
        <v>0</v>
      </c>
      <c r="AF50" s="121">
        <f t="shared" si="32"/>
        <v>0</v>
      </c>
      <c r="AG50" s="121">
        <f t="shared" si="32"/>
        <v>0</v>
      </c>
      <c r="AH50" s="121">
        <f t="shared" si="32"/>
        <v>0</v>
      </c>
      <c r="AI50" s="121">
        <f t="shared" si="32"/>
        <v>0</v>
      </c>
      <c r="AJ50" s="121">
        <f t="shared" si="32"/>
        <v>0</v>
      </c>
      <c r="AK50" s="121">
        <f t="shared" si="32"/>
        <v>0</v>
      </c>
      <c r="AL50" s="121">
        <f t="shared" si="32"/>
        <v>0</v>
      </c>
      <c r="AM50" s="121">
        <f t="shared" si="32"/>
        <v>0</v>
      </c>
      <c r="AN50" s="121">
        <f t="shared" si="32"/>
        <v>0</v>
      </c>
      <c r="AO50" s="121">
        <f t="shared" si="32"/>
        <v>0</v>
      </c>
      <c r="AP50" s="121">
        <f>AP37-AP44</f>
        <v>0</v>
      </c>
      <c r="AQ50" s="121">
        <f t="shared" ref="AQ50:AS50" si="33">AQ37-AQ44</f>
        <v>0</v>
      </c>
      <c r="AR50" s="121">
        <f t="shared" si="33"/>
        <v>0</v>
      </c>
      <c r="AS50" s="121">
        <f t="shared" si="33"/>
        <v>0</v>
      </c>
      <c r="AT50" s="121">
        <f>AT37-AT44</f>
        <v>0</v>
      </c>
      <c r="AU50" s="121">
        <f t="shared" ref="AU50:BY50" si="34">AU37-AU44</f>
        <v>0</v>
      </c>
      <c r="AV50" s="121">
        <f t="shared" si="34"/>
        <v>0</v>
      </c>
      <c r="AW50" s="121">
        <f t="shared" si="34"/>
        <v>0</v>
      </c>
      <c r="AX50" s="121">
        <f t="shared" si="34"/>
        <v>0</v>
      </c>
      <c r="AY50" s="121">
        <f t="shared" si="34"/>
        <v>0</v>
      </c>
      <c r="AZ50" s="121">
        <f t="shared" si="34"/>
        <v>0</v>
      </c>
      <c r="BA50" s="121">
        <f t="shared" si="34"/>
        <v>0</v>
      </c>
      <c r="BB50" s="121">
        <f t="shared" si="34"/>
        <v>0</v>
      </c>
      <c r="BC50" s="121">
        <f t="shared" si="34"/>
        <v>0</v>
      </c>
      <c r="BD50" s="121">
        <f t="shared" si="34"/>
        <v>0</v>
      </c>
      <c r="BE50" s="121">
        <f t="shared" si="34"/>
        <v>0</v>
      </c>
      <c r="BF50" s="121">
        <f t="shared" si="34"/>
        <v>0</v>
      </c>
      <c r="BG50" s="121">
        <f t="shared" si="34"/>
        <v>0</v>
      </c>
      <c r="BH50" s="121">
        <f t="shared" si="34"/>
        <v>0</v>
      </c>
      <c r="BI50" s="121">
        <f t="shared" si="34"/>
        <v>0</v>
      </c>
      <c r="BJ50" s="121">
        <f t="shared" si="34"/>
        <v>0</v>
      </c>
      <c r="BK50" s="121">
        <f t="shared" si="34"/>
        <v>0</v>
      </c>
      <c r="BL50" s="121">
        <f t="shared" si="34"/>
        <v>0</v>
      </c>
      <c r="BM50" s="121">
        <f t="shared" si="34"/>
        <v>0</v>
      </c>
      <c r="BN50" s="121">
        <f t="shared" si="34"/>
        <v>0</v>
      </c>
      <c r="BO50" s="121">
        <f t="shared" si="34"/>
        <v>0</v>
      </c>
      <c r="BP50" s="121">
        <f t="shared" si="34"/>
        <v>0</v>
      </c>
      <c r="BQ50" s="121">
        <f t="shared" si="34"/>
        <v>0</v>
      </c>
      <c r="BR50" s="121">
        <f t="shared" si="34"/>
        <v>0</v>
      </c>
      <c r="BS50" s="121">
        <f t="shared" si="34"/>
        <v>0</v>
      </c>
      <c r="BT50" s="121">
        <f t="shared" si="34"/>
        <v>0</v>
      </c>
      <c r="BU50" s="121">
        <f t="shared" si="34"/>
        <v>0</v>
      </c>
      <c r="BV50" s="121">
        <f t="shared" si="34"/>
        <v>0</v>
      </c>
      <c r="BW50" s="121">
        <f t="shared" si="34"/>
        <v>0</v>
      </c>
      <c r="BX50" s="121">
        <f t="shared" si="34"/>
        <v>0</v>
      </c>
      <c r="BY50" s="121">
        <f t="shared" si="34"/>
        <v>0</v>
      </c>
      <c r="BZ50" s="121">
        <f>BZ37-BZ44</f>
        <v>0</v>
      </c>
      <c r="CA50" s="121">
        <f t="shared" ref="CA50:CC50" si="35">CA37-CA44</f>
        <v>0</v>
      </c>
      <c r="CB50" s="121">
        <f t="shared" si="35"/>
        <v>0</v>
      </c>
      <c r="CC50" s="121">
        <f t="shared" si="35"/>
        <v>0</v>
      </c>
      <c r="CD50" s="121">
        <f>CD37-CD44</f>
        <v>0</v>
      </c>
      <c r="CE50" s="121">
        <f t="shared" ref="CE50:DI50" si="36">CE37-CE44</f>
        <v>0</v>
      </c>
      <c r="CF50" s="121">
        <f t="shared" si="36"/>
        <v>0</v>
      </c>
      <c r="CG50" s="121">
        <f t="shared" si="36"/>
        <v>0</v>
      </c>
      <c r="CH50" s="121">
        <f t="shared" si="36"/>
        <v>0</v>
      </c>
      <c r="CI50" s="121">
        <f t="shared" si="36"/>
        <v>0</v>
      </c>
      <c r="CJ50" s="121">
        <f t="shared" si="36"/>
        <v>0</v>
      </c>
      <c r="CK50" s="121">
        <f t="shared" si="36"/>
        <v>0</v>
      </c>
      <c r="CL50" s="121">
        <f t="shared" si="36"/>
        <v>0</v>
      </c>
      <c r="CM50" s="121">
        <f t="shared" si="36"/>
        <v>0</v>
      </c>
      <c r="CN50" s="121">
        <f t="shared" si="36"/>
        <v>0</v>
      </c>
      <c r="CO50" s="121">
        <f t="shared" si="36"/>
        <v>0</v>
      </c>
      <c r="CP50" s="121">
        <f t="shared" si="36"/>
        <v>0</v>
      </c>
      <c r="CQ50" s="121">
        <f t="shared" si="36"/>
        <v>0</v>
      </c>
      <c r="CR50" s="121">
        <f t="shared" si="36"/>
        <v>0</v>
      </c>
      <c r="CS50" s="121">
        <f t="shared" si="36"/>
        <v>0</v>
      </c>
      <c r="CT50" s="121">
        <f t="shared" si="36"/>
        <v>0</v>
      </c>
      <c r="CU50" s="121">
        <f t="shared" si="36"/>
        <v>0</v>
      </c>
      <c r="CV50" s="121">
        <f t="shared" si="36"/>
        <v>0</v>
      </c>
      <c r="CW50" s="121">
        <f t="shared" si="36"/>
        <v>0</v>
      </c>
      <c r="CX50" s="121">
        <f t="shared" si="36"/>
        <v>0</v>
      </c>
      <c r="CY50" s="121">
        <f t="shared" si="36"/>
        <v>0</v>
      </c>
      <c r="CZ50" s="121">
        <f t="shared" si="36"/>
        <v>0</v>
      </c>
      <c r="DA50" s="121">
        <f t="shared" si="36"/>
        <v>0</v>
      </c>
      <c r="DB50" s="121">
        <f t="shared" si="36"/>
        <v>0</v>
      </c>
      <c r="DC50" s="121">
        <f t="shared" si="36"/>
        <v>0</v>
      </c>
      <c r="DD50" s="121">
        <f t="shared" si="36"/>
        <v>0</v>
      </c>
      <c r="DE50" s="121">
        <f t="shared" si="36"/>
        <v>0</v>
      </c>
      <c r="DF50" s="121">
        <f t="shared" si="36"/>
        <v>0</v>
      </c>
      <c r="DG50" s="121">
        <f t="shared" si="36"/>
        <v>0</v>
      </c>
      <c r="DH50" s="121">
        <f t="shared" si="36"/>
        <v>0</v>
      </c>
      <c r="DI50" s="121">
        <f t="shared" si="36"/>
        <v>0</v>
      </c>
      <c r="DJ50" s="121">
        <f>DJ37-DJ44</f>
        <v>0</v>
      </c>
      <c r="DK50" s="121">
        <f t="shared" ref="DK50:DM50" si="37">DK37-DK44</f>
        <v>0</v>
      </c>
      <c r="DL50" s="121">
        <f t="shared" si="37"/>
        <v>0</v>
      </c>
      <c r="DM50" s="121">
        <f t="shared" si="37"/>
        <v>0</v>
      </c>
      <c r="DN50" s="121">
        <f>DN37-DN44</f>
        <v>0</v>
      </c>
      <c r="DO50" s="121">
        <f t="shared" ref="DO50:DU50" si="38">DO37-DO44</f>
        <v>0</v>
      </c>
      <c r="DP50" s="121">
        <f t="shared" si="38"/>
        <v>0</v>
      </c>
      <c r="DQ50" s="121">
        <f t="shared" si="38"/>
        <v>0</v>
      </c>
      <c r="DR50" s="121">
        <f t="shared" si="38"/>
        <v>0</v>
      </c>
      <c r="DS50" s="121">
        <f t="shared" si="38"/>
        <v>0</v>
      </c>
      <c r="DT50" s="121">
        <f t="shared" si="38"/>
        <v>0</v>
      </c>
      <c r="DU50" s="121">
        <f t="shared" si="38"/>
        <v>0</v>
      </c>
    </row>
    <row r="51" spans="2:125">
      <c r="B51" s="124" t="s">
        <v>155</v>
      </c>
      <c r="C51" s="118">
        <v>4400</v>
      </c>
      <c r="D51" s="119" t="s">
        <v>35</v>
      </c>
      <c r="E51" s="120">
        <f>SUM(F51:DU51)</f>
        <v>27775201581432.934</v>
      </c>
      <c r="F51" s="121">
        <f>F19+F35+F50</f>
        <v>-36209562398.547173</v>
      </c>
      <c r="G51" s="121">
        <f t="shared" ref="G51:AO51" si="39">G19+G35+G50</f>
        <v>-37061317360.462051</v>
      </c>
      <c r="H51" s="121">
        <f t="shared" si="39"/>
        <v>-37936251003.325989</v>
      </c>
      <c r="I51" s="121">
        <f t="shared" si="39"/>
        <v>-38835021122.933586</v>
      </c>
      <c r="J51" s="121">
        <f t="shared" si="39"/>
        <v>-39758304815.479774</v>
      </c>
      <c r="K51" s="121">
        <f t="shared" si="39"/>
        <v>-40706799058.045158</v>
      </c>
      <c r="L51" s="121">
        <f t="shared" si="39"/>
        <v>-41681221306.848114</v>
      </c>
      <c r="M51" s="121">
        <f t="shared" si="39"/>
        <v>-42682310113.814133</v>
      </c>
      <c r="N51" s="121">
        <f t="shared" si="39"/>
        <v>-43710825762.029678</v>
      </c>
      <c r="O51" s="121">
        <f t="shared" si="39"/>
        <v>-44767550920.666016</v>
      </c>
      <c r="P51" s="121">
        <f t="shared" si="39"/>
        <v>-45853291319.976044</v>
      </c>
      <c r="Q51" s="121">
        <f t="shared" si="39"/>
        <v>-46968876446.987228</v>
      </c>
      <c r="R51" s="121">
        <f t="shared" si="39"/>
        <v>43113238764.959976</v>
      </c>
      <c r="S51" s="121">
        <f t="shared" si="39"/>
        <v>44301363092.536003</v>
      </c>
      <c r="T51" s="121">
        <f t="shared" si="39"/>
        <v>45521389634.560959</v>
      </c>
      <c r="U51" s="121">
        <f t="shared" si="39"/>
        <v>46774213693.723183</v>
      </c>
      <c r="V51" s="121">
        <f t="shared" si="39"/>
        <v>48060756616.084534</v>
      </c>
      <c r="W51" s="121">
        <f t="shared" si="39"/>
        <v>49381966569.471603</v>
      </c>
      <c r="X51" s="121">
        <f t="shared" si="39"/>
        <v>50738819345.587456</v>
      </c>
      <c r="Y51" s="121">
        <f t="shared" si="39"/>
        <v>52132319186.576027</v>
      </c>
      <c r="Z51" s="121">
        <f t="shared" si="39"/>
        <v>53563499636.795403</v>
      </c>
      <c r="AA51" s="121">
        <f t="shared" si="39"/>
        <v>55033424420.577919</v>
      </c>
      <c r="AB51" s="121">
        <f t="shared" si="39"/>
        <v>56543188346.780807</v>
      </c>
      <c r="AC51" s="121">
        <f t="shared" si="39"/>
        <v>58093918240.955841</v>
      </c>
      <c r="AD51" s="121">
        <f t="shared" si="39"/>
        <v>59686768905.991379</v>
      </c>
      <c r="AE51" s="121">
        <f t="shared" si="39"/>
        <v>61322944112.108139</v>
      </c>
      <c r="AF51" s="121">
        <f t="shared" si="39"/>
        <v>63003667617.116631</v>
      </c>
      <c r="AG51" s="121">
        <f t="shared" si="39"/>
        <v>64730204217.872589</v>
      </c>
      <c r="AH51" s="121">
        <f t="shared" si="39"/>
        <v>66503855833.896576</v>
      </c>
      <c r="AI51" s="121">
        <f t="shared" si="39"/>
        <v>68325962624.152969</v>
      </c>
      <c r="AJ51" s="121">
        <f t="shared" si="39"/>
        <v>70197904138.015991</v>
      </c>
      <c r="AK51" s="121">
        <f t="shared" si="39"/>
        <v>72121100501.481354</v>
      </c>
      <c r="AL51" s="121">
        <f t="shared" si="39"/>
        <v>74097013639.715729</v>
      </c>
      <c r="AM51" s="121">
        <f t="shared" si="39"/>
        <v>76127148537.069962</v>
      </c>
      <c r="AN51" s="121">
        <f t="shared" si="39"/>
        <v>78213054535.71788</v>
      </c>
      <c r="AO51" s="121">
        <f t="shared" si="39"/>
        <v>80356326674.118103</v>
      </c>
      <c r="AP51" s="121">
        <f>AP19+AP35+AP50</f>
        <v>82558602066.533417</v>
      </c>
      <c r="AQ51" s="121">
        <f t="shared" ref="AQ51:BY51" si="40">AQ19+AQ35+AQ50</f>
        <v>84821581324.882111</v>
      </c>
      <c r="AR51" s="121">
        <f t="shared" si="40"/>
        <v>87147000024.23439</v>
      </c>
      <c r="AS51" s="121">
        <f t="shared" si="40"/>
        <v>89536650213.308182</v>
      </c>
      <c r="AT51" s="121">
        <f t="shared" si="40"/>
        <v>91992376971.361099</v>
      </c>
      <c r="AU51" s="121">
        <f t="shared" si="40"/>
        <v>94516080012.919937</v>
      </c>
      <c r="AV51" s="121">
        <f t="shared" si="40"/>
        <v>97109715341.831894</v>
      </c>
      <c r="AW51" s="121">
        <f t="shared" si="40"/>
        <v>99775296956.17038</v>
      </c>
      <c r="AX51" s="121">
        <f t="shared" si="40"/>
        <v>102514898605.57549</v>
      </c>
      <c r="AY51" s="121">
        <f t="shared" si="40"/>
        <v>105330655602.65764</v>
      </c>
      <c r="AZ51" s="121">
        <f t="shared" si="40"/>
        <v>108224766690.14561</v>
      </c>
      <c r="BA51" s="121">
        <f t="shared" si="40"/>
        <v>111199495965.51126</v>
      </c>
      <c r="BB51" s="121">
        <f t="shared" si="40"/>
        <v>114257169864.85826</v>
      </c>
      <c r="BC51" s="121">
        <f t="shared" si="40"/>
        <v>117400199207.91806</v>
      </c>
      <c r="BD51" s="121">
        <f t="shared" si="40"/>
        <v>120631051306.05336</v>
      </c>
      <c r="BE51" s="121">
        <f t="shared" si="40"/>
        <v>123952272135.2301</v>
      </c>
      <c r="BF51" s="121">
        <f t="shared" si="40"/>
        <v>127366483575.97885</v>
      </c>
      <c r="BG51" s="121">
        <f t="shared" si="40"/>
        <v>130876385722.43097</v>
      </c>
      <c r="BH51" s="121">
        <f t="shared" si="40"/>
        <v>134484759262.5798</v>
      </c>
      <c r="BI51" s="121">
        <f t="shared" si="40"/>
        <v>138194467931.98444</v>
      </c>
      <c r="BJ51" s="121">
        <f t="shared" si="40"/>
        <v>142008461043.20273</v>
      </c>
      <c r="BK51" s="121">
        <f t="shared" si="40"/>
        <v>145929776093.31314</v>
      </c>
      <c r="BL51" s="121">
        <f t="shared" si="40"/>
        <v>149961541451.95743</v>
      </c>
      <c r="BM51" s="121">
        <f t="shared" si="40"/>
        <v>154106979132.41238</v>
      </c>
      <c r="BN51" s="121">
        <f t="shared" si="40"/>
        <v>158369402648.28043</v>
      </c>
      <c r="BO51" s="121">
        <f t="shared" si="40"/>
        <v>162752239958.46445</v>
      </c>
      <c r="BP51" s="121">
        <f t="shared" si="40"/>
        <v>167259006503.18265</v>
      </c>
      <c r="BQ51" s="121">
        <f t="shared" si="40"/>
        <v>171893328333.85815</v>
      </c>
      <c r="BR51" s="121">
        <f t="shared" si="40"/>
        <v>176658940339.81488</v>
      </c>
      <c r="BS51" s="121">
        <f t="shared" si="40"/>
        <v>181559689574.79553</v>
      </c>
      <c r="BT51" s="121">
        <f t="shared" si="40"/>
        <v>186599538686.41858</v>
      </c>
      <c r="BU51" s="121">
        <f t="shared" si="40"/>
        <v>191782569451.78345</v>
      </c>
      <c r="BV51" s="121">
        <f t="shared" si="40"/>
        <v>197112986422.53943</v>
      </c>
      <c r="BW51" s="121">
        <f t="shared" si="40"/>
        <v>202595120682.83115</v>
      </c>
      <c r="BX51" s="121">
        <f t="shared" si="40"/>
        <v>208233433723.64676</v>
      </c>
      <c r="BY51" s="121">
        <f t="shared" si="40"/>
        <v>214032521437.20374</v>
      </c>
      <c r="BZ51" s="121">
        <f>BZ19+BZ35+BZ50</f>
        <v>219997113235.11627</v>
      </c>
      <c r="CA51" s="121">
        <f t="shared" ref="CA51:DI51" si="41">CA19+CA35+CA50</f>
        <v>226132096294.21585</v>
      </c>
      <c r="CB51" s="121">
        <f t="shared" si="41"/>
        <v>232442489934.00726</v>
      </c>
      <c r="CC51" s="121">
        <f t="shared" si="41"/>
        <v>238933470129.87531</v>
      </c>
      <c r="CD51" s="121">
        <f t="shared" si="41"/>
        <v>245610369166.28369</v>
      </c>
      <c r="CE51" s="121">
        <f t="shared" si="41"/>
        <v>252478680434.3382</v>
      </c>
      <c r="CF51" s="121">
        <f t="shared" si="41"/>
        <v>259544063378.22998</v>
      </c>
      <c r="CG51" s="121">
        <f t="shared" si="41"/>
        <v>266812348595.20978</v>
      </c>
      <c r="CH51" s="121">
        <f t="shared" si="41"/>
        <v>274289543093.89307</v>
      </c>
      <c r="CI51" s="121">
        <f t="shared" si="41"/>
        <v>281981835715.84998</v>
      </c>
      <c r="CJ51" s="121">
        <f t="shared" si="41"/>
        <v>289895602725.58197</v>
      </c>
      <c r="CK51" s="121">
        <f t="shared" si="41"/>
        <v>298037413574.15424</v>
      </c>
      <c r="CL51" s="121">
        <f t="shared" si="41"/>
        <v>306414031841.91626</v>
      </c>
      <c r="CM51" s="121">
        <f t="shared" si="41"/>
        <v>315032441365.91162</v>
      </c>
      <c r="CN51" s="121">
        <f t="shared" si="41"/>
        <v>323899822557.75702</v>
      </c>
      <c r="CO51" s="121">
        <f t="shared" si="41"/>
        <v>333023578917.9519</v>
      </c>
      <c r="CP51" s="121">
        <f t="shared" si="41"/>
        <v>342411338752.76331</v>
      </c>
      <c r="CQ51" s="121">
        <f t="shared" si="41"/>
        <v>352070962100.03113</v>
      </c>
      <c r="CR51" s="121">
        <f t="shared" si="41"/>
        <v>362010547870.4306</v>
      </c>
      <c r="CS51" s="121">
        <f t="shared" si="41"/>
        <v>372238441210.94006</v>
      </c>
      <c r="CT51" s="121">
        <f t="shared" si="41"/>
        <v>382763241097.4715</v>
      </c>
      <c r="CU51" s="121">
        <f t="shared" si="41"/>
        <v>393593808163.84088</v>
      </c>
      <c r="CV51" s="121">
        <f t="shared" si="41"/>
        <v>404739272774.48022</v>
      </c>
      <c r="CW51" s="121">
        <f t="shared" si="41"/>
        <v>416209043348.52728</v>
      </c>
      <c r="CX51" s="121">
        <f t="shared" si="41"/>
        <v>428012809943.16986</v>
      </c>
      <c r="CY51" s="121">
        <f t="shared" si="41"/>
        <v>440160573104.36383</v>
      </c>
      <c r="CZ51" s="121">
        <f t="shared" si="41"/>
        <v>452662622993.30817</v>
      </c>
      <c r="DA51" s="121">
        <f t="shared" si="41"/>
        <v>465529568797.31604</v>
      </c>
      <c r="DB51" s="121">
        <f t="shared" si="41"/>
        <v>478772343434.00067</v>
      </c>
      <c r="DC51" s="121">
        <f t="shared" si="41"/>
        <v>492402213557.96075</v>
      </c>
      <c r="DD51" s="121">
        <f t="shared" si="41"/>
        <v>506430789879.46497</v>
      </c>
      <c r="DE51" s="121">
        <f t="shared" si="41"/>
        <v>520870037804.90088</v>
      </c>
      <c r="DF51" s="121">
        <f t="shared" si="41"/>
        <v>535732288409.09351</v>
      </c>
      <c r="DG51" s="121">
        <f t="shared" si="41"/>
        <v>551030249749.88977</v>
      </c>
      <c r="DH51" s="121">
        <f t="shared" si="41"/>
        <v>566777018535.75293</v>
      </c>
      <c r="DI51" s="121">
        <f t="shared" si="41"/>
        <v>582986092157.43359</v>
      </c>
      <c r="DJ51" s="121">
        <f>DJ19+DJ35+DJ50</f>
        <v>599671376095.14551</v>
      </c>
      <c r="DK51" s="121">
        <f t="shared" ref="DK51:DU51" si="42">DK19+DK35+DK50</f>
        <v>616847216713.02148</v>
      </c>
      <c r="DL51" s="121">
        <f t="shared" si="42"/>
        <v>634528384453.00757</v>
      </c>
      <c r="DM51" s="121">
        <f t="shared" si="42"/>
        <v>652730107440.72522</v>
      </c>
      <c r="DN51" s="121">
        <f t="shared" si="42"/>
        <v>671468080516.23547</v>
      </c>
      <c r="DO51" s="121">
        <f t="shared" si="42"/>
        <v>690758479703.04248</v>
      </c>
      <c r="DP51" s="121">
        <f t="shared" si="42"/>
        <v>710617977129.08435</v>
      </c>
      <c r="DQ51" s="121">
        <f t="shared" si="42"/>
        <v>731063756413.91797</v>
      </c>
      <c r="DR51" s="121">
        <f t="shared" si="42"/>
        <v>752113528536.71704</v>
      </c>
      <c r="DS51" s="121">
        <f t="shared" si="42"/>
        <v>773785548200.19336</v>
      </c>
      <c r="DT51" s="121">
        <f t="shared" si="42"/>
        <v>796098630706.01379</v>
      </c>
      <c r="DU51" s="121">
        <f t="shared" si="42"/>
        <v>819072169357.76892</v>
      </c>
    </row>
    <row r="52" spans="2:125" ht="26">
      <c r="B52" s="126" t="s">
        <v>156</v>
      </c>
      <c r="C52" s="116">
        <v>4450</v>
      </c>
      <c r="D52" s="108" t="s">
        <v>35</v>
      </c>
      <c r="E52" s="185">
        <f>SUM(F52:DU52)</f>
        <v>0</v>
      </c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  <c r="AA52" s="127"/>
      <c r="AB52" s="127"/>
      <c r="AC52" s="127"/>
      <c r="AD52" s="127"/>
      <c r="AE52" s="127"/>
      <c r="AF52" s="127"/>
      <c r="AG52" s="127"/>
      <c r="AH52" s="127"/>
      <c r="AI52" s="127"/>
      <c r="AJ52" s="127"/>
      <c r="AK52" s="127"/>
      <c r="AL52" s="127"/>
      <c r="AM52" s="127"/>
      <c r="AN52" s="127"/>
      <c r="AO52" s="127"/>
      <c r="AP52" s="127"/>
      <c r="AQ52" s="127"/>
      <c r="AR52" s="127"/>
      <c r="AS52" s="127"/>
      <c r="AT52" s="127"/>
      <c r="AU52" s="127"/>
      <c r="AV52" s="127"/>
      <c r="AW52" s="127"/>
      <c r="AX52" s="127"/>
      <c r="AY52" s="127"/>
      <c r="AZ52" s="127"/>
      <c r="BA52" s="127"/>
      <c r="BB52" s="127"/>
      <c r="BC52" s="127"/>
      <c r="BD52" s="127"/>
      <c r="BE52" s="127"/>
      <c r="BF52" s="127"/>
      <c r="BG52" s="127"/>
      <c r="BH52" s="127"/>
      <c r="BI52" s="127"/>
      <c r="BJ52" s="127"/>
      <c r="BK52" s="127"/>
      <c r="BL52" s="127"/>
      <c r="BM52" s="127"/>
      <c r="BN52" s="127"/>
      <c r="BO52" s="127"/>
      <c r="BP52" s="127"/>
      <c r="BQ52" s="127"/>
      <c r="BR52" s="127"/>
      <c r="BS52" s="127"/>
      <c r="BT52" s="127"/>
      <c r="BU52" s="127"/>
      <c r="BV52" s="127"/>
      <c r="BW52" s="127"/>
      <c r="BX52" s="127"/>
      <c r="BY52" s="127"/>
      <c r="BZ52" s="127"/>
      <c r="CA52" s="127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  <c r="CN52" s="127"/>
      <c r="CO52" s="127"/>
      <c r="CP52" s="127"/>
      <c r="CQ52" s="127"/>
      <c r="CR52" s="127"/>
      <c r="CS52" s="127"/>
      <c r="CT52" s="127"/>
      <c r="CU52" s="127"/>
      <c r="CV52" s="127"/>
      <c r="CW52" s="127"/>
      <c r="CX52" s="127"/>
      <c r="CY52" s="127"/>
      <c r="CZ52" s="127"/>
      <c r="DA52" s="127"/>
      <c r="DB52" s="127"/>
      <c r="DC52" s="127"/>
      <c r="DD52" s="127"/>
      <c r="DE52" s="127"/>
      <c r="DF52" s="127"/>
      <c r="DG52" s="127"/>
      <c r="DH52" s="127"/>
      <c r="DI52" s="127"/>
      <c r="DJ52" s="127"/>
      <c r="DK52" s="127"/>
      <c r="DL52" s="127"/>
      <c r="DM52" s="127"/>
      <c r="DN52" s="127"/>
      <c r="DO52" s="127"/>
      <c r="DP52" s="127"/>
      <c r="DQ52" s="127"/>
      <c r="DR52" s="127"/>
      <c r="DS52" s="127"/>
      <c r="DT52" s="127"/>
      <c r="DU52" s="127"/>
    </row>
    <row r="53" spans="2:125" ht="26">
      <c r="B53" s="126" t="s">
        <v>157</v>
      </c>
      <c r="C53" s="116">
        <v>4500</v>
      </c>
      <c r="D53" s="108" t="s">
        <v>35</v>
      </c>
      <c r="E53" s="120">
        <f>SUM(F53:DU53)</f>
        <v>27775201581432.934</v>
      </c>
      <c r="F53" s="110">
        <f>F52+F51</f>
        <v>-36209562398.547173</v>
      </c>
      <c r="G53" s="110">
        <f t="shared" ref="G53:AO53" si="43">G52+G51</f>
        <v>-37061317360.462051</v>
      </c>
      <c r="H53" s="110">
        <f t="shared" si="43"/>
        <v>-37936251003.325989</v>
      </c>
      <c r="I53" s="110">
        <f t="shared" si="43"/>
        <v>-38835021122.933586</v>
      </c>
      <c r="J53" s="110">
        <f t="shared" si="43"/>
        <v>-39758304815.479774</v>
      </c>
      <c r="K53" s="110">
        <f t="shared" si="43"/>
        <v>-40706799058.045158</v>
      </c>
      <c r="L53" s="110">
        <f t="shared" si="43"/>
        <v>-41681221306.848114</v>
      </c>
      <c r="M53" s="110">
        <f t="shared" si="43"/>
        <v>-42682310113.814133</v>
      </c>
      <c r="N53" s="110">
        <f t="shared" si="43"/>
        <v>-43710825762.029678</v>
      </c>
      <c r="O53" s="110">
        <f t="shared" si="43"/>
        <v>-44767550920.666016</v>
      </c>
      <c r="P53" s="110">
        <f t="shared" si="43"/>
        <v>-45853291319.976044</v>
      </c>
      <c r="Q53" s="110">
        <f t="shared" si="43"/>
        <v>-46968876446.987228</v>
      </c>
      <c r="R53" s="110">
        <f t="shared" si="43"/>
        <v>43113238764.959976</v>
      </c>
      <c r="S53" s="110">
        <f t="shared" si="43"/>
        <v>44301363092.536003</v>
      </c>
      <c r="T53" s="110">
        <f t="shared" si="43"/>
        <v>45521389634.560959</v>
      </c>
      <c r="U53" s="110">
        <f t="shared" si="43"/>
        <v>46774213693.723183</v>
      </c>
      <c r="V53" s="110">
        <f t="shared" si="43"/>
        <v>48060756616.084534</v>
      </c>
      <c r="W53" s="110">
        <f t="shared" si="43"/>
        <v>49381966569.471603</v>
      </c>
      <c r="X53" s="110">
        <f t="shared" si="43"/>
        <v>50738819345.587456</v>
      </c>
      <c r="Y53" s="110">
        <f t="shared" si="43"/>
        <v>52132319186.576027</v>
      </c>
      <c r="Z53" s="110">
        <f t="shared" si="43"/>
        <v>53563499636.795403</v>
      </c>
      <c r="AA53" s="110">
        <f t="shared" si="43"/>
        <v>55033424420.577919</v>
      </c>
      <c r="AB53" s="110">
        <f t="shared" si="43"/>
        <v>56543188346.780807</v>
      </c>
      <c r="AC53" s="110">
        <f t="shared" si="43"/>
        <v>58093918240.955841</v>
      </c>
      <c r="AD53" s="110">
        <f t="shared" si="43"/>
        <v>59686768905.991379</v>
      </c>
      <c r="AE53" s="110">
        <f t="shared" si="43"/>
        <v>61322944112.108139</v>
      </c>
      <c r="AF53" s="110">
        <f t="shared" si="43"/>
        <v>63003667617.116631</v>
      </c>
      <c r="AG53" s="110">
        <f t="shared" si="43"/>
        <v>64730204217.872589</v>
      </c>
      <c r="AH53" s="110">
        <f t="shared" si="43"/>
        <v>66503855833.896576</v>
      </c>
      <c r="AI53" s="110">
        <f t="shared" si="43"/>
        <v>68325962624.152969</v>
      </c>
      <c r="AJ53" s="110">
        <f t="shared" si="43"/>
        <v>70197904138.015991</v>
      </c>
      <c r="AK53" s="110">
        <f t="shared" si="43"/>
        <v>72121100501.481354</v>
      </c>
      <c r="AL53" s="110">
        <f t="shared" si="43"/>
        <v>74097013639.715729</v>
      </c>
      <c r="AM53" s="110">
        <f t="shared" si="43"/>
        <v>76127148537.069962</v>
      </c>
      <c r="AN53" s="110">
        <f t="shared" si="43"/>
        <v>78213054535.71788</v>
      </c>
      <c r="AO53" s="110">
        <f t="shared" si="43"/>
        <v>80356326674.118103</v>
      </c>
      <c r="AP53" s="110">
        <f>AP52+AP51</f>
        <v>82558602066.533417</v>
      </c>
      <c r="AQ53" s="110">
        <f t="shared" ref="AQ53:BY53" si="44">AQ52+AQ51</f>
        <v>84821581324.882111</v>
      </c>
      <c r="AR53" s="110">
        <f t="shared" si="44"/>
        <v>87147000024.23439</v>
      </c>
      <c r="AS53" s="110">
        <f t="shared" si="44"/>
        <v>89536650213.308182</v>
      </c>
      <c r="AT53" s="110">
        <f t="shared" si="44"/>
        <v>91992376971.361099</v>
      </c>
      <c r="AU53" s="110">
        <f t="shared" si="44"/>
        <v>94516080012.919937</v>
      </c>
      <c r="AV53" s="110">
        <f t="shared" si="44"/>
        <v>97109715341.831894</v>
      </c>
      <c r="AW53" s="110">
        <f t="shared" si="44"/>
        <v>99775296956.17038</v>
      </c>
      <c r="AX53" s="110">
        <f t="shared" si="44"/>
        <v>102514898605.57549</v>
      </c>
      <c r="AY53" s="110">
        <f t="shared" si="44"/>
        <v>105330655602.65764</v>
      </c>
      <c r="AZ53" s="110">
        <f t="shared" si="44"/>
        <v>108224766690.14561</v>
      </c>
      <c r="BA53" s="110">
        <f t="shared" si="44"/>
        <v>111199495965.51126</v>
      </c>
      <c r="BB53" s="110">
        <f t="shared" si="44"/>
        <v>114257169864.85826</v>
      </c>
      <c r="BC53" s="110">
        <f t="shared" si="44"/>
        <v>117400199207.91806</v>
      </c>
      <c r="BD53" s="110">
        <f t="shared" si="44"/>
        <v>120631051306.05336</v>
      </c>
      <c r="BE53" s="110">
        <f t="shared" si="44"/>
        <v>123952272135.2301</v>
      </c>
      <c r="BF53" s="110">
        <f t="shared" si="44"/>
        <v>127366483575.97885</v>
      </c>
      <c r="BG53" s="110">
        <f t="shared" si="44"/>
        <v>130876385722.43097</v>
      </c>
      <c r="BH53" s="110">
        <f t="shared" si="44"/>
        <v>134484759262.5798</v>
      </c>
      <c r="BI53" s="110">
        <f t="shared" si="44"/>
        <v>138194467931.98444</v>
      </c>
      <c r="BJ53" s="110">
        <f t="shared" si="44"/>
        <v>142008461043.20273</v>
      </c>
      <c r="BK53" s="110">
        <f t="shared" si="44"/>
        <v>145929776093.31314</v>
      </c>
      <c r="BL53" s="110">
        <f t="shared" si="44"/>
        <v>149961541451.95743</v>
      </c>
      <c r="BM53" s="110">
        <f t="shared" si="44"/>
        <v>154106979132.41238</v>
      </c>
      <c r="BN53" s="110">
        <f t="shared" si="44"/>
        <v>158369402648.28043</v>
      </c>
      <c r="BO53" s="110">
        <f t="shared" si="44"/>
        <v>162752239958.46445</v>
      </c>
      <c r="BP53" s="110">
        <f t="shared" si="44"/>
        <v>167259006503.18265</v>
      </c>
      <c r="BQ53" s="110">
        <f t="shared" si="44"/>
        <v>171893328333.85815</v>
      </c>
      <c r="BR53" s="110">
        <f t="shared" si="44"/>
        <v>176658940339.81488</v>
      </c>
      <c r="BS53" s="110">
        <f t="shared" si="44"/>
        <v>181559689574.79553</v>
      </c>
      <c r="BT53" s="110">
        <f t="shared" si="44"/>
        <v>186599538686.41858</v>
      </c>
      <c r="BU53" s="110">
        <f t="shared" si="44"/>
        <v>191782569451.78345</v>
      </c>
      <c r="BV53" s="110">
        <f t="shared" si="44"/>
        <v>197112986422.53943</v>
      </c>
      <c r="BW53" s="110">
        <f t="shared" si="44"/>
        <v>202595120682.83115</v>
      </c>
      <c r="BX53" s="110">
        <f t="shared" si="44"/>
        <v>208233433723.64676</v>
      </c>
      <c r="BY53" s="110">
        <f t="shared" si="44"/>
        <v>214032521437.20374</v>
      </c>
      <c r="BZ53" s="110">
        <f>BZ52+BZ51</f>
        <v>219997113235.11627</v>
      </c>
      <c r="CA53" s="110">
        <f t="shared" ref="CA53:DI53" si="45">CA52+CA51</f>
        <v>226132096294.21585</v>
      </c>
      <c r="CB53" s="110">
        <f t="shared" si="45"/>
        <v>232442489934.00726</v>
      </c>
      <c r="CC53" s="110">
        <f t="shared" si="45"/>
        <v>238933470129.87531</v>
      </c>
      <c r="CD53" s="110">
        <f t="shared" si="45"/>
        <v>245610369166.28369</v>
      </c>
      <c r="CE53" s="110">
        <f t="shared" si="45"/>
        <v>252478680434.3382</v>
      </c>
      <c r="CF53" s="110">
        <f t="shared" si="45"/>
        <v>259544063378.22998</v>
      </c>
      <c r="CG53" s="110">
        <f t="shared" si="45"/>
        <v>266812348595.20978</v>
      </c>
      <c r="CH53" s="110">
        <f t="shared" si="45"/>
        <v>274289543093.89307</v>
      </c>
      <c r="CI53" s="110">
        <f t="shared" si="45"/>
        <v>281981835715.84998</v>
      </c>
      <c r="CJ53" s="110">
        <f t="shared" si="45"/>
        <v>289895602725.58197</v>
      </c>
      <c r="CK53" s="110">
        <f t="shared" si="45"/>
        <v>298037413574.15424</v>
      </c>
      <c r="CL53" s="110">
        <f t="shared" si="45"/>
        <v>306414031841.91626</v>
      </c>
      <c r="CM53" s="110">
        <f t="shared" si="45"/>
        <v>315032441365.91162</v>
      </c>
      <c r="CN53" s="110">
        <f t="shared" si="45"/>
        <v>323899822557.75702</v>
      </c>
      <c r="CO53" s="110">
        <f t="shared" si="45"/>
        <v>333023578917.9519</v>
      </c>
      <c r="CP53" s="110">
        <f t="shared" si="45"/>
        <v>342411338752.76331</v>
      </c>
      <c r="CQ53" s="110">
        <f t="shared" si="45"/>
        <v>352070962100.03113</v>
      </c>
      <c r="CR53" s="110">
        <f t="shared" si="45"/>
        <v>362010547870.4306</v>
      </c>
      <c r="CS53" s="110">
        <f t="shared" si="45"/>
        <v>372238441210.94006</v>
      </c>
      <c r="CT53" s="110">
        <f t="shared" si="45"/>
        <v>382763241097.4715</v>
      </c>
      <c r="CU53" s="110">
        <f t="shared" si="45"/>
        <v>393593808163.84088</v>
      </c>
      <c r="CV53" s="110">
        <f t="shared" si="45"/>
        <v>404739272774.48022</v>
      </c>
      <c r="CW53" s="110">
        <f t="shared" si="45"/>
        <v>416209043348.52728</v>
      </c>
      <c r="CX53" s="110">
        <f t="shared" si="45"/>
        <v>428012809943.16986</v>
      </c>
      <c r="CY53" s="110">
        <f t="shared" si="45"/>
        <v>440160573104.36383</v>
      </c>
      <c r="CZ53" s="110">
        <f t="shared" si="45"/>
        <v>452662622993.30817</v>
      </c>
      <c r="DA53" s="110">
        <f t="shared" si="45"/>
        <v>465529568797.31604</v>
      </c>
      <c r="DB53" s="110">
        <f t="shared" si="45"/>
        <v>478772343434.00067</v>
      </c>
      <c r="DC53" s="110">
        <f t="shared" si="45"/>
        <v>492402213557.96075</v>
      </c>
      <c r="DD53" s="110">
        <f t="shared" si="45"/>
        <v>506430789879.46497</v>
      </c>
      <c r="DE53" s="110">
        <f t="shared" si="45"/>
        <v>520870037804.90088</v>
      </c>
      <c r="DF53" s="110">
        <f t="shared" si="45"/>
        <v>535732288409.09351</v>
      </c>
      <c r="DG53" s="110">
        <f t="shared" si="45"/>
        <v>551030249749.88977</v>
      </c>
      <c r="DH53" s="110">
        <f t="shared" si="45"/>
        <v>566777018535.75293</v>
      </c>
      <c r="DI53" s="110">
        <f t="shared" si="45"/>
        <v>582986092157.43359</v>
      </c>
      <c r="DJ53" s="110">
        <f>DJ52+DJ51</f>
        <v>599671376095.14551</v>
      </c>
      <c r="DK53" s="110">
        <f t="shared" ref="DK53:DU53" si="46">DK52+DK51</f>
        <v>616847216713.02148</v>
      </c>
      <c r="DL53" s="110">
        <f t="shared" si="46"/>
        <v>634528384453.00757</v>
      </c>
      <c r="DM53" s="110">
        <f t="shared" si="46"/>
        <v>652730107440.72522</v>
      </c>
      <c r="DN53" s="110">
        <f t="shared" si="46"/>
        <v>671468080516.23547</v>
      </c>
      <c r="DO53" s="110">
        <f t="shared" si="46"/>
        <v>690758479703.04248</v>
      </c>
      <c r="DP53" s="110">
        <f t="shared" si="46"/>
        <v>710617977129.08435</v>
      </c>
      <c r="DQ53" s="110">
        <f t="shared" si="46"/>
        <v>731063756413.91797</v>
      </c>
      <c r="DR53" s="110">
        <f t="shared" si="46"/>
        <v>752113528536.71704</v>
      </c>
      <c r="DS53" s="110">
        <f t="shared" si="46"/>
        <v>773785548200.19336</v>
      </c>
      <c r="DT53" s="110">
        <f t="shared" si="46"/>
        <v>796098630706.01379</v>
      </c>
      <c r="DU53" s="110">
        <f t="shared" si="46"/>
        <v>819072169357.76892</v>
      </c>
    </row>
    <row r="54" spans="2:125">
      <c r="B54" s="128"/>
    </row>
  </sheetData>
  <mergeCells count="11">
    <mergeCell ref="B2:E2"/>
    <mergeCell ref="F2:Q2"/>
    <mergeCell ref="R2:AC2"/>
    <mergeCell ref="AD2:AO2"/>
    <mergeCell ref="AP2:BA2"/>
    <mergeCell ref="DJ2:DU2"/>
    <mergeCell ref="BB2:BM2"/>
    <mergeCell ref="BN2:BY2"/>
    <mergeCell ref="BZ2:CK2"/>
    <mergeCell ref="CL2:CW2"/>
    <mergeCell ref="CX2:DI2"/>
  </mergeCells>
  <phoneticPr fontId="53" type="noConversion"/>
  <pageMargins left="0.7" right="0.7" top="0.75" bottom="0.75" header="0.3" footer="0.3"/>
  <pageSetup paperSize="9" firstPageNumber="4294967295" orientation="portrait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9A492-F4F9-4F38-A2A2-C89CCA9D8C77}">
  <dimension ref="B2:DX37"/>
  <sheetViews>
    <sheetView workbookViewId="0">
      <selection activeCell="H7" sqref="H7"/>
    </sheetView>
  </sheetViews>
  <sheetFormatPr baseColWidth="10" defaultColWidth="8.83203125" defaultRowHeight="9"/>
  <cols>
    <col min="1" max="4" width="8.83203125" style="230"/>
    <col min="5" max="5" width="15.5" style="230" customWidth="1"/>
    <col min="6" max="6" width="8.83203125" style="230"/>
    <col min="7" max="7" width="13.33203125" style="230" customWidth="1"/>
    <col min="8" max="8" width="13.1640625" style="230" customWidth="1"/>
    <col min="9" max="9" width="9.83203125" style="230" bestFit="1" customWidth="1"/>
    <col min="10" max="10" width="10.33203125" style="230" customWidth="1"/>
    <col min="11" max="11" width="11.33203125" style="230" customWidth="1"/>
    <col min="12" max="12" width="11.6640625" style="230" customWidth="1"/>
    <col min="13" max="13" width="9.6640625" style="230" customWidth="1"/>
    <col min="14" max="15" width="10.5" style="230" customWidth="1"/>
    <col min="16" max="20" width="9" style="230" bestFit="1" customWidth="1"/>
    <col min="21" max="128" width="18.5" style="230" customWidth="1"/>
    <col min="129" max="16384" width="8.83203125" style="230"/>
  </cols>
  <sheetData>
    <row r="2" spans="3:128" ht="10" thickBot="1"/>
    <row r="3" spans="3:128" ht="10">
      <c r="I3" s="317" t="s">
        <v>23</v>
      </c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20"/>
      <c r="U3" s="317" t="s">
        <v>24</v>
      </c>
      <c r="V3" s="318"/>
      <c r="W3" s="318"/>
      <c r="X3" s="318"/>
      <c r="Y3" s="318"/>
      <c r="Z3" s="318"/>
      <c r="AA3" s="318"/>
      <c r="AB3" s="318"/>
      <c r="AC3" s="318"/>
      <c r="AD3" s="318"/>
      <c r="AE3" s="318"/>
      <c r="AF3" s="320"/>
      <c r="AG3" s="317" t="s">
        <v>25</v>
      </c>
      <c r="AH3" s="318"/>
      <c r="AI3" s="318"/>
      <c r="AJ3" s="318"/>
      <c r="AK3" s="318"/>
      <c r="AL3" s="318"/>
      <c r="AM3" s="318"/>
      <c r="AN3" s="318"/>
      <c r="AO3" s="318"/>
      <c r="AP3" s="318"/>
      <c r="AQ3" s="318"/>
      <c r="AR3" s="319"/>
      <c r="AS3" s="317" t="s">
        <v>346</v>
      </c>
      <c r="AT3" s="318"/>
      <c r="AU3" s="318"/>
      <c r="AV3" s="318"/>
      <c r="AW3" s="318"/>
      <c r="AX3" s="318"/>
      <c r="AY3" s="318"/>
      <c r="AZ3" s="318"/>
      <c r="BA3" s="318"/>
      <c r="BB3" s="318"/>
      <c r="BC3" s="318"/>
      <c r="BD3" s="320"/>
      <c r="BE3" s="317" t="s">
        <v>347</v>
      </c>
      <c r="BF3" s="318"/>
      <c r="BG3" s="318"/>
      <c r="BH3" s="318"/>
      <c r="BI3" s="318"/>
      <c r="BJ3" s="318"/>
      <c r="BK3" s="318"/>
      <c r="BL3" s="318"/>
      <c r="BM3" s="318"/>
      <c r="BN3" s="318"/>
      <c r="BO3" s="318"/>
      <c r="BP3" s="320"/>
      <c r="BQ3" s="317" t="s">
        <v>348</v>
      </c>
      <c r="BR3" s="318"/>
      <c r="BS3" s="318"/>
      <c r="BT3" s="318"/>
      <c r="BU3" s="318"/>
      <c r="BV3" s="318"/>
      <c r="BW3" s="318"/>
      <c r="BX3" s="318"/>
      <c r="BY3" s="318"/>
      <c r="BZ3" s="318"/>
      <c r="CA3" s="318"/>
      <c r="CB3" s="319"/>
      <c r="CC3" s="317" t="s">
        <v>349</v>
      </c>
      <c r="CD3" s="318"/>
      <c r="CE3" s="318"/>
      <c r="CF3" s="318"/>
      <c r="CG3" s="318"/>
      <c r="CH3" s="318"/>
      <c r="CI3" s="318"/>
      <c r="CJ3" s="318"/>
      <c r="CK3" s="318"/>
      <c r="CL3" s="318"/>
      <c r="CM3" s="318"/>
      <c r="CN3" s="320"/>
      <c r="CO3" s="317" t="s">
        <v>350</v>
      </c>
      <c r="CP3" s="318"/>
      <c r="CQ3" s="318"/>
      <c r="CR3" s="318"/>
      <c r="CS3" s="318"/>
      <c r="CT3" s="318"/>
      <c r="CU3" s="318"/>
      <c r="CV3" s="318"/>
      <c r="CW3" s="318"/>
      <c r="CX3" s="318"/>
      <c r="CY3" s="318"/>
      <c r="CZ3" s="320"/>
      <c r="DA3" s="317" t="s">
        <v>351</v>
      </c>
      <c r="DB3" s="318"/>
      <c r="DC3" s="318"/>
      <c r="DD3" s="318"/>
      <c r="DE3" s="318"/>
      <c r="DF3" s="318"/>
      <c r="DG3" s="318"/>
      <c r="DH3" s="318"/>
      <c r="DI3" s="318"/>
      <c r="DJ3" s="318"/>
      <c r="DK3" s="318"/>
      <c r="DL3" s="319"/>
      <c r="DM3" s="317" t="s">
        <v>352</v>
      </c>
      <c r="DN3" s="318"/>
      <c r="DO3" s="318"/>
      <c r="DP3" s="318"/>
      <c r="DQ3" s="318"/>
      <c r="DR3" s="318"/>
      <c r="DS3" s="318"/>
      <c r="DT3" s="318"/>
      <c r="DU3" s="318"/>
      <c r="DV3" s="318"/>
      <c r="DW3" s="318"/>
      <c r="DX3" s="320"/>
    </row>
    <row r="4" spans="3:128" ht="10">
      <c r="I4" s="231">
        <v>1</v>
      </c>
      <c r="J4" s="231">
        <v>2</v>
      </c>
      <c r="K4" s="231">
        <v>3</v>
      </c>
      <c r="L4" s="231">
        <v>4</v>
      </c>
      <c r="M4" s="231">
        <v>5</v>
      </c>
      <c r="N4" s="231">
        <v>6</v>
      </c>
      <c r="O4" s="231">
        <v>7</v>
      </c>
      <c r="P4" s="231">
        <v>8</v>
      </c>
      <c r="Q4" s="231">
        <v>9</v>
      </c>
      <c r="R4" s="231">
        <v>10</v>
      </c>
      <c r="S4" s="231">
        <v>11</v>
      </c>
      <c r="T4" s="231">
        <v>12</v>
      </c>
      <c r="U4" s="231">
        <v>1</v>
      </c>
      <c r="V4" s="231">
        <v>2</v>
      </c>
      <c r="W4" s="231">
        <v>3</v>
      </c>
      <c r="X4" s="231">
        <v>4</v>
      </c>
      <c r="Y4" s="231">
        <v>5</v>
      </c>
      <c r="Z4" s="231">
        <v>6</v>
      </c>
      <c r="AA4" s="231">
        <v>7</v>
      </c>
      <c r="AB4" s="231">
        <v>8</v>
      </c>
      <c r="AC4" s="231">
        <v>9</v>
      </c>
      <c r="AD4" s="231">
        <v>10</v>
      </c>
      <c r="AE4" s="231">
        <v>11</v>
      </c>
      <c r="AF4" s="231">
        <v>12</v>
      </c>
      <c r="AG4" s="231">
        <v>1</v>
      </c>
      <c r="AH4" s="231">
        <v>2</v>
      </c>
      <c r="AI4" s="231">
        <v>3</v>
      </c>
      <c r="AJ4" s="231">
        <v>4</v>
      </c>
      <c r="AK4" s="231">
        <v>5</v>
      </c>
      <c r="AL4" s="231">
        <v>6</v>
      </c>
      <c r="AM4" s="231">
        <v>7</v>
      </c>
      <c r="AN4" s="231">
        <v>8</v>
      </c>
      <c r="AO4" s="231">
        <v>9</v>
      </c>
      <c r="AP4" s="231">
        <v>10</v>
      </c>
      <c r="AQ4" s="231">
        <v>11</v>
      </c>
      <c r="AR4" s="232">
        <v>12</v>
      </c>
      <c r="AS4" s="231">
        <v>1</v>
      </c>
      <c r="AT4" s="231">
        <v>2</v>
      </c>
      <c r="AU4" s="231">
        <v>3</v>
      </c>
      <c r="AV4" s="231">
        <v>4</v>
      </c>
      <c r="AW4" s="231">
        <v>5</v>
      </c>
      <c r="AX4" s="231">
        <v>6</v>
      </c>
      <c r="AY4" s="231">
        <v>7</v>
      </c>
      <c r="AZ4" s="231">
        <v>8</v>
      </c>
      <c r="BA4" s="231">
        <v>9</v>
      </c>
      <c r="BB4" s="231">
        <v>10</v>
      </c>
      <c r="BC4" s="231">
        <v>11</v>
      </c>
      <c r="BD4" s="231">
        <v>12</v>
      </c>
      <c r="BE4" s="231">
        <v>1</v>
      </c>
      <c r="BF4" s="231">
        <v>2</v>
      </c>
      <c r="BG4" s="231">
        <v>3</v>
      </c>
      <c r="BH4" s="231">
        <v>4</v>
      </c>
      <c r="BI4" s="231">
        <v>5</v>
      </c>
      <c r="BJ4" s="231">
        <v>6</v>
      </c>
      <c r="BK4" s="231">
        <v>7</v>
      </c>
      <c r="BL4" s="231">
        <v>8</v>
      </c>
      <c r="BM4" s="231">
        <v>9</v>
      </c>
      <c r="BN4" s="231">
        <v>10</v>
      </c>
      <c r="BO4" s="231">
        <v>11</v>
      </c>
      <c r="BP4" s="231">
        <v>12</v>
      </c>
      <c r="BQ4" s="231">
        <v>1</v>
      </c>
      <c r="BR4" s="231">
        <v>2</v>
      </c>
      <c r="BS4" s="231">
        <v>3</v>
      </c>
      <c r="BT4" s="231">
        <v>4</v>
      </c>
      <c r="BU4" s="231">
        <v>5</v>
      </c>
      <c r="BV4" s="231">
        <v>6</v>
      </c>
      <c r="BW4" s="231">
        <v>7</v>
      </c>
      <c r="BX4" s="231">
        <v>8</v>
      </c>
      <c r="BY4" s="231">
        <v>9</v>
      </c>
      <c r="BZ4" s="231">
        <v>10</v>
      </c>
      <c r="CA4" s="231">
        <v>11</v>
      </c>
      <c r="CB4" s="232">
        <v>12</v>
      </c>
      <c r="CC4" s="231">
        <v>1</v>
      </c>
      <c r="CD4" s="231">
        <v>2</v>
      </c>
      <c r="CE4" s="231">
        <v>3</v>
      </c>
      <c r="CF4" s="231">
        <v>4</v>
      </c>
      <c r="CG4" s="231">
        <v>5</v>
      </c>
      <c r="CH4" s="231">
        <v>6</v>
      </c>
      <c r="CI4" s="231">
        <v>7</v>
      </c>
      <c r="CJ4" s="231">
        <v>8</v>
      </c>
      <c r="CK4" s="231">
        <v>9</v>
      </c>
      <c r="CL4" s="231">
        <v>10</v>
      </c>
      <c r="CM4" s="231">
        <v>11</v>
      </c>
      <c r="CN4" s="231">
        <v>12</v>
      </c>
      <c r="CO4" s="231">
        <v>1</v>
      </c>
      <c r="CP4" s="231">
        <v>2</v>
      </c>
      <c r="CQ4" s="231">
        <v>3</v>
      </c>
      <c r="CR4" s="231">
        <v>4</v>
      </c>
      <c r="CS4" s="231">
        <v>5</v>
      </c>
      <c r="CT4" s="231">
        <v>6</v>
      </c>
      <c r="CU4" s="231">
        <v>7</v>
      </c>
      <c r="CV4" s="231">
        <v>8</v>
      </c>
      <c r="CW4" s="231">
        <v>9</v>
      </c>
      <c r="CX4" s="231">
        <v>10</v>
      </c>
      <c r="CY4" s="231">
        <v>11</v>
      </c>
      <c r="CZ4" s="231">
        <v>12</v>
      </c>
      <c r="DA4" s="231">
        <v>1</v>
      </c>
      <c r="DB4" s="231">
        <v>2</v>
      </c>
      <c r="DC4" s="231">
        <v>3</v>
      </c>
      <c r="DD4" s="231">
        <v>4</v>
      </c>
      <c r="DE4" s="231">
        <v>5</v>
      </c>
      <c r="DF4" s="231">
        <v>6</v>
      </c>
      <c r="DG4" s="231">
        <v>7</v>
      </c>
      <c r="DH4" s="231">
        <v>8</v>
      </c>
      <c r="DI4" s="231">
        <v>9</v>
      </c>
      <c r="DJ4" s="231">
        <v>10</v>
      </c>
      <c r="DK4" s="231">
        <v>11</v>
      </c>
      <c r="DL4" s="232">
        <v>12</v>
      </c>
      <c r="DM4" s="231">
        <v>1</v>
      </c>
      <c r="DN4" s="231">
        <v>2</v>
      </c>
      <c r="DO4" s="231">
        <v>3</v>
      </c>
      <c r="DP4" s="231">
        <v>4</v>
      </c>
      <c r="DQ4" s="231">
        <v>5</v>
      </c>
      <c r="DR4" s="231">
        <v>6</v>
      </c>
      <c r="DS4" s="231">
        <v>7</v>
      </c>
      <c r="DT4" s="231">
        <v>8</v>
      </c>
      <c r="DU4" s="231">
        <v>9</v>
      </c>
      <c r="DV4" s="231">
        <v>10</v>
      </c>
      <c r="DW4" s="231">
        <v>11</v>
      </c>
      <c r="DX4" s="231">
        <v>12</v>
      </c>
    </row>
    <row r="5" spans="3:128" ht="10">
      <c r="C5" s="321" t="s">
        <v>158</v>
      </c>
      <c r="D5" s="321"/>
      <c r="E5" s="321"/>
      <c r="F5" s="321"/>
      <c r="G5" s="256" t="s">
        <v>54</v>
      </c>
      <c r="H5" s="256" t="s">
        <v>27</v>
      </c>
      <c r="I5" s="257">
        <v>1</v>
      </c>
      <c r="J5" s="258">
        <v>2</v>
      </c>
      <c r="K5" s="258">
        <v>3</v>
      </c>
      <c r="L5" s="258">
        <v>4</v>
      </c>
      <c r="M5" s="258">
        <v>5</v>
      </c>
      <c r="N5" s="258">
        <v>6</v>
      </c>
      <c r="O5" s="258">
        <v>7</v>
      </c>
      <c r="P5" s="258">
        <v>8</v>
      </c>
      <c r="Q5" s="258">
        <v>9</v>
      </c>
      <c r="R5" s="258">
        <v>10</v>
      </c>
      <c r="S5" s="258">
        <v>11</v>
      </c>
      <c r="T5" s="258">
        <v>12</v>
      </c>
      <c r="U5" s="258">
        <v>13</v>
      </c>
      <c r="V5" s="258">
        <v>14</v>
      </c>
      <c r="W5" s="258">
        <v>15</v>
      </c>
      <c r="X5" s="258">
        <v>16</v>
      </c>
      <c r="Y5" s="258">
        <v>17</v>
      </c>
      <c r="Z5" s="258">
        <v>18</v>
      </c>
      <c r="AA5" s="258">
        <v>19</v>
      </c>
      <c r="AB5" s="258">
        <v>20</v>
      </c>
      <c r="AC5" s="258">
        <v>21</v>
      </c>
      <c r="AD5" s="258">
        <v>22</v>
      </c>
      <c r="AE5" s="258">
        <v>23</v>
      </c>
      <c r="AF5" s="258">
        <v>24</v>
      </c>
      <c r="AG5" s="258">
        <v>25</v>
      </c>
      <c r="AH5" s="258">
        <v>26</v>
      </c>
      <c r="AI5" s="258">
        <v>27</v>
      </c>
      <c r="AJ5" s="258">
        <v>28</v>
      </c>
      <c r="AK5" s="258">
        <v>29</v>
      </c>
      <c r="AL5" s="258">
        <v>30</v>
      </c>
      <c r="AM5" s="258">
        <v>31</v>
      </c>
      <c r="AN5" s="258">
        <v>32</v>
      </c>
      <c r="AO5" s="258">
        <v>33</v>
      </c>
      <c r="AP5" s="258">
        <v>34</v>
      </c>
      <c r="AQ5" s="258">
        <v>35</v>
      </c>
      <c r="AR5" s="258">
        <v>36</v>
      </c>
      <c r="AS5" s="257">
        <v>1</v>
      </c>
      <c r="AT5" s="258">
        <v>2</v>
      </c>
      <c r="AU5" s="258">
        <v>3</v>
      </c>
      <c r="AV5" s="258">
        <v>4</v>
      </c>
      <c r="AW5" s="258">
        <v>5</v>
      </c>
      <c r="AX5" s="258">
        <v>6</v>
      </c>
      <c r="AY5" s="258">
        <v>7</v>
      </c>
      <c r="AZ5" s="258">
        <v>8</v>
      </c>
      <c r="BA5" s="258">
        <v>9</v>
      </c>
      <c r="BB5" s="258">
        <v>10</v>
      </c>
      <c r="BC5" s="258">
        <v>11</v>
      </c>
      <c r="BD5" s="258">
        <v>12</v>
      </c>
      <c r="BE5" s="258">
        <v>13</v>
      </c>
      <c r="BF5" s="258">
        <v>14</v>
      </c>
      <c r="BG5" s="258">
        <v>15</v>
      </c>
      <c r="BH5" s="258">
        <v>16</v>
      </c>
      <c r="BI5" s="258">
        <v>17</v>
      </c>
      <c r="BJ5" s="258">
        <v>18</v>
      </c>
      <c r="BK5" s="258">
        <v>19</v>
      </c>
      <c r="BL5" s="258">
        <v>20</v>
      </c>
      <c r="BM5" s="258">
        <v>21</v>
      </c>
      <c r="BN5" s="258">
        <v>22</v>
      </c>
      <c r="BO5" s="258">
        <v>23</v>
      </c>
      <c r="BP5" s="258">
        <v>24</v>
      </c>
      <c r="BQ5" s="258">
        <v>25</v>
      </c>
      <c r="BR5" s="258">
        <v>26</v>
      </c>
      <c r="BS5" s="258">
        <v>27</v>
      </c>
      <c r="BT5" s="258">
        <v>28</v>
      </c>
      <c r="BU5" s="258">
        <v>29</v>
      </c>
      <c r="BV5" s="258">
        <v>30</v>
      </c>
      <c r="BW5" s="258">
        <v>31</v>
      </c>
      <c r="BX5" s="258">
        <v>32</v>
      </c>
      <c r="BY5" s="258">
        <v>33</v>
      </c>
      <c r="BZ5" s="258">
        <v>34</v>
      </c>
      <c r="CA5" s="258">
        <v>35</v>
      </c>
      <c r="CB5" s="258">
        <v>36</v>
      </c>
      <c r="CC5" s="257">
        <v>1</v>
      </c>
      <c r="CD5" s="258">
        <v>2</v>
      </c>
      <c r="CE5" s="258">
        <v>3</v>
      </c>
      <c r="CF5" s="258">
        <v>4</v>
      </c>
      <c r="CG5" s="258">
        <v>5</v>
      </c>
      <c r="CH5" s="258">
        <v>6</v>
      </c>
      <c r="CI5" s="258">
        <v>7</v>
      </c>
      <c r="CJ5" s="258">
        <v>8</v>
      </c>
      <c r="CK5" s="258">
        <v>9</v>
      </c>
      <c r="CL5" s="258">
        <v>10</v>
      </c>
      <c r="CM5" s="258">
        <v>11</v>
      </c>
      <c r="CN5" s="258">
        <v>12</v>
      </c>
      <c r="CO5" s="258">
        <v>13</v>
      </c>
      <c r="CP5" s="258">
        <v>14</v>
      </c>
      <c r="CQ5" s="258">
        <v>15</v>
      </c>
      <c r="CR5" s="258">
        <v>16</v>
      </c>
      <c r="CS5" s="258">
        <v>17</v>
      </c>
      <c r="CT5" s="258">
        <v>18</v>
      </c>
      <c r="CU5" s="258">
        <v>19</v>
      </c>
      <c r="CV5" s="258">
        <v>20</v>
      </c>
      <c r="CW5" s="258">
        <v>21</v>
      </c>
      <c r="CX5" s="258">
        <v>22</v>
      </c>
      <c r="CY5" s="258">
        <v>23</v>
      </c>
      <c r="CZ5" s="258">
        <v>24</v>
      </c>
      <c r="DA5" s="258">
        <v>25</v>
      </c>
      <c r="DB5" s="258">
        <v>26</v>
      </c>
      <c r="DC5" s="258">
        <v>27</v>
      </c>
      <c r="DD5" s="258">
        <v>28</v>
      </c>
      <c r="DE5" s="258">
        <v>29</v>
      </c>
      <c r="DF5" s="258">
        <v>30</v>
      </c>
      <c r="DG5" s="258">
        <v>31</v>
      </c>
      <c r="DH5" s="258">
        <v>32</v>
      </c>
      <c r="DI5" s="258">
        <v>33</v>
      </c>
      <c r="DJ5" s="258">
        <v>34</v>
      </c>
      <c r="DK5" s="258">
        <v>35</v>
      </c>
      <c r="DL5" s="258">
        <v>36</v>
      </c>
      <c r="DM5" s="257">
        <v>1</v>
      </c>
      <c r="DN5" s="258">
        <v>2</v>
      </c>
      <c r="DO5" s="258">
        <v>3</v>
      </c>
      <c r="DP5" s="258">
        <v>4</v>
      </c>
      <c r="DQ5" s="258">
        <v>5</v>
      </c>
      <c r="DR5" s="258">
        <v>6</v>
      </c>
      <c r="DS5" s="258">
        <v>7</v>
      </c>
      <c r="DT5" s="258">
        <v>8</v>
      </c>
      <c r="DU5" s="258">
        <v>9</v>
      </c>
      <c r="DV5" s="258">
        <v>10</v>
      </c>
      <c r="DW5" s="258">
        <v>11</v>
      </c>
      <c r="DX5" s="258">
        <v>12</v>
      </c>
    </row>
    <row r="7" spans="3:128">
      <c r="C7" s="322" t="s">
        <v>159</v>
      </c>
      <c r="D7" s="322"/>
      <c r="E7" s="322"/>
      <c r="F7" s="322"/>
      <c r="G7" s="259"/>
      <c r="H7" s="260">
        <f>SUM(I7:DX7)</f>
        <v>840056496967.14087</v>
      </c>
      <c r="I7" s="261">
        <f>I17</f>
        <v>8222288000</v>
      </c>
      <c r="J7" s="261">
        <f t="shared" ref="J7:BU7" si="0">J17</f>
        <v>8199448128.3935995</v>
      </c>
      <c r="K7" s="261">
        <f t="shared" si="0"/>
        <v>8176671701.3825483</v>
      </c>
      <c r="L7" s="261">
        <f t="shared" si="0"/>
        <v>8153958542.7304487</v>
      </c>
      <c r="M7" s="261">
        <f t="shared" si="0"/>
        <v>8131308476.6904516</v>
      </c>
      <c r="N7" s="261">
        <f t="shared" si="0"/>
        <v>8108721328.0039015</v>
      </c>
      <c r="O7" s="261">
        <f t="shared" si="0"/>
        <v>8086196921.8989716</v>
      </c>
      <c r="P7" s="261">
        <f t="shared" si="0"/>
        <v>8063735084.0893211</v>
      </c>
      <c r="Q7" s="261">
        <f t="shared" si="0"/>
        <v>8041335640.7727375</v>
      </c>
      <c r="R7" s="261">
        <f t="shared" si="0"/>
        <v>8018998418.6297989</v>
      </c>
      <c r="S7" s="261">
        <f t="shared" si="0"/>
        <v>7996723244.8225288</v>
      </c>
      <c r="T7" s="261">
        <f t="shared" si="0"/>
        <v>7974509946.9930601</v>
      </c>
      <c r="U7" s="261">
        <f t="shared" si="0"/>
        <v>7952358353.2623024</v>
      </c>
      <c r="V7" s="261">
        <f t="shared" si="0"/>
        <v>7930268292.22861</v>
      </c>
      <c r="W7" s="261">
        <f t="shared" si="0"/>
        <v>7908239592.9664583</v>
      </c>
      <c r="X7" s="261">
        <f t="shared" si="0"/>
        <v>7886272085.025116</v>
      </c>
      <c r="Y7" s="261">
        <f t="shared" si="0"/>
        <v>7864365598.4273338</v>
      </c>
      <c r="Z7" s="261">
        <f t="shared" si="0"/>
        <v>7842519963.6680231</v>
      </c>
      <c r="AA7" s="261">
        <f t="shared" si="0"/>
        <v>7820735011.7129459</v>
      </c>
      <c r="AB7" s="261">
        <f t="shared" si="0"/>
        <v>7799010573.9974098</v>
      </c>
      <c r="AC7" s="261">
        <f t="shared" si="0"/>
        <v>7777346482.4249592</v>
      </c>
      <c r="AD7" s="261">
        <f t="shared" si="0"/>
        <v>7755742569.3660803</v>
      </c>
      <c r="AE7" s="261">
        <f t="shared" si="0"/>
        <v>7734198667.6568947</v>
      </c>
      <c r="AF7" s="261">
        <f t="shared" si="0"/>
        <v>7712714610.5978775</v>
      </c>
      <c r="AG7" s="261">
        <f t="shared" si="0"/>
        <v>7691290231.9525595</v>
      </c>
      <c r="AH7" s="261">
        <f t="shared" si="0"/>
        <v>7669925365.9462414</v>
      </c>
      <c r="AI7" s="261">
        <f t="shared" si="0"/>
        <v>7648619847.2647161</v>
      </c>
      <c r="AJ7" s="261">
        <f t="shared" si="0"/>
        <v>7627373511.0529842</v>
      </c>
      <c r="AK7" s="261">
        <f t="shared" si="0"/>
        <v>7606186192.9139805</v>
      </c>
      <c r="AL7" s="261">
        <f t="shared" si="0"/>
        <v>7585057728.9073038</v>
      </c>
      <c r="AM7" s="261">
        <f t="shared" si="0"/>
        <v>7563987955.547945</v>
      </c>
      <c r="AN7" s="261">
        <f t="shared" si="0"/>
        <v>7542976709.8050241</v>
      </c>
      <c r="AO7" s="261">
        <f t="shared" si="0"/>
        <v>7522023829.1005278</v>
      </c>
      <c r="AP7" s="261">
        <f t="shared" si="0"/>
        <v>7501129151.3080521</v>
      </c>
      <c r="AQ7" s="261">
        <f t="shared" si="0"/>
        <v>7480292514.7515478</v>
      </c>
      <c r="AR7" s="261">
        <f t="shared" si="0"/>
        <v>7459513758.204072</v>
      </c>
      <c r="AS7" s="261">
        <f t="shared" si="0"/>
        <v>7438792720.8865318</v>
      </c>
      <c r="AT7" s="261">
        <f t="shared" si="0"/>
        <v>7418129242.4664536</v>
      </c>
      <c r="AU7" s="261">
        <f t="shared" si="0"/>
        <v>7397523163.0567303</v>
      </c>
      <c r="AV7" s="261">
        <f t="shared" si="0"/>
        <v>7376974323.2143917</v>
      </c>
      <c r="AW7" s="261">
        <f t="shared" si="0"/>
        <v>7356482563.9393663</v>
      </c>
      <c r="AX7" s="261">
        <f t="shared" si="0"/>
        <v>7336047726.6732559</v>
      </c>
      <c r="AY7" s="261">
        <f t="shared" si="0"/>
        <v>7315669653.2981024</v>
      </c>
      <c r="AZ7" s="261">
        <f t="shared" si="0"/>
        <v>7295348186.13517</v>
      </c>
      <c r="BA7" s="261">
        <f t="shared" si="0"/>
        <v>7275083167.9437237</v>
      </c>
      <c r="BB7" s="261">
        <f t="shared" si="0"/>
        <v>7254874441.9198093</v>
      </c>
      <c r="BC7" s="261">
        <f t="shared" si="0"/>
        <v>7234721851.6950445</v>
      </c>
      <c r="BD7" s="261">
        <f t="shared" si="0"/>
        <v>7214625241.3354063</v>
      </c>
      <c r="BE7" s="261">
        <f t="shared" si="0"/>
        <v>7194584455.3400249</v>
      </c>
      <c r="BF7" s="261">
        <f t="shared" si="0"/>
        <v>7174599338.6399813</v>
      </c>
      <c r="BG7" s="261">
        <f t="shared" si="0"/>
        <v>7154669736.5971069</v>
      </c>
      <c r="BH7" s="261">
        <f t="shared" si="0"/>
        <v>7134795495.0027876</v>
      </c>
      <c r="BI7" s="261">
        <f t="shared" si="0"/>
        <v>7114976460.0767689</v>
      </c>
      <c r="BJ7" s="261">
        <f t="shared" si="0"/>
        <v>7095212478.4659672</v>
      </c>
      <c r="BK7" s="261">
        <f t="shared" si="0"/>
        <v>7075503397.2432852</v>
      </c>
      <c r="BL7" s="261">
        <f t="shared" si="0"/>
        <v>7055849063.9064226</v>
      </c>
      <c r="BM7" s="261">
        <f t="shared" si="0"/>
        <v>7036249326.3767042</v>
      </c>
      <c r="BN7" s="261">
        <f t="shared" si="0"/>
        <v>7016704032.9978962</v>
      </c>
      <c r="BO7" s="261">
        <f t="shared" si="0"/>
        <v>6997213032.5350342</v>
      </c>
      <c r="BP7" s="261">
        <f t="shared" si="0"/>
        <v>6977776174.1732578</v>
      </c>
      <c r="BQ7" s="261">
        <f t="shared" si="0"/>
        <v>6958393307.5166388</v>
      </c>
      <c r="BR7" s="261">
        <f t="shared" si="0"/>
        <v>6939064282.587019</v>
      </c>
      <c r="BS7" s="261">
        <f t="shared" si="0"/>
        <v>6919788949.8228493</v>
      </c>
      <c r="BT7" s="261">
        <f t="shared" si="0"/>
        <v>6900567160.0780315</v>
      </c>
      <c r="BU7" s="261">
        <f t="shared" si="0"/>
        <v>6881398764.6207666</v>
      </c>
      <c r="BV7" s="261">
        <f t="shared" ref="BV7:DX7" si="1">BV17</f>
        <v>6862283615.1324034</v>
      </c>
      <c r="BW7" s="261">
        <f t="shared" si="1"/>
        <v>6843221563.7062893</v>
      </c>
      <c r="BX7" s="261">
        <f t="shared" si="1"/>
        <v>6824212462.8466263</v>
      </c>
      <c r="BY7" s="261">
        <f t="shared" si="1"/>
        <v>6805256165.4673309</v>
      </c>
      <c r="BZ7" s="261">
        <f t="shared" si="1"/>
        <v>6786352524.8908958</v>
      </c>
      <c r="CA7" s="261">
        <f t="shared" si="1"/>
        <v>6767501394.8472528</v>
      </c>
      <c r="CB7" s="261">
        <f t="shared" si="1"/>
        <v>6748702629.4726467</v>
      </c>
      <c r="CC7" s="261">
        <f t="shared" si="1"/>
        <v>6729956083.3084974</v>
      </c>
      <c r="CD7" s="261">
        <f t="shared" si="1"/>
        <v>6711261611.3002834</v>
      </c>
      <c r="CE7" s="261">
        <f t="shared" si="1"/>
        <v>6692619068.7964134</v>
      </c>
      <c r="CF7" s="261">
        <f t="shared" si="1"/>
        <v>6674028311.5471106</v>
      </c>
      <c r="CG7" s="261">
        <f t="shared" si="1"/>
        <v>6655489195.7032957</v>
      </c>
      <c r="CH7" s="261">
        <f t="shared" si="1"/>
        <v>6637001577.8154716</v>
      </c>
      <c r="CI7" s="261">
        <f t="shared" si="1"/>
        <v>6618565314.8326159</v>
      </c>
      <c r="CJ7" s="261">
        <f t="shared" si="1"/>
        <v>6600180264.1010742</v>
      </c>
      <c r="CK7" s="261">
        <f t="shared" si="1"/>
        <v>6581846283.3634539</v>
      </c>
      <c r="CL7" s="261">
        <f t="shared" si="1"/>
        <v>6563563230.7575274</v>
      </c>
      <c r="CM7" s="261">
        <f t="shared" si="1"/>
        <v>6545330964.8151302</v>
      </c>
      <c r="CN7" s="261">
        <f t="shared" si="1"/>
        <v>6527149344.4610672</v>
      </c>
      <c r="CO7" s="261">
        <f t="shared" si="1"/>
        <v>6509018229.012023</v>
      </c>
      <c r="CP7" s="261">
        <f t="shared" si="1"/>
        <v>6490937478.1754732</v>
      </c>
      <c r="CQ7" s="261">
        <f t="shared" si="1"/>
        <v>6472906952.0485973</v>
      </c>
      <c r="CR7" s="261">
        <f t="shared" si="1"/>
        <v>6454926511.1171961</v>
      </c>
      <c r="CS7" s="261">
        <f t="shared" si="1"/>
        <v>6436996016.2546148</v>
      </c>
      <c r="CT7" s="261">
        <f t="shared" si="1"/>
        <v>6419115328.720664</v>
      </c>
      <c r="CU7" s="261">
        <f t="shared" si="1"/>
        <v>6401284310.1605434</v>
      </c>
      <c r="CV7" s="261">
        <f t="shared" si="1"/>
        <v>6383502822.6037788</v>
      </c>
      <c r="CW7" s="261">
        <f t="shared" si="1"/>
        <v>6365770728.46315</v>
      </c>
      <c r="CX7" s="261">
        <f t="shared" si="1"/>
        <v>6348087890.5336246</v>
      </c>
      <c r="CY7" s="261">
        <f t="shared" si="1"/>
        <v>6330454171.9912996</v>
      </c>
      <c r="CZ7" s="261">
        <f t="shared" si="1"/>
        <v>6312869436.3923426</v>
      </c>
      <c r="DA7" s="261">
        <f t="shared" si="1"/>
        <v>6295333547.6719313</v>
      </c>
      <c r="DB7" s="261">
        <f t="shared" si="1"/>
        <v>6277846370.1432085</v>
      </c>
      <c r="DC7" s="261">
        <f t="shared" si="1"/>
        <v>6260407768.4962244</v>
      </c>
      <c r="DD7" s="261">
        <f t="shared" si="1"/>
        <v>6243017607.796896</v>
      </c>
      <c r="DE7" s="261">
        <f t="shared" si="1"/>
        <v>6225675753.4859581</v>
      </c>
      <c r="DF7" s="261">
        <f t="shared" si="1"/>
        <v>6208382071.3779249</v>
      </c>
      <c r="DG7" s="261">
        <f t="shared" si="1"/>
        <v>6191136427.6600513</v>
      </c>
      <c r="DH7" s="261">
        <f t="shared" si="1"/>
        <v>6173938688.8912973</v>
      </c>
      <c r="DI7" s="261">
        <f t="shared" si="1"/>
        <v>6156788722.001296</v>
      </c>
      <c r="DJ7" s="261">
        <f t="shared" si="1"/>
        <v>6139686394.28932</v>
      </c>
      <c r="DK7" s="261">
        <f t="shared" si="1"/>
        <v>6122631573.4232626</v>
      </c>
      <c r="DL7" s="261">
        <f t="shared" si="1"/>
        <v>6105624127.4386072</v>
      </c>
      <c r="DM7" s="261">
        <f t="shared" si="1"/>
        <v>6088663924.7374077</v>
      </c>
      <c r="DN7" s="261">
        <f t="shared" si="1"/>
        <v>6071750834.0872726</v>
      </c>
      <c r="DO7" s="261">
        <f t="shared" si="1"/>
        <v>6054884724.6203451</v>
      </c>
      <c r="DP7" s="261">
        <f t="shared" si="1"/>
        <v>6038065465.8322945</v>
      </c>
      <c r="DQ7" s="261">
        <f t="shared" si="1"/>
        <v>6021292927.5813055</v>
      </c>
      <c r="DR7" s="261">
        <f t="shared" si="1"/>
        <v>6004566980.0870705</v>
      </c>
      <c r="DS7" s="261">
        <f t="shared" si="1"/>
        <v>5987887493.9297848</v>
      </c>
      <c r="DT7" s="261">
        <f t="shared" si="1"/>
        <v>5971254340.0491467</v>
      </c>
      <c r="DU7" s="261">
        <f t="shared" si="1"/>
        <v>5954667389.7433586</v>
      </c>
      <c r="DV7" s="261">
        <f t="shared" si="1"/>
        <v>5938126514.668129</v>
      </c>
      <c r="DW7" s="261">
        <f t="shared" si="1"/>
        <v>5921631586.8356838</v>
      </c>
      <c r="DX7" s="261">
        <f t="shared" si="1"/>
        <v>5905182478.6137714</v>
      </c>
    </row>
    <row r="8" spans="3:128">
      <c r="H8" s="262"/>
      <c r="I8" s="263"/>
      <c r="J8" s="263"/>
      <c r="K8" s="263"/>
      <c r="L8" s="263"/>
      <c r="M8" s="263"/>
      <c r="N8" s="263"/>
      <c r="O8" s="263"/>
      <c r="P8" s="263"/>
      <c r="Q8" s="263"/>
      <c r="R8" s="263"/>
      <c r="S8" s="263"/>
      <c r="T8" s="263"/>
      <c r="U8" s="263"/>
      <c r="V8" s="263"/>
      <c r="W8" s="263"/>
      <c r="X8" s="263"/>
      <c r="Y8" s="263"/>
      <c r="Z8" s="263"/>
      <c r="AA8" s="263"/>
      <c r="AB8" s="263"/>
      <c r="AC8" s="263"/>
      <c r="AD8" s="263"/>
      <c r="AE8" s="263"/>
      <c r="AF8" s="263"/>
      <c r="AG8" s="263"/>
      <c r="AH8" s="263"/>
      <c r="AI8" s="263"/>
      <c r="AJ8" s="263"/>
      <c r="AK8" s="263"/>
      <c r="AL8" s="263"/>
      <c r="AM8" s="263"/>
      <c r="AN8" s="263"/>
      <c r="AO8" s="263"/>
      <c r="AP8" s="263"/>
      <c r="AQ8" s="263"/>
      <c r="AR8" s="263"/>
      <c r="AS8" s="263"/>
      <c r="AT8" s="263"/>
      <c r="AU8" s="263"/>
      <c r="AV8" s="263"/>
      <c r="AW8" s="263"/>
      <c r="AX8" s="263"/>
      <c r="AY8" s="263"/>
      <c r="AZ8" s="263"/>
      <c r="BA8" s="263"/>
      <c r="BB8" s="263"/>
      <c r="BC8" s="263"/>
      <c r="BD8" s="263"/>
      <c r="BE8" s="263"/>
      <c r="BF8" s="263"/>
      <c r="BG8" s="263"/>
      <c r="BH8" s="263"/>
      <c r="BI8" s="263"/>
      <c r="BJ8" s="263"/>
      <c r="BK8" s="263"/>
      <c r="BL8" s="263"/>
      <c r="BM8" s="263"/>
      <c r="BN8" s="263"/>
      <c r="BO8" s="263"/>
      <c r="BP8" s="263"/>
      <c r="BQ8" s="263"/>
      <c r="BR8" s="263"/>
      <c r="BS8" s="263"/>
      <c r="BT8" s="263"/>
      <c r="BU8" s="263"/>
      <c r="BV8" s="263"/>
      <c r="BW8" s="263"/>
      <c r="BX8" s="263"/>
      <c r="BY8" s="263"/>
      <c r="BZ8" s="263"/>
      <c r="CA8" s="263"/>
      <c r="CB8" s="263"/>
      <c r="CC8" s="263"/>
      <c r="CD8" s="263"/>
      <c r="CE8" s="263"/>
      <c r="CF8" s="263"/>
      <c r="CG8" s="263"/>
      <c r="CH8" s="263"/>
      <c r="CI8" s="263"/>
      <c r="CJ8" s="263"/>
      <c r="CK8" s="263"/>
      <c r="CL8" s="263"/>
      <c r="CM8" s="263"/>
      <c r="CN8" s="263"/>
      <c r="CO8" s="263"/>
      <c r="CP8" s="263"/>
      <c r="CQ8" s="263"/>
      <c r="CR8" s="263"/>
      <c r="CS8" s="263"/>
      <c r="CT8" s="263"/>
      <c r="CU8" s="263"/>
      <c r="CV8" s="263"/>
      <c r="CW8" s="263"/>
      <c r="CX8" s="263"/>
      <c r="CY8" s="263"/>
      <c r="CZ8" s="263"/>
      <c r="DA8" s="263"/>
      <c r="DB8" s="263"/>
      <c r="DC8" s="263"/>
      <c r="DD8" s="263"/>
      <c r="DE8" s="263"/>
      <c r="DF8" s="263"/>
      <c r="DG8" s="263"/>
      <c r="DH8" s="263"/>
      <c r="DI8" s="263"/>
      <c r="DJ8" s="263"/>
      <c r="DK8" s="263"/>
      <c r="DL8" s="263"/>
      <c r="DM8" s="263"/>
      <c r="DN8" s="263"/>
      <c r="DO8" s="263"/>
      <c r="DP8" s="263"/>
      <c r="DQ8" s="263"/>
      <c r="DR8" s="263"/>
      <c r="DS8" s="263"/>
      <c r="DT8" s="263"/>
      <c r="DU8" s="263"/>
      <c r="DV8" s="263"/>
      <c r="DW8" s="263"/>
      <c r="DX8" s="263"/>
    </row>
    <row r="9" spans="3:128">
      <c r="C9" s="322" t="s">
        <v>160</v>
      </c>
      <c r="D9" s="322"/>
      <c r="E9" s="322"/>
      <c r="F9" s="322"/>
      <c r="G9" s="259"/>
      <c r="H9" s="260">
        <f>SUM(I9:DX9)</f>
        <v>355200000000000</v>
      </c>
      <c r="I9" s="261">
        <f>I18</f>
        <v>2960000000000</v>
      </c>
      <c r="J9" s="261">
        <f t="shared" ref="J9:BU9" si="2">J18</f>
        <v>2960000000000</v>
      </c>
      <c r="K9" s="261">
        <f t="shared" si="2"/>
        <v>2960000000000</v>
      </c>
      <c r="L9" s="261">
        <f t="shared" si="2"/>
        <v>2960000000000</v>
      </c>
      <c r="M9" s="261">
        <f t="shared" si="2"/>
        <v>2960000000000</v>
      </c>
      <c r="N9" s="261">
        <f t="shared" si="2"/>
        <v>2960000000000</v>
      </c>
      <c r="O9" s="261">
        <f t="shared" si="2"/>
        <v>2960000000000</v>
      </c>
      <c r="P9" s="261">
        <f t="shared" si="2"/>
        <v>2960000000000</v>
      </c>
      <c r="Q9" s="261">
        <f t="shared" si="2"/>
        <v>2960000000000</v>
      </c>
      <c r="R9" s="261">
        <f t="shared" si="2"/>
        <v>2960000000000</v>
      </c>
      <c r="S9" s="261">
        <f t="shared" si="2"/>
        <v>2960000000000</v>
      </c>
      <c r="T9" s="261">
        <f t="shared" si="2"/>
        <v>2960000000000</v>
      </c>
      <c r="U9" s="261">
        <f t="shared" si="2"/>
        <v>2960000000000</v>
      </c>
      <c r="V9" s="261">
        <f t="shared" si="2"/>
        <v>2960000000000</v>
      </c>
      <c r="W9" s="261">
        <f t="shared" si="2"/>
        <v>2960000000000</v>
      </c>
      <c r="X9" s="261">
        <f t="shared" si="2"/>
        <v>2960000000000</v>
      </c>
      <c r="Y9" s="261">
        <f t="shared" si="2"/>
        <v>2960000000000</v>
      </c>
      <c r="Z9" s="261">
        <f t="shared" si="2"/>
        <v>2960000000000</v>
      </c>
      <c r="AA9" s="261">
        <f t="shared" si="2"/>
        <v>2960000000000</v>
      </c>
      <c r="AB9" s="261">
        <f t="shared" si="2"/>
        <v>2960000000000</v>
      </c>
      <c r="AC9" s="261">
        <f t="shared" si="2"/>
        <v>2960000000000</v>
      </c>
      <c r="AD9" s="261">
        <f t="shared" si="2"/>
        <v>2960000000000</v>
      </c>
      <c r="AE9" s="261">
        <f t="shared" si="2"/>
        <v>2960000000000</v>
      </c>
      <c r="AF9" s="261">
        <f t="shared" si="2"/>
        <v>2960000000000</v>
      </c>
      <c r="AG9" s="261">
        <f t="shared" si="2"/>
        <v>2960000000000</v>
      </c>
      <c r="AH9" s="261">
        <f t="shared" si="2"/>
        <v>2960000000000</v>
      </c>
      <c r="AI9" s="261">
        <f t="shared" si="2"/>
        <v>2960000000000</v>
      </c>
      <c r="AJ9" s="261">
        <f t="shared" si="2"/>
        <v>2960000000000</v>
      </c>
      <c r="AK9" s="261">
        <f t="shared" si="2"/>
        <v>2960000000000</v>
      </c>
      <c r="AL9" s="261">
        <f t="shared" si="2"/>
        <v>2960000000000</v>
      </c>
      <c r="AM9" s="261">
        <f t="shared" si="2"/>
        <v>2960000000000</v>
      </c>
      <c r="AN9" s="261">
        <f t="shared" si="2"/>
        <v>2960000000000</v>
      </c>
      <c r="AO9" s="261">
        <f t="shared" si="2"/>
        <v>2960000000000</v>
      </c>
      <c r="AP9" s="261">
        <f t="shared" si="2"/>
        <v>2960000000000</v>
      </c>
      <c r="AQ9" s="261">
        <f t="shared" si="2"/>
        <v>2960000000000</v>
      </c>
      <c r="AR9" s="261">
        <f t="shared" si="2"/>
        <v>2960000000000</v>
      </c>
      <c r="AS9" s="261">
        <f t="shared" si="2"/>
        <v>2960000000000</v>
      </c>
      <c r="AT9" s="261">
        <f t="shared" si="2"/>
        <v>2960000000000</v>
      </c>
      <c r="AU9" s="261">
        <f t="shared" si="2"/>
        <v>2960000000000</v>
      </c>
      <c r="AV9" s="261">
        <f t="shared" si="2"/>
        <v>2960000000000</v>
      </c>
      <c r="AW9" s="261">
        <f t="shared" si="2"/>
        <v>2960000000000</v>
      </c>
      <c r="AX9" s="261">
        <f t="shared" si="2"/>
        <v>2960000000000</v>
      </c>
      <c r="AY9" s="261">
        <f t="shared" si="2"/>
        <v>2960000000000</v>
      </c>
      <c r="AZ9" s="261">
        <f t="shared" si="2"/>
        <v>2960000000000</v>
      </c>
      <c r="BA9" s="261">
        <f t="shared" si="2"/>
        <v>2960000000000</v>
      </c>
      <c r="BB9" s="261">
        <f t="shared" si="2"/>
        <v>2960000000000</v>
      </c>
      <c r="BC9" s="261">
        <f t="shared" si="2"/>
        <v>2960000000000</v>
      </c>
      <c r="BD9" s="261">
        <f t="shared" si="2"/>
        <v>2960000000000</v>
      </c>
      <c r="BE9" s="261">
        <f t="shared" si="2"/>
        <v>2960000000000</v>
      </c>
      <c r="BF9" s="261">
        <f t="shared" si="2"/>
        <v>2960000000000</v>
      </c>
      <c r="BG9" s="261">
        <f t="shared" si="2"/>
        <v>2960000000000</v>
      </c>
      <c r="BH9" s="261">
        <f t="shared" si="2"/>
        <v>2960000000000</v>
      </c>
      <c r="BI9" s="261">
        <f t="shared" si="2"/>
        <v>2960000000000</v>
      </c>
      <c r="BJ9" s="261">
        <f t="shared" si="2"/>
        <v>2960000000000</v>
      </c>
      <c r="BK9" s="261">
        <f t="shared" si="2"/>
        <v>2960000000000</v>
      </c>
      <c r="BL9" s="261">
        <f t="shared" si="2"/>
        <v>2960000000000</v>
      </c>
      <c r="BM9" s="261">
        <f t="shared" si="2"/>
        <v>2960000000000</v>
      </c>
      <c r="BN9" s="261">
        <f t="shared" si="2"/>
        <v>2960000000000</v>
      </c>
      <c r="BO9" s="261">
        <f t="shared" si="2"/>
        <v>2960000000000</v>
      </c>
      <c r="BP9" s="261">
        <f t="shared" si="2"/>
        <v>2960000000000</v>
      </c>
      <c r="BQ9" s="261">
        <f t="shared" si="2"/>
        <v>2960000000000</v>
      </c>
      <c r="BR9" s="261">
        <f t="shared" si="2"/>
        <v>2960000000000</v>
      </c>
      <c r="BS9" s="261">
        <f t="shared" si="2"/>
        <v>2960000000000</v>
      </c>
      <c r="BT9" s="261">
        <f t="shared" si="2"/>
        <v>2960000000000</v>
      </c>
      <c r="BU9" s="261">
        <f t="shared" si="2"/>
        <v>2960000000000</v>
      </c>
      <c r="BV9" s="261">
        <f t="shared" ref="BV9:DX9" si="3">BV18</f>
        <v>2960000000000</v>
      </c>
      <c r="BW9" s="261">
        <f t="shared" si="3"/>
        <v>2960000000000</v>
      </c>
      <c r="BX9" s="261">
        <f t="shared" si="3"/>
        <v>2960000000000</v>
      </c>
      <c r="BY9" s="261">
        <f t="shared" si="3"/>
        <v>2960000000000</v>
      </c>
      <c r="BZ9" s="261">
        <f t="shared" si="3"/>
        <v>2960000000000</v>
      </c>
      <c r="CA9" s="261">
        <f t="shared" si="3"/>
        <v>2960000000000</v>
      </c>
      <c r="CB9" s="261">
        <f t="shared" si="3"/>
        <v>2960000000000</v>
      </c>
      <c r="CC9" s="261">
        <f t="shared" si="3"/>
        <v>2960000000000</v>
      </c>
      <c r="CD9" s="261">
        <f t="shared" si="3"/>
        <v>2960000000000</v>
      </c>
      <c r="CE9" s="261">
        <f t="shared" si="3"/>
        <v>2960000000000</v>
      </c>
      <c r="CF9" s="261">
        <f t="shared" si="3"/>
        <v>2960000000000</v>
      </c>
      <c r="CG9" s="261">
        <f t="shared" si="3"/>
        <v>2960000000000</v>
      </c>
      <c r="CH9" s="261">
        <f t="shared" si="3"/>
        <v>2960000000000</v>
      </c>
      <c r="CI9" s="261">
        <f t="shared" si="3"/>
        <v>2960000000000</v>
      </c>
      <c r="CJ9" s="261">
        <f t="shared" si="3"/>
        <v>2960000000000</v>
      </c>
      <c r="CK9" s="261">
        <f t="shared" si="3"/>
        <v>2960000000000</v>
      </c>
      <c r="CL9" s="261">
        <f t="shared" si="3"/>
        <v>2960000000000</v>
      </c>
      <c r="CM9" s="261">
        <f t="shared" si="3"/>
        <v>2960000000000</v>
      </c>
      <c r="CN9" s="261">
        <f t="shared" si="3"/>
        <v>2960000000000</v>
      </c>
      <c r="CO9" s="261">
        <f t="shared" si="3"/>
        <v>2960000000000</v>
      </c>
      <c r="CP9" s="261">
        <f t="shared" si="3"/>
        <v>2960000000000</v>
      </c>
      <c r="CQ9" s="261">
        <f t="shared" si="3"/>
        <v>2960000000000</v>
      </c>
      <c r="CR9" s="261">
        <f t="shared" si="3"/>
        <v>2960000000000</v>
      </c>
      <c r="CS9" s="261">
        <f t="shared" si="3"/>
        <v>2960000000000</v>
      </c>
      <c r="CT9" s="261">
        <f t="shared" si="3"/>
        <v>2960000000000</v>
      </c>
      <c r="CU9" s="261">
        <f t="shared" si="3"/>
        <v>2960000000000</v>
      </c>
      <c r="CV9" s="261">
        <f t="shared" si="3"/>
        <v>2960000000000</v>
      </c>
      <c r="CW9" s="261">
        <f t="shared" si="3"/>
        <v>2960000000000</v>
      </c>
      <c r="CX9" s="261">
        <f t="shared" si="3"/>
        <v>2960000000000</v>
      </c>
      <c r="CY9" s="261">
        <f t="shared" si="3"/>
        <v>2960000000000</v>
      </c>
      <c r="CZ9" s="261">
        <f t="shared" si="3"/>
        <v>2960000000000</v>
      </c>
      <c r="DA9" s="261">
        <f t="shared" si="3"/>
        <v>2960000000000</v>
      </c>
      <c r="DB9" s="261">
        <f t="shared" si="3"/>
        <v>2960000000000</v>
      </c>
      <c r="DC9" s="261">
        <f t="shared" si="3"/>
        <v>2960000000000</v>
      </c>
      <c r="DD9" s="261">
        <f t="shared" si="3"/>
        <v>2960000000000</v>
      </c>
      <c r="DE9" s="261">
        <f t="shared" si="3"/>
        <v>2960000000000</v>
      </c>
      <c r="DF9" s="261">
        <f t="shared" si="3"/>
        <v>2960000000000</v>
      </c>
      <c r="DG9" s="261">
        <f t="shared" si="3"/>
        <v>2960000000000</v>
      </c>
      <c r="DH9" s="261">
        <f t="shared" si="3"/>
        <v>2960000000000</v>
      </c>
      <c r="DI9" s="261">
        <f t="shared" si="3"/>
        <v>2960000000000</v>
      </c>
      <c r="DJ9" s="261">
        <f t="shared" si="3"/>
        <v>2960000000000</v>
      </c>
      <c r="DK9" s="261">
        <f t="shared" si="3"/>
        <v>2960000000000</v>
      </c>
      <c r="DL9" s="261">
        <f t="shared" si="3"/>
        <v>2960000000000</v>
      </c>
      <c r="DM9" s="261">
        <f t="shared" si="3"/>
        <v>2960000000000</v>
      </c>
      <c r="DN9" s="261">
        <f t="shared" si="3"/>
        <v>2960000000000</v>
      </c>
      <c r="DO9" s="261">
        <f t="shared" si="3"/>
        <v>2960000000000</v>
      </c>
      <c r="DP9" s="261">
        <f t="shared" si="3"/>
        <v>2960000000000</v>
      </c>
      <c r="DQ9" s="261">
        <f t="shared" si="3"/>
        <v>2960000000000</v>
      </c>
      <c r="DR9" s="261">
        <f t="shared" si="3"/>
        <v>2960000000000</v>
      </c>
      <c r="DS9" s="261">
        <f t="shared" si="3"/>
        <v>2960000000000</v>
      </c>
      <c r="DT9" s="261">
        <f t="shared" si="3"/>
        <v>2960000000000</v>
      </c>
      <c r="DU9" s="261">
        <f t="shared" si="3"/>
        <v>2960000000000</v>
      </c>
      <c r="DV9" s="261">
        <f t="shared" si="3"/>
        <v>2960000000000</v>
      </c>
      <c r="DW9" s="261">
        <f t="shared" si="3"/>
        <v>2960000000000</v>
      </c>
      <c r="DX9" s="261">
        <f t="shared" si="3"/>
        <v>2960000000000</v>
      </c>
    </row>
    <row r="10" spans="3:128" ht="28.5" customHeight="1">
      <c r="H10" s="262"/>
      <c r="I10" s="263"/>
      <c r="J10" s="263"/>
      <c r="K10" s="263"/>
      <c r="L10" s="263"/>
      <c r="M10" s="263"/>
      <c r="N10" s="263"/>
      <c r="O10" s="263"/>
      <c r="P10" s="263"/>
      <c r="Q10" s="263"/>
      <c r="R10" s="263"/>
      <c r="S10" s="263"/>
      <c r="T10" s="263"/>
      <c r="U10" s="263"/>
      <c r="V10" s="263"/>
      <c r="W10" s="263"/>
      <c r="X10" s="263"/>
      <c r="Y10" s="263"/>
      <c r="Z10" s="263"/>
      <c r="AA10" s="263"/>
      <c r="AB10" s="263"/>
      <c r="AC10" s="263"/>
      <c r="AD10" s="263"/>
      <c r="AE10" s="263"/>
      <c r="AF10" s="263"/>
      <c r="AG10" s="263"/>
      <c r="AH10" s="263"/>
      <c r="AI10" s="263"/>
      <c r="AJ10" s="263"/>
      <c r="AK10" s="263"/>
      <c r="AL10" s="263"/>
      <c r="AM10" s="263"/>
      <c r="AN10" s="263"/>
      <c r="AO10" s="263"/>
      <c r="AP10" s="263"/>
      <c r="AQ10" s="263"/>
      <c r="AR10" s="263"/>
      <c r="AS10" s="263"/>
      <c r="AT10" s="263"/>
      <c r="AU10" s="263"/>
      <c r="AV10" s="263"/>
      <c r="AW10" s="263"/>
      <c r="AX10" s="263"/>
      <c r="AY10" s="263"/>
      <c r="AZ10" s="263"/>
      <c r="BA10" s="263"/>
      <c r="BB10" s="263"/>
      <c r="BC10" s="263"/>
      <c r="BD10" s="263"/>
      <c r="BE10" s="263"/>
      <c r="BF10" s="263"/>
      <c r="BG10" s="263"/>
      <c r="BH10" s="263"/>
      <c r="BI10" s="263"/>
      <c r="BJ10" s="263"/>
      <c r="BK10" s="263"/>
      <c r="BL10" s="263"/>
      <c r="BM10" s="263"/>
      <c r="BN10" s="263"/>
      <c r="BO10" s="263"/>
      <c r="BP10" s="263"/>
      <c r="BQ10" s="263"/>
      <c r="BR10" s="263"/>
      <c r="BS10" s="263"/>
      <c r="BT10" s="263"/>
      <c r="BU10" s="263"/>
      <c r="BV10" s="263"/>
      <c r="BW10" s="263"/>
      <c r="BX10" s="263"/>
      <c r="BY10" s="263"/>
      <c r="BZ10" s="263"/>
      <c r="CA10" s="263"/>
      <c r="CB10" s="263"/>
      <c r="CC10" s="263"/>
      <c r="CD10" s="263"/>
      <c r="CE10" s="263"/>
      <c r="CF10" s="263"/>
      <c r="CG10" s="263"/>
      <c r="CH10" s="263"/>
      <c r="CI10" s="263"/>
      <c r="CJ10" s="263"/>
      <c r="CK10" s="263"/>
      <c r="CL10" s="263"/>
      <c r="CM10" s="263"/>
      <c r="CN10" s="263"/>
      <c r="CO10" s="263"/>
      <c r="CP10" s="263"/>
      <c r="CQ10" s="263"/>
      <c r="CR10" s="263"/>
      <c r="CS10" s="263"/>
      <c r="CT10" s="263"/>
      <c r="CU10" s="263"/>
      <c r="CV10" s="263"/>
      <c r="CW10" s="263"/>
      <c r="CX10" s="263"/>
      <c r="CY10" s="263"/>
      <c r="CZ10" s="263"/>
      <c r="DA10" s="263"/>
      <c r="DB10" s="263"/>
      <c r="DC10" s="263"/>
      <c r="DD10" s="263"/>
      <c r="DE10" s="263"/>
      <c r="DF10" s="263"/>
      <c r="DG10" s="263"/>
      <c r="DH10" s="263"/>
      <c r="DI10" s="263"/>
      <c r="DJ10" s="263"/>
      <c r="DK10" s="263"/>
      <c r="DL10" s="263"/>
      <c r="DM10" s="263"/>
      <c r="DN10" s="263"/>
      <c r="DO10" s="263"/>
      <c r="DP10" s="263"/>
      <c r="DQ10" s="263"/>
      <c r="DR10" s="263"/>
      <c r="DS10" s="263"/>
      <c r="DT10" s="263"/>
      <c r="DU10" s="263"/>
      <c r="DV10" s="263"/>
      <c r="DW10" s="263"/>
      <c r="DX10" s="263"/>
    </row>
    <row r="11" spans="3:128">
      <c r="C11" s="323" t="s">
        <v>161</v>
      </c>
      <c r="D11" s="323"/>
      <c r="E11" s="323"/>
      <c r="F11" s="323"/>
      <c r="G11" s="259"/>
      <c r="H11" s="260">
        <f>SUM(I11:AR11)</f>
        <v>0</v>
      </c>
      <c r="I11" s="261">
        <v>0</v>
      </c>
      <c r="J11" s="261">
        <v>0</v>
      </c>
      <c r="K11" s="261">
        <v>0</v>
      </c>
      <c r="L11" s="261">
        <v>0</v>
      </c>
      <c r="M11" s="261">
        <v>0</v>
      </c>
      <c r="N11" s="261">
        <v>0</v>
      </c>
      <c r="O11" s="261">
        <v>0</v>
      </c>
      <c r="P11" s="261">
        <v>0</v>
      </c>
      <c r="Q11" s="261">
        <v>0</v>
      </c>
      <c r="R11" s="261">
        <v>0</v>
      </c>
      <c r="S11" s="261">
        <v>0</v>
      </c>
      <c r="T11" s="261">
        <v>0</v>
      </c>
      <c r="U11" s="261">
        <v>0</v>
      </c>
      <c r="V11" s="261">
        <v>0</v>
      </c>
      <c r="W11" s="261">
        <v>0</v>
      </c>
      <c r="X11" s="261">
        <v>0</v>
      </c>
      <c r="Y11" s="261">
        <v>0</v>
      </c>
      <c r="Z11" s="261">
        <v>0</v>
      </c>
      <c r="AA11" s="261">
        <v>0</v>
      </c>
      <c r="AB11" s="261">
        <v>0</v>
      </c>
      <c r="AC11" s="261">
        <v>0</v>
      </c>
      <c r="AD11" s="261">
        <v>0</v>
      </c>
      <c r="AE11" s="261">
        <v>0</v>
      </c>
      <c r="AF11" s="261">
        <v>0</v>
      </c>
      <c r="AG11" s="261">
        <v>0</v>
      </c>
      <c r="AH11" s="261">
        <v>0</v>
      </c>
      <c r="AI11" s="261">
        <v>0</v>
      </c>
      <c r="AJ11" s="261">
        <v>0</v>
      </c>
      <c r="AK11" s="261">
        <v>0</v>
      </c>
      <c r="AL11" s="261">
        <v>0</v>
      </c>
      <c r="AM11" s="261">
        <v>0</v>
      </c>
      <c r="AN11" s="261">
        <v>0</v>
      </c>
      <c r="AO11" s="261">
        <v>0</v>
      </c>
      <c r="AP11" s="261">
        <v>0</v>
      </c>
      <c r="AQ11" s="261">
        <v>0</v>
      </c>
      <c r="AR11" s="261">
        <v>0</v>
      </c>
      <c r="AS11" s="261">
        <v>0</v>
      </c>
      <c r="AT11" s="261">
        <v>0</v>
      </c>
      <c r="AU11" s="261">
        <v>0</v>
      </c>
      <c r="AV11" s="261">
        <v>0</v>
      </c>
      <c r="AW11" s="261">
        <v>0</v>
      </c>
      <c r="AX11" s="261">
        <v>0</v>
      </c>
      <c r="AY11" s="261">
        <v>0</v>
      </c>
      <c r="AZ11" s="261">
        <v>0</v>
      </c>
      <c r="BA11" s="261">
        <v>0</v>
      </c>
      <c r="BB11" s="261">
        <v>0</v>
      </c>
      <c r="BC11" s="261">
        <v>0</v>
      </c>
      <c r="BD11" s="261">
        <v>0</v>
      </c>
      <c r="BE11" s="261">
        <v>0</v>
      </c>
      <c r="BF11" s="261">
        <v>0</v>
      </c>
      <c r="BG11" s="261">
        <v>0</v>
      </c>
      <c r="BH11" s="261">
        <v>0</v>
      </c>
      <c r="BI11" s="261">
        <v>0</v>
      </c>
      <c r="BJ11" s="261">
        <v>0</v>
      </c>
      <c r="BK11" s="261">
        <v>0</v>
      </c>
      <c r="BL11" s="261">
        <v>0</v>
      </c>
      <c r="BM11" s="261">
        <v>0</v>
      </c>
      <c r="BN11" s="261">
        <v>0</v>
      </c>
      <c r="BO11" s="261">
        <v>0</v>
      </c>
      <c r="BP11" s="261">
        <v>0</v>
      </c>
      <c r="BQ11" s="261">
        <v>0</v>
      </c>
      <c r="BR11" s="261">
        <v>0</v>
      </c>
      <c r="BS11" s="261">
        <v>0</v>
      </c>
      <c r="BT11" s="261">
        <v>0</v>
      </c>
      <c r="BU11" s="261">
        <v>0</v>
      </c>
      <c r="BV11" s="261">
        <v>0</v>
      </c>
      <c r="BW11" s="261">
        <v>0</v>
      </c>
      <c r="BX11" s="261">
        <v>0</v>
      </c>
      <c r="BY11" s="261">
        <v>0</v>
      </c>
      <c r="BZ11" s="261">
        <v>0</v>
      </c>
      <c r="CA11" s="261">
        <v>0</v>
      </c>
      <c r="CB11" s="261">
        <v>0</v>
      </c>
      <c r="CC11" s="261">
        <v>0</v>
      </c>
      <c r="CD11" s="261">
        <v>0</v>
      </c>
      <c r="CE11" s="261">
        <v>0</v>
      </c>
      <c r="CF11" s="261">
        <v>0</v>
      </c>
      <c r="CG11" s="261">
        <v>0</v>
      </c>
      <c r="CH11" s="261">
        <v>0</v>
      </c>
      <c r="CI11" s="261">
        <v>0</v>
      </c>
      <c r="CJ11" s="261">
        <v>0</v>
      </c>
      <c r="CK11" s="261">
        <v>0</v>
      </c>
      <c r="CL11" s="261">
        <v>0</v>
      </c>
      <c r="CM11" s="261">
        <v>0</v>
      </c>
      <c r="CN11" s="261">
        <v>0</v>
      </c>
      <c r="CO11" s="261">
        <v>0</v>
      </c>
      <c r="CP11" s="261">
        <v>0</v>
      </c>
      <c r="CQ11" s="261">
        <v>0</v>
      </c>
      <c r="CR11" s="261">
        <v>0</v>
      </c>
      <c r="CS11" s="261">
        <v>0</v>
      </c>
      <c r="CT11" s="261">
        <v>0</v>
      </c>
      <c r="CU11" s="261">
        <v>0</v>
      </c>
      <c r="CV11" s="261">
        <v>0</v>
      </c>
      <c r="CW11" s="261">
        <v>0</v>
      </c>
      <c r="CX11" s="261">
        <v>0</v>
      </c>
      <c r="CY11" s="261">
        <v>0</v>
      </c>
      <c r="CZ11" s="261">
        <v>0</v>
      </c>
      <c r="DA11" s="261">
        <v>0</v>
      </c>
      <c r="DB11" s="261">
        <v>0</v>
      </c>
      <c r="DC11" s="261">
        <v>0</v>
      </c>
      <c r="DD11" s="261">
        <v>0</v>
      </c>
      <c r="DE11" s="261">
        <v>0</v>
      </c>
      <c r="DF11" s="261">
        <v>0</v>
      </c>
      <c r="DG11" s="261">
        <v>0</v>
      </c>
      <c r="DH11" s="261">
        <v>0</v>
      </c>
      <c r="DI11" s="261">
        <v>0</v>
      </c>
      <c r="DJ11" s="261">
        <v>0</v>
      </c>
      <c r="DK11" s="261">
        <v>0</v>
      </c>
      <c r="DL11" s="261">
        <v>0</v>
      </c>
      <c r="DM11" s="261">
        <v>0</v>
      </c>
      <c r="DN11" s="261">
        <v>0</v>
      </c>
      <c r="DO11" s="261">
        <v>0</v>
      </c>
      <c r="DP11" s="261">
        <v>0</v>
      </c>
      <c r="DQ11" s="261">
        <v>0</v>
      </c>
      <c r="DR11" s="261">
        <v>0</v>
      </c>
      <c r="DS11" s="261">
        <v>0</v>
      </c>
      <c r="DT11" s="261">
        <v>0</v>
      </c>
      <c r="DU11" s="261">
        <v>0</v>
      </c>
      <c r="DV11" s="261">
        <v>0</v>
      </c>
      <c r="DW11" s="261">
        <v>0</v>
      </c>
      <c r="DX11" s="261">
        <v>0</v>
      </c>
    </row>
    <row r="12" spans="3:128" ht="29" customHeight="1">
      <c r="H12" s="262"/>
      <c r="I12" s="263"/>
      <c r="J12" s="263"/>
      <c r="K12" s="263"/>
      <c r="L12" s="263"/>
      <c r="M12" s="263"/>
      <c r="N12" s="263"/>
      <c r="O12" s="263"/>
      <c r="P12" s="263"/>
      <c r="Q12" s="263"/>
      <c r="R12" s="263"/>
      <c r="S12" s="263"/>
      <c r="T12" s="263"/>
      <c r="U12" s="263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3"/>
      <c r="AO12" s="263"/>
      <c r="AP12" s="263"/>
      <c r="AQ12" s="263"/>
      <c r="AR12" s="263"/>
      <c r="AS12" s="263"/>
      <c r="AT12" s="263"/>
      <c r="AU12" s="263"/>
      <c r="AV12" s="263"/>
      <c r="AW12" s="263"/>
      <c r="AX12" s="263"/>
      <c r="AY12" s="263"/>
      <c r="AZ12" s="263"/>
      <c r="BA12" s="263"/>
      <c r="BB12" s="263"/>
      <c r="BC12" s="263"/>
      <c r="BD12" s="263"/>
      <c r="BE12" s="263"/>
      <c r="BF12" s="263"/>
      <c r="BG12" s="263"/>
      <c r="BH12" s="263"/>
      <c r="BI12" s="263"/>
      <c r="BJ12" s="263"/>
      <c r="BK12" s="263"/>
      <c r="BL12" s="263"/>
      <c r="BM12" s="263"/>
      <c r="BN12" s="263"/>
      <c r="BO12" s="263"/>
      <c r="BP12" s="263"/>
      <c r="BQ12" s="263"/>
      <c r="BR12" s="263"/>
      <c r="BS12" s="263"/>
      <c r="BT12" s="263"/>
      <c r="BU12" s="263"/>
      <c r="BV12" s="263"/>
      <c r="BW12" s="263"/>
      <c r="BX12" s="263"/>
      <c r="BY12" s="263"/>
      <c r="BZ12" s="263"/>
      <c r="CA12" s="263"/>
      <c r="CB12" s="263"/>
      <c r="CC12" s="263"/>
      <c r="CD12" s="263"/>
      <c r="CE12" s="263"/>
      <c r="CF12" s="263"/>
      <c r="CG12" s="263"/>
      <c r="CH12" s="263"/>
      <c r="CI12" s="263"/>
      <c r="CJ12" s="263"/>
      <c r="CK12" s="263"/>
      <c r="CL12" s="263"/>
      <c r="CM12" s="263"/>
      <c r="CN12" s="263"/>
      <c r="CO12" s="263"/>
      <c r="CP12" s="263"/>
      <c r="CQ12" s="263"/>
      <c r="CR12" s="263"/>
      <c r="CS12" s="263"/>
      <c r="CT12" s="263"/>
      <c r="CU12" s="263"/>
      <c r="CV12" s="263"/>
      <c r="CW12" s="263"/>
      <c r="CX12" s="263"/>
      <c r="CY12" s="263"/>
      <c r="CZ12" s="263"/>
      <c r="DA12" s="263"/>
      <c r="DB12" s="263"/>
      <c r="DC12" s="263"/>
      <c r="DD12" s="263"/>
      <c r="DE12" s="263"/>
      <c r="DF12" s="263"/>
      <c r="DG12" s="263"/>
      <c r="DH12" s="263"/>
      <c r="DI12" s="263"/>
      <c r="DJ12" s="263"/>
      <c r="DK12" s="263"/>
      <c r="DL12" s="263"/>
      <c r="DM12" s="263"/>
      <c r="DN12" s="263"/>
      <c r="DO12" s="263"/>
      <c r="DP12" s="263"/>
      <c r="DQ12" s="263"/>
      <c r="DR12" s="263"/>
      <c r="DS12" s="263"/>
      <c r="DT12" s="263"/>
      <c r="DU12" s="263"/>
      <c r="DV12" s="263"/>
      <c r="DW12" s="263"/>
      <c r="DX12" s="263"/>
    </row>
    <row r="13" spans="3:128">
      <c r="C13" s="324" t="s">
        <v>162</v>
      </c>
      <c r="D13" s="324"/>
      <c r="E13" s="324"/>
      <c r="F13" s="324"/>
      <c r="G13" s="259"/>
      <c r="H13" s="260">
        <f>SUM(I13:DX13)</f>
        <v>301577863067847.12</v>
      </c>
      <c r="I13" s="261">
        <f>I22</f>
        <v>2951777712000</v>
      </c>
      <c r="J13" s="261">
        <f t="shared" ref="J13:BU13" si="4">J22</f>
        <v>2943578263871.6064</v>
      </c>
      <c r="K13" s="261">
        <f t="shared" si="4"/>
        <v>2935401592170.2241</v>
      </c>
      <c r="L13" s="261">
        <f t="shared" si="4"/>
        <v>2927247633627.4937</v>
      </c>
      <c r="M13" s="261">
        <f t="shared" si="4"/>
        <v>2919116325150.8032</v>
      </c>
      <c r="N13" s="261">
        <f t="shared" si="4"/>
        <v>2911007603822.7993</v>
      </c>
      <c r="O13" s="261">
        <f t="shared" si="4"/>
        <v>2902921406900.9004</v>
      </c>
      <c r="P13" s="261">
        <f t="shared" si="4"/>
        <v>2894857671816.811</v>
      </c>
      <c r="Q13" s="261">
        <f t="shared" si="4"/>
        <v>2886816336176.0381</v>
      </c>
      <c r="R13" s="261">
        <f t="shared" si="4"/>
        <v>2878797337757.4082</v>
      </c>
      <c r="S13" s="261">
        <f t="shared" si="4"/>
        <v>2870800614512.5854</v>
      </c>
      <c r="T13" s="261">
        <f t="shared" si="4"/>
        <v>2862826104565.5923</v>
      </c>
      <c r="U13" s="261">
        <f t="shared" si="4"/>
        <v>2854873746212.3301</v>
      </c>
      <c r="V13" s="261">
        <f t="shared" si="4"/>
        <v>2846943477920.1016</v>
      </c>
      <c r="W13" s="261">
        <f t="shared" si="4"/>
        <v>2839035238327.1353</v>
      </c>
      <c r="X13" s="261">
        <f t="shared" si="4"/>
        <v>2831148966242.1104</v>
      </c>
      <c r="Y13" s="261">
        <f t="shared" si="4"/>
        <v>2823284600643.6831</v>
      </c>
      <c r="Z13" s="261">
        <f t="shared" si="4"/>
        <v>2815442080680.0151</v>
      </c>
      <c r="AA13" s="261">
        <f t="shared" si="4"/>
        <v>2807621345668.3022</v>
      </c>
      <c r="AB13" s="261">
        <f t="shared" si="4"/>
        <v>2799822335094.3047</v>
      </c>
      <c r="AC13" s="261">
        <f t="shared" si="4"/>
        <v>2792044988611.8799</v>
      </c>
      <c r="AD13" s="261">
        <f t="shared" si="4"/>
        <v>2784289246042.5137</v>
      </c>
      <c r="AE13" s="261">
        <f t="shared" si="4"/>
        <v>2776555047374.8569</v>
      </c>
      <c r="AF13" s="261">
        <f t="shared" si="4"/>
        <v>2768842332764.2593</v>
      </c>
      <c r="AG13" s="261">
        <f t="shared" si="4"/>
        <v>2761151042532.3066</v>
      </c>
      <c r="AH13" s="261">
        <f t="shared" si="4"/>
        <v>2753481117166.3604</v>
      </c>
      <c r="AI13" s="261">
        <f t="shared" si="4"/>
        <v>2745832497319.0957</v>
      </c>
      <c r="AJ13" s="261">
        <f t="shared" si="4"/>
        <v>2738205123808.0425</v>
      </c>
      <c r="AK13" s="261">
        <f t="shared" si="4"/>
        <v>2730598937615.1284</v>
      </c>
      <c r="AL13" s="261">
        <f t="shared" si="4"/>
        <v>2723013879886.2212</v>
      </c>
      <c r="AM13" s="261">
        <f t="shared" si="4"/>
        <v>2715449891930.6733</v>
      </c>
      <c r="AN13" s="261">
        <f t="shared" si="4"/>
        <v>2707906915220.8682</v>
      </c>
      <c r="AO13" s="261">
        <f t="shared" si="4"/>
        <v>2700384891391.7676</v>
      </c>
      <c r="AP13" s="261">
        <f t="shared" si="4"/>
        <v>2692883762240.4595</v>
      </c>
      <c r="AQ13" s="261">
        <f t="shared" si="4"/>
        <v>2685403469725.708</v>
      </c>
      <c r="AR13" s="261">
        <f t="shared" si="4"/>
        <v>2677943955967.5039</v>
      </c>
      <c r="AS13" s="261">
        <f t="shared" si="4"/>
        <v>2670505163246.6172</v>
      </c>
      <c r="AT13" s="261">
        <f t="shared" si="4"/>
        <v>2663087034004.1509</v>
      </c>
      <c r="AU13" s="261">
        <f t="shared" si="4"/>
        <v>2655689510841.0942</v>
      </c>
      <c r="AV13" s="261">
        <f t="shared" si="4"/>
        <v>2648312536517.8799</v>
      </c>
      <c r="AW13" s="261">
        <f t="shared" si="4"/>
        <v>2640956053953.9404</v>
      </c>
      <c r="AX13" s="261">
        <f t="shared" si="4"/>
        <v>2633620006227.2671</v>
      </c>
      <c r="AY13" s="261">
        <f t="shared" si="4"/>
        <v>2626304336573.9688</v>
      </c>
      <c r="AZ13" s="261">
        <f t="shared" si="4"/>
        <v>2619008988387.8335</v>
      </c>
      <c r="BA13" s="261">
        <f t="shared" si="4"/>
        <v>2611733905219.8896</v>
      </c>
      <c r="BB13" s="261">
        <f t="shared" si="4"/>
        <v>2604479030777.9697</v>
      </c>
      <c r="BC13" s="261">
        <f t="shared" si="4"/>
        <v>2597244308926.2749</v>
      </c>
      <c r="BD13" s="261">
        <f t="shared" si="4"/>
        <v>2590029683684.9395</v>
      </c>
      <c r="BE13" s="261">
        <f t="shared" si="4"/>
        <v>2582835099229.5996</v>
      </c>
      <c r="BF13" s="261">
        <f t="shared" si="4"/>
        <v>2575660499890.9595</v>
      </c>
      <c r="BG13" s="261">
        <f t="shared" si="4"/>
        <v>2568505830154.3623</v>
      </c>
      <c r="BH13" s="261">
        <f t="shared" si="4"/>
        <v>2561371034659.3594</v>
      </c>
      <c r="BI13" s="261">
        <f t="shared" si="4"/>
        <v>2554256058199.2827</v>
      </c>
      <c r="BJ13" s="261">
        <f t="shared" si="4"/>
        <v>2547160845720.8169</v>
      </c>
      <c r="BK13" s="261">
        <f t="shared" si="4"/>
        <v>2540085342323.5737</v>
      </c>
      <c r="BL13" s="261">
        <f t="shared" si="4"/>
        <v>2533029493259.6675</v>
      </c>
      <c r="BM13" s="261">
        <f t="shared" si="4"/>
        <v>2525993243933.291</v>
      </c>
      <c r="BN13" s="261">
        <f t="shared" si="4"/>
        <v>2518976539900.293</v>
      </c>
      <c r="BO13" s="261">
        <f t="shared" si="4"/>
        <v>2511979326867.7578</v>
      </c>
      <c r="BP13" s="261">
        <f t="shared" si="4"/>
        <v>2505001550693.5845</v>
      </c>
      <c r="BQ13" s="261">
        <f t="shared" si="4"/>
        <v>2498043157386.0679</v>
      </c>
      <c r="BR13" s="261">
        <f t="shared" si="4"/>
        <v>2491104093103.481</v>
      </c>
      <c r="BS13" s="261">
        <f t="shared" si="4"/>
        <v>2484184304153.6582</v>
      </c>
      <c r="BT13" s="261">
        <f t="shared" si="4"/>
        <v>2477283736993.5801</v>
      </c>
      <c r="BU13" s="261">
        <f t="shared" si="4"/>
        <v>2470402338228.9595</v>
      </c>
      <c r="BV13" s="261">
        <f t="shared" ref="BV13:DX13" si="5">BV22</f>
        <v>2463540054613.8271</v>
      </c>
      <c r="BW13" s="261">
        <f t="shared" si="5"/>
        <v>2456696833050.1211</v>
      </c>
      <c r="BX13" s="261">
        <f t="shared" si="5"/>
        <v>2449872620587.2744</v>
      </c>
      <c r="BY13" s="261">
        <f t="shared" si="5"/>
        <v>2443067364421.8071</v>
      </c>
      <c r="BZ13" s="261">
        <f t="shared" si="5"/>
        <v>2436281011896.916</v>
      </c>
      <c r="CA13" s="261">
        <f t="shared" si="5"/>
        <v>2429513510502.0688</v>
      </c>
      <c r="CB13" s="261">
        <f t="shared" si="5"/>
        <v>2422764807872.5962</v>
      </c>
      <c r="CC13" s="261">
        <f t="shared" si="5"/>
        <v>2416034851789.2876</v>
      </c>
      <c r="CD13" s="261">
        <f t="shared" si="5"/>
        <v>2409323590177.9873</v>
      </c>
      <c r="CE13" s="261">
        <f t="shared" si="5"/>
        <v>2402630971109.1909</v>
      </c>
      <c r="CF13" s="261">
        <f t="shared" si="5"/>
        <v>2395956942797.644</v>
      </c>
      <c r="CG13" s="261">
        <f t="shared" si="5"/>
        <v>2389301453601.9409</v>
      </c>
      <c r="CH13" s="261">
        <f t="shared" si="5"/>
        <v>2382664452024.1255</v>
      </c>
      <c r="CI13" s="261">
        <f t="shared" si="5"/>
        <v>2376045886709.293</v>
      </c>
      <c r="CJ13" s="261">
        <f t="shared" si="5"/>
        <v>2369445706445.1919</v>
      </c>
      <c r="CK13" s="261">
        <f t="shared" si="5"/>
        <v>2362863860161.8286</v>
      </c>
      <c r="CL13" s="261">
        <f t="shared" si="5"/>
        <v>2356300296931.0713</v>
      </c>
      <c r="CM13" s="261">
        <f t="shared" si="5"/>
        <v>2349754965966.2563</v>
      </c>
      <c r="CN13" s="261">
        <f t="shared" si="5"/>
        <v>2343227816621.7954</v>
      </c>
      <c r="CO13" s="261">
        <f t="shared" si="5"/>
        <v>2336718798392.7832</v>
      </c>
      <c r="CP13" s="261">
        <f t="shared" si="5"/>
        <v>2330227860914.6079</v>
      </c>
      <c r="CQ13" s="261">
        <f t="shared" si="5"/>
        <v>2323754953962.5591</v>
      </c>
      <c r="CR13" s="261">
        <f t="shared" si="5"/>
        <v>2317300027451.4419</v>
      </c>
      <c r="CS13" s="261">
        <f t="shared" si="5"/>
        <v>2310863031435.1875</v>
      </c>
      <c r="CT13" s="261">
        <f t="shared" si="5"/>
        <v>2304443916106.4668</v>
      </c>
      <c r="CU13" s="261">
        <f t="shared" si="5"/>
        <v>2298042631796.3062</v>
      </c>
      <c r="CV13" s="261">
        <f t="shared" si="5"/>
        <v>2291659128973.7021</v>
      </c>
      <c r="CW13" s="261">
        <f t="shared" si="5"/>
        <v>2285293358245.2388</v>
      </c>
      <c r="CX13" s="261">
        <f t="shared" si="5"/>
        <v>2278945270354.7051</v>
      </c>
      <c r="CY13" s="261">
        <f t="shared" si="5"/>
        <v>2272614816182.7139</v>
      </c>
      <c r="CZ13" s="261">
        <f t="shared" si="5"/>
        <v>2266301946746.3213</v>
      </c>
      <c r="DA13" s="261">
        <f t="shared" si="5"/>
        <v>2260006613198.6494</v>
      </c>
      <c r="DB13" s="261">
        <f t="shared" si="5"/>
        <v>2253728766828.5063</v>
      </c>
      <c r="DC13" s="261">
        <f t="shared" si="5"/>
        <v>2247468359060.0103</v>
      </c>
      <c r="DD13" s="261">
        <f t="shared" si="5"/>
        <v>2241225341452.2134</v>
      </c>
      <c r="DE13" s="261">
        <f t="shared" si="5"/>
        <v>2234999665698.7275</v>
      </c>
      <c r="DF13" s="261">
        <f t="shared" si="5"/>
        <v>2228791283627.3496</v>
      </c>
      <c r="DG13" s="261">
        <f t="shared" si="5"/>
        <v>2222600147199.6895</v>
      </c>
      <c r="DH13" s="261">
        <f t="shared" si="5"/>
        <v>2216426208510.7983</v>
      </c>
      <c r="DI13" s="261">
        <f t="shared" si="5"/>
        <v>2210269419788.7969</v>
      </c>
      <c r="DJ13" s="261">
        <f t="shared" si="5"/>
        <v>2204129733394.5073</v>
      </c>
      <c r="DK13" s="261">
        <f t="shared" si="5"/>
        <v>2198007101821.084</v>
      </c>
      <c r="DL13" s="261">
        <f t="shared" si="5"/>
        <v>2191901477693.6453</v>
      </c>
      <c r="DM13" s="261">
        <f t="shared" si="5"/>
        <v>2185812813768.908</v>
      </c>
      <c r="DN13" s="261">
        <f t="shared" si="5"/>
        <v>2179741062934.8208</v>
      </c>
      <c r="DO13" s="261">
        <f t="shared" si="5"/>
        <v>2173686178210.2004</v>
      </c>
      <c r="DP13" s="261">
        <f t="shared" si="5"/>
        <v>2167648112744.3682</v>
      </c>
      <c r="DQ13" s="261">
        <f t="shared" si="5"/>
        <v>2161626819816.7869</v>
      </c>
      <c r="DR13" s="261">
        <f t="shared" si="5"/>
        <v>2155622252836.6997</v>
      </c>
      <c r="DS13" s="261">
        <f t="shared" si="5"/>
        <v>2149634365342.77</v>
      </c>
      <c r="DT13" s="261">
        <f t="shared" si="5"/>
        <v>2143663111002.7209</v>
      </c>
      <c r="DU13" s="261">
        <f t="shared" si="5"/>
        <v>2137708443612.9775</v>
      </c>
      <c r="DV13" s="261">
        <f t="shared" si="5"/>
        <v>2131770317098.3093</v>
      </c>
      <c r="DW13" s="261">
        <f t="shared" si="5"/>
        <v>2125848685511.4736</v>
      </c>
      <c r="DX13" s="261">
        <f t="shared" si="5"/>
        <v>2119943503032.8599</v>
      </c>
    </row>
    <row r="15" spans="3:128">
      <c r="I15" s="264"/>
      <c r="J15" s="264"/>
      <c r="K15" s="264"/>
      <c r="L15" s="264"/>
      <c r="M15" s="264"/>
      <c r="N15" s="264"/>
      <c r="O15" s="264"/>
      <c r="P15" s="264"/>
      <c r="Q15" s="264"/>
      <c r="R15" s="264"/>
      <c r="S15" s="264"/>
      <c r="T15" s="264"/>
      <c r="U15" s="264"/>
      <c r="V15" s="264"/>
      <c r="W15" s="264"/>
      <c r="X15" s="264"/>
      <c r="Y15" s="264"/>
      <c r="Z15" s="264"/>
      <c r="AA15" s="264"/>
      <c r="AB15" s="264"/>
      <c r="AC15" s="264"/>
      <c r="AD15" s="264"/>
      <c r="AE15" s="264"/>
      <c r="AF15" s="264"/>
      <c r="AG15" s="264"/>
      <c r="AH15" s="264"/>
      <c r="AI15" s="264"/>
      <c r="AJ15" s="264"/>
      <c r="AK15" s="264"/>
      <c r="AL15" s="264"/>
      <c r="AM15" s="264"/>
      <c r="AN15" s="264"/>
      <c r="AO15" s="264"/>
      <c r="AP15" s="264"/>
      <c r="AQ15" s="264"/>
      <c r="AR15" s="264"/>
      <c r="AS15" s="264"/>
      <c r="AT15" s="264"/>
      <c r="AU15" s="264"/>
      <c r="AV15" s="264"/>
      <c r="AW15" s="264"/>
      <c r="AX15" s="264"/>
      <c r="AY15" s="264"/>
      <c r="AZ15" s="264"/>
      <c r="BA15" s="264"/>
      <c r="BB15" s="264"/>
      <c r="BC15" s="264"/>
      <c r="BD15" s="264"/>
      <c r="BE15" s="264"/>
      <c r="BF15" s="264"/>
      <c r="BG15" s="264"/>
      <c r="BH15" s="264"/>
      <c r="BI15" s="264"/>
      <c r="BJ15" s="264"/>
      <c r="BK15" s="264"/>
      <c r="BL15" s="264"/>
      <c r="BM15" s="264"/>
      <c r="BN15" s="264"/>
      <c r="BO15" s="264"/>
      <c r="BP15" s="264"/>
      <c r="BQ15" s="264"/>
      <c r="BR15" s="264"/>
      <c r="BS15" s="264"/>
      <c r="BT15" s="264"/>
      <c r="BU15" s="264"/>
      <c r="BV15" s="264"/>
      <c r="BW15" s="264"/>
      <c r="BX15" s="264"/>
      <c r="BY15" s="264"/>
      <c r="BZ15" s="264"/>
      <c r="CA15" s="264"/>
      <c r="CB15" s="264"/>
      <c r="CC15" s="264"/>
      <c r="CD15" s="264"/>
      <c r="CE15" s="264"/>
      <c r="CF15" s="264"/>
      <c r="CG15" s="264"/>
      <c r="CH15" s="264"/>
      <c r="CI15" s="264"/>
      <c r="CJ15" s="264"/>
      <c r="CK15" s="264"/>
      <c r="CL15" s="264"/>
      <c r="CM15" s="264"/>
      <c r="CN15" s="264"/>
      <c r="CO15" s="264"/>
      <c r="CP15" s="264"/>
      <c r="CQ15" s="264"/>
      <c r="CR15" s="264"/>
      <c r="CS15" s="264"/>
      <c r="CT15" s="264"/>
      <c r="CU15" s="264"/>
      <c r="CV15" s="264"/>
      <c r="CW15" s="264"/>
      <c r="CX15" s="264"/>
      <c r="CY15" s="264"/>
      <c r="CZ15" s="264"/>
      <c r="DA15" s="264"/>
      <c r="DB15" s="264"/>
      <c r="DC15" s="264"/>
      <c r="DD15" s="264"/>
      <c r="DE15" s="264"/>
      <c r="DF15" s="264"/>
      <c r="DG15" s="264"/>
      <c r="DH15" s="264"/>
      <c r="DI15" s="264"/>
      <c r="DJ15" s="264"/>
      <c r="DK15" s="264"/>
      <c r="DL15" s="264"/>
      <c r="DM15" s="264"/>
      <c r="DN15" s="264"/>
      <c r="DO15" s="264"/>
      <c r="DP15" s="264"/>
      <c r="DQ15" s="264"/>
      <c r="DR15" s="264"/>
      <c r="DS15" s="264"/>
      <c r="DT15" s="264"/>
      <c r="DU15" s="264"/>
      <c r="DV15" s="264"/>
      <c r="DW15" s="264"/>
      <c r="DX15" s="264"/>
    </row>
    <row r="16" spans="3:128">
      <c r="C16" s="315" t="s">
        <v>211</v>
      </c>
      <c r="D16" s="315"/>
      <c r="E16" s="315"/>
      <c r="F16" s="315"/>
      <c r="I16" s="264"/>
      <c r="J16" s="264"/>
      <c r="K16" s="264"/>
      <c r="L16" s="264"/>
      <c r="M16" s="264"/>
      <c r="N16" s="264"/>
      <c r="O16" s="264"/>
      <c r="P16" s="264"/>
      <c r="Q16" s="264"/>
      <c r="R16" s="264"/>
      <c r="S16" s="264"/>
      <c r="T16" s="264"/>
      <c r="U16" s="264"/>
      <c r="V16" s="264"/>
      <c r="W16" s="264"/>
      <c r="X16" s="264"/>
      <c r="Y16" s="264"/>
      <c r="Z16" s="264"/>
      <c r="AA16" s="264"/>
      <c r="AB16" s="264"/>
      <c r="AC16" s="264"/>
      <c r="AD16" s="264"/>
      <c r="AE16" s="264"/>
      <c r="AF16" s="264"/>
      <c r="AG16" s="264"/>
      <c r="AH16" s="264"/>
      <c r="AI16" s="264"/>
      <c r="AJ16" s="264"/>
      <c r="AK16" s="264"/>
      <c r="AL16" s="264"/>
      <c r="AM16" s="264"/>
      <c r="AN16" s="264"/>
      <c r="AO16" s="264"/>
      <c r="AP16" s="264"/>
      <c r="AQ16" s="264"/>
      <c r="AR16" s="264"/>
      <c r="AS16" s="264"/>
      <c r="AT16" s="264"/>
      <c r="AU16" s="264"/>
      <c r="AV16" s="264"/>
      <c r="AW16" s="264"/>
      <c r="AX16" s="264"/>
      <c r="AY16" s="264"/>
      <c r="AZ16" s="264"/>
      <c r="BA16" s="264"/>
      <c r="BB16" s="264"/>
      <c r="BC16" s="264"/>
      <c r="BD16" s="264"/>
      <c r="BE16" s="264"/>
      <c r="BF16" s="264"/>
      <c r="BG16" s="264"/>
      <c r="BH16" s="264"/>
      <c r="BI16" s="264"/>
      <c r="BJ16" s="264"/>
      <c r="BK16" s="264"/>
      <c r="BL16" s="264"/>
      <c r="BM16" s="264"/>
      <c r="BN16" s="264"/>
      <c r="BO16" s="264"/>
      <c r="BP16" s="264"/>
      <c r="BQ16" s="264"/>
      <c r="BR16" s="264"/>
      <c r="BS16" s="264"/>
      <c r="BT16" s="264"/>
      <c r="BU16" s="264"/>
      <c r="BV16" s="264"/>
      <c r="BW16" s="264"/>
      <c r="BX16" s="264"/>
      <c r="BY16" s="264"/>
      <c r="BZ16" s="264"/>
      <c r="CA16" s="264"/>
      <c r="CB16" s="264"/>
      <c r="CC16" s="264"/>
      <c r="CD16" s="264"/>
      <c r="CE16" s="264"/>
      <c r="CF16" s="264"/>
      <c r="CG16" s="264"/>
      <c r="CH16" s="264"/>
      <c r="CI16" s="264"/>
      <c r="CJ16" s="264"/>
      <c r="CK16" s="264"/>
      <c r="CL16" s="264"/>
      <c r="CM16" s="264"/>
      <c r="CN16" s="264"/>
      <c r="CO16" s="264"/>
      <c r="CP16" s="264"/>
      <c r="CQ16" s="264"/>
      <c r="CR16" s="264"/>
      <c r="CS16" s="264"/>
      <c r="CT16" s="264"/>
      <c r="CU16" s="264"/>
      <c r="CV16" s="264"/>
      <c r="CW16" s="264"/>
      <c r="CX16" s="264"/>
      <c r="CY16" s="264"/>
      <c r="CZ16" s="264"/>
      <c r="DA16" s="264"/>
      <c r="DB16" s="264"/>
      <c r="DC16" s="264"/>
      <c r="DD16" s="264"/>
      <c r="DE16" s="264"/>
      <c r="DF16" s="264"/>
      <c r="DG16" s="264"/>
      <c r="DH16" s="264"/>
      <c r="DI16" s="264"/>
      <c r="DJ16" s="264"/>
      <c r="DK16" s="264"/>
      <c r="DL16" s="264"/>
      <c r="DM16" s="264"/>
      <c r="DN16" s="264"/>
      <c r="DO16" s="264"/>
      <c r="DP16" s="264"/>
      <c r="DQ16" s="264"/>
      <c r="DR16" s="264"/>
      <c r="DS16" s="264"/>
      <c r="DT16" s="264"/>
      <c r="DU16" s="264"/>
      <c r="DV16" s="264"/>
      <c r="DW16" s="264"/>
      <c r="DX16" s="264"/>
    </row>
    <row r="17" spans="2:128">
      <c r="C17" s="316" t="s">
        <v>163</v>
      </c>
      <c r="D17" s="316"/>
      <c r="E17" s="316"/>
      <c r="F17" s="316"/>
      <c r="G17" s="265">
        <v>2.7780000000000001E-3</v>
      </c>
      <c r="H17" s="266">
        <f>SUM(I17:DX17)</f>
        <v>840056496967.14087</v>
      </c>
      <c r="I17" s="264">
        <f>I18*I21</f>
        <v>8222288000</v>
      </c>
      <c r="J17" s="264">
        <f>J20*J21</f>
        <v>8199448128.3935995</v>
      </c>
      <c r="K17" s="264">
        <f t="shared" ref="K17:U17" si="6">K20*K21</f>
        <v>8176671701.3825483</v>
      </c>
      <c r="L17" s="264">
        <f t="shared" si="6"/>
        <v>8153958542.7304487</v>
      </c>
      <c r="M17" s="264">
        <f t="shared" si="6"/>
        <v>8131308476.6904516</v>
      </c>
      <c r="N17" s="264">
        <f t="shared" si="6"/>
        <v>8108721328.0039015</v>
      </c>
      <c r="O17" s="264">
        <f t="shared" si="6"/>
        <v>8086196921.8989716</v>
      </c>
      <c r="P17" s="264">
        <f t="shared" si="6"/>
        <v>8063735084.0893211</v>
      </c>
      <c r="Q17" s="264">
        <f t="shared" si="6"/>
        <v>8041335640.7727375</v>
      </c>
      <c r="R17" s="264">
        <f t="shared" si="6"/>
        <v>8018998418.6297989</v>
      </c>
      <c r="S17" s="264">
        <f t="shared" si="6"/>
        <v>7996723244.8225288</v>
      </c>
      <c r="T17" s="264">
        <f t="shared" si="6"/>
        <v>7974509946.9930601</v>
      </c>
      <c r="U17" s="264">
        <f t="shared" si="6"/>
        <v>7952358353.2623024</v>
      </c>
      <c r="V17" s="264">
        <f>V20*V21</f>
        <v>7930268292.22861</v>
      </c>
      <c r="W17" s="264">
        <f t="shared" ref="W17:CH17" si="7">W20*W21</f>
        <v>7908239592.9664583</v>
      </c>
      <c r="X17" s="264">
        <f t="shared" si="7"/>
        <v>7886272085.025116</v>
      </c>
      <c r="Y17" s="264">
        <f t="shared" si="7"/>
        <v>7864365598.4273338</v>
      </c>
      <c r="Z17" s="264">
        <f t="shared" si="7"/>
        <v>7842519963.6680231</v>
      </c>
      <c r="AA17" s="264">
        <f t="shared" si="7"/>
        <v>7820735011.7129459</v>
      </c>
      <c r="AB17" s="264">
        <f t="shared" si="7"/>
        <v>7799010573.9974098</v>
      </c>
      <c r="AC17" s="264">
        <f t="shared" si="7"/>
        <v>7777346482.4249592</v>
      </c>
      <c r="AD17" s="264">
        <f t="shared" si="7"/>
        <v>7755742569.3660803</v>
      </c>
      <c r="AE17" s="264">
        <f t="shared" si="7"/>
        <v>7734198667.6568947</v>
      </c>
      <c r="AF17" s="264">
        <f t="shared" si="7"/>
        <v>7712714610.5978775</v>
      </c>
      <c r="AG17" s="264">
        <f t="shared" si="7"/>
        <v>7691290231.9525595</v>
      </c>
      <c r="AH17" s="264">
        <f t="shared" si="7"/>
        <v>7669925365.9462414</v>
      </c>
      <c r="AI17" s="264">
        <f t="shared" si="7"/>
        <v>7648619847.2647161</v>
      </c>
      <c r="AJ17" s="264">
        <f t="shared" si="7"/>
        <v>7627373511.0529842</v>
      </c>
      <c r="AK17" s="264">
        <f t="shared" si="7"/>
        <v>7606186192.9139805</v>
      </c>
      <c r="AL17" s="264">
        <f t="shared" si="7"/>
        <v>7585057728.9073038</v>
      </c>
      <c r="AM17" s="264">
        <f t="shared" si="7"/>
        <v>7563987955.547945</v>
      </c>
      <c r="AN17" s="264">
        <f t="shared" si="7"/>
        <v>7542976709.8050241</v>
      </c>
      <c r="AO17" s="264">
        <f t="shared" si="7"/>
        <v>7522023829.1005278</v>
      </c>
      <c r="AP17" s="264">
        <f t="shared" si="7"/>
        <v>7501129151.3080521</v>
      </c>
      <c r="AQ17" s="264">
        <f t="shared" si="7"/>
        <v>7480292514.7515478</v>
      </c>
      <c r="AR17" s="264">
        <f t="shared" si="7"/>
        <v>7459513758.204072</v>
      </c>
      <c r="AS17" s="264">
        <f t="shared" si="7"/>
        <v>7438792720.8865318</v>
      </c>
      <c r="AT17" s="264">
        <f t="shared" si="7"/>
        <v>7418129242.4664536</v>
      </c>
      <c r="AU17" s="264">
        <f t="shared" si="7"/>
        <v>7397523163.0567303</v>
      </c>
      <c r="AV17" s="264">
        <f t="shared" si="7"/>
        <v>7376974323.2143917</v>
      </c>
      <c r="AW17" s="264">
        <f t="shared" si="7"/>
        <v>7356482563.9393663</v>
      </c>
      <c r="AX17" s="264">
        <f t="shared" si="7"/>
        <v>7336047726.6732559</v>
      </c>
      <c r="AY17" s="264">
        <f t="shared" si="7"/>
        <v>7315669653.2981024</v>
      </c>
      <c r="AZ17" s="264">
        <f t="shared" si="7"/>
        <v>7295348186.13517</v>
      </c>
      <c r="BA17" s="264">
        <f t="shared" si="7"/>
        <v>7275083167.9437237</v>
      </c>
      <c r="BB17" s="264">
        <f t="shared" si="7"/>
        <v>7254874441.9198093</v>
      </c>
      <c r="BC17" s="264">
        <f t="shared" si="7"/>
        <v>7234721851.6950445</v>
      </c>
      <c r="BD17" s="264">
        <f t="shared" si="7"/>
        <v>7214625241.3354063</v>
      </c>
      <c r="BE17" s="264">
        <f t="shared" si="7"/>
        <v>7194584455.3400249</v>
      </c>
      <c r="BF17" s="264">
        <f t="shared" si="7"/>
        <v>7174599338.6399813</v>
      </c>
      <c r="BG17" s="264">
        <f t="shared" si="7"/>
        <v>7154669736.5971069</v>
      </c>
      <c r="BH17" s="264">
        <f t="shared" si="7"/>
        <v>7134795495.0027876</v>
      </c>
      <c r="BI17" s="264">
        <f t="shared" si="7"/>
        <v>7114976460.0767689</v>
      </c>
      <c r="BJ17" s="264">
        <f t="shared" si="7"/>
        <v>7095212478.4659672</v>
      </c>
      <c r="BK17" s="264">
        <f t="shared" si="7"/>
        <v>7075503397.2432852</v>
      </c>
      <c r="BL17" s="264">
        <f t="shared" si="7"/>
        <v>7055849063.9064226</v>
      </c>
      <c r="BM17" s="264">
        <f t="shared" si="7"/>
        <v>7036249326.3767042</v>
      </c>
      <c r="BN17" s="264">
        <f t="shared" si="7"/>
        <v>7016704032.9978962</v>
      </c>
      <c r="BO17" s="264">
        <f t="shared" si="7"/>
        <v>6997213032.5350342</v>
      </c>
      <c r="BP17" s="264">
        <f t="shared" si="7"/>
        <v>6977776174.1732578</v>
      </c>
      <c r="BQ17" s="264">
        <f t="shared" si="7"/>
        <v>6958393307.5166388</v>
      </c>
      <c r="BR17" s="264">
        <f t="shared" si="7"/>
        <v>6939064282.587019</v>
      </c>
      <c r="BS17" s="264">
        <f t="shared" si="7"/>
        <v>6919788949.8228493</v>
      </c>
      <c r="BT17" s="264">
        <f t="shared" si="7"/>
        <v>6900567160.0780315</v>
      </c>
      <c r="BU17" s="264">
        <f t="shared" si="7"/>
        <v>6881398764.6207666</v>
      </c>
      <c r="BV17" s="264">
        <f t="shared" si="7"/>
        <v>6862283615.1324034</v>
      </c>
      <c r="BW17" s="264">
        <f t="shared" si="7"/>
        <v>6843221563.7062893</v>
      </c>
      <c r="BX17" s="264">
        <f t="shared" si="7"/>
        <v>6824212462.8466263</v>
      </c>
      <c r="BY17" s="264">
        <f t="shared" si="7"/>
        <v>6805256165.4673309</v>
      </c>
      <c r="BZ17" s="264">
        <f t="shared" si="7"/>
        <v>6786352524.8908958</v>
      </c>
      <c r="CA17" s="264">
        <f t="shared" si="7"/>
        <v>6767501394.8472528</v>
      </c>
      <c r="CB17" s="264">
        <f t="shared" si="7"/>
        <v>6748702629.4726467</v>
      </c>
      <c r="CC17" s="264">
        <f t="shared" si="7"/>
        <v>6729956083.3084974</v>
      </c>
      <c r="CD17" s="264">
        <f t="shared" si="7"/>
        <v>6711261611.3002834</v>
      </c>
      <c r="CE17" s="264">
        <f t="shared" si="7"/>
        <v>6692619068.7964134</v>
      </c>
      <c r="CF17" s="264">
        <f t="shared" si="7"/>
        <v>6674028311.5471106</v>
      </c>
      <c r="CG17" s="264">
        <f t="shared" si="7"/>
        <v>6655489195.7032957</v>
      </c>
      <c r="CH17" s="264">
        <f t="shared" si="7"/>
        <v>6637001577.8154716</v>
      </c>
      <c r="CI17" s="264">
        <f t="shared" ref="CI17:DX17" si="8">CI20*CI21</f>
        <v>6618565314.8326159</v>
      </c>
      <c r="CJ17" s="264">
        <f t="shared" si="8"/>
        <v>6600180264.1010742</v>
      </c>
      <c r="CK17" s="264">
        <f t="shared" si="8"/>
        <v>6581846283.3634539</v>
      </c>
      <c r="CL17" s="264">
        <f t="shared" si="8"/>
        <v>6563563230.7575274</v>
      </c>
      <c r="CM17" s="264">
        <f t="shared" si="8"/>
        <v>6545330964.8151302</v>
      </c>
      <c r="CN17" s="264">
        <f t="shared" si="8"/>
        <v>6527149344.4610672</v>
      </c>
      <c r="CO17" s="264">
        <f t="shared" si="8"/>
        <v>6509018229.012023</v>
      </c>
      <c r="CP17" s="264">
        <f t="shared" si="8"/>
        <v>6490937478.1754732</v>
      </c>
      <c r="CQ17" s="264">
        <f t="shared" si="8"/>
        <v>6472906952.0485973</v>
      </c>
      <c r="CR17" s="264">
        <f t="shared" si="8"/>
        <v>6454926511.1171961</v>
      </c>
      <c r="CS17" s="264">
        <f t="shared" si="8"/>
        <v>6436996016.2546148</v>
      </c>
      <c r="CT17" s="264">
        <f t="shared" si="8"/>
        <v>6419115328.720664</v>
      </c>
      <c r="CU17" s="264">
        <f t="shared" si="8"/>
        <v>6401284310.1605434</v>
      </c>
      <c r="CV17" s="264">
        <f t="shared" si="8"/>
        <v>6383502822.6037788</v>
      </c>
      <c r="CW17" s="264">
        <f t="shared" si="8"/>
        <v>6365770728.46315</v>
      </c>
      <c r="CX17" s="264">
        <f t="shared" si="8"/>
        <v>6348087890.5336246</v>
      </c>
      <c r="CY17" s="264">
        <f t="shared" si="8"/>
        <v>6330454171.9912996</v>
      </c>
      <c r="CZ17" s="264">
        <f t="shared" si="8"/>
        <v>6312869436.3923426</v>
      </c>
      <c r="DA17" s="264">
        <f t="shared" si="8"/>
        <v>6295333547.6719313</v>
      </c>
      <c r="DB17" s="264">
        <f t="shared" si="8"/>
        <v>6277846370.1432085</v>
      </c>
      <c r="DC17" s="264">
        <f t="shared" si="8"/>
        <v>6260407768.4962244</v>
      </c>
      <c r="DD17" s="264">
        <f t="shared" si="8"/>
        <v>6243017607.796896</v>
      </c>
      <c r="DE17" s="264">
        <f t="shared" si="8"/>
        <v>6225675753.4859581</v>
      </c>
      <c r="DF17" s="264">
        <f t="shared" si="8"/>
        <v>6208382071.3779249</v>
      </c>
      <c r="DG17" s="264">
        <f t="shared" si="8"/>
        <v>6191136427.6600513</v>
      </c>
      <c r="DH17" s="264">
        <f t="shared" si="8"/>
        <v>6173938688.8912973</v>
      </c>
      <c r="DI17" s="264">
        <f t="shared" si="8"/>
        <v>6156788722.001296</v>
      </c>
      <c r="DJ17" s="264">
        <f t="shared" si="8"/>
        <v>6139686394.28932</v>
      </c>
      <c r="DK17" s="264">
        <f t="shared" si="8"/>
        <v>6122631573.4232626</v>
      </c>
      <c r="DL17" s="264">
        <f t="shared" si="8"/>
        <v>6105624127.4386072</v>
      </c>
      <c r="DM17" s="264">
        <f t="shared" si="8"/>
        <v>6088663924.7374077</v>
      </c>
      <c r="DN17" s="264">
        <f t="shared" si="8"/>
        <v>6071750834.0872726</v>
      </c>
      <c r="DO17" s="264">
        <f t="shared" si="8"/>
        <v>6054884724.6203451</v>
      </c>
      <c r="DP17" s="264">
        <f t="shared" si="8"/>
        <v>6038065465.8322945</v>
      </c>
      <c r="DQ17" s="264">
        <f t="shared" si="8"/>
        <v>6021292927.5813055</v>
      </c>
      <c r="DR17" s="264">
        <f t="shared" si="8"/>
        <v>6004566980.0870705</v>
      </c>
      <c r="DS17" s="264">
        <f t="shared" si="8"/>
        <v>5987887493.9297848</v>
      </c>
      <c r="DT17" s="264">
        <f t="shared" si="8"/>
        <v>5971254340.0491467</v>
      </c>
      <c r="DU17" s="264">
        <f t="shared" si="8"/>
        <v>5954667389.7433586</v>
      </c>
      <c r="DV17" s="264">
        <f t="shared" si="8"/>
        <v>5938126514.668129</v>
      </c>
      <c r="DW17" s="264">
        <f t="shared" si="8"/>
        <v>5921631586.8356838</v>
      </c>
      <c r="DX17" s="264">
        <f t="shared" si="8"/>
        <v>5905182478.6137714</v>
      </c>
    </row>
    <row r="18" spans="2:128">
      <c r="C18" s="316" t="s">
        <v>211</v>
      </c>
      <c r="D18" s="316"/>
      <c r="E18" s="316"/>
      <c r="F18" s="316"/>
      <c r="G18" s="267"/>
      <c r="H18" s="268">
        <f t="shared" ref="H18:H20" si="9">SUM(I18:AR18)</f>
        <v>106560000000000</v>
      </c>
      <c r="I18" s="264">
        <v>2960000000000</v>
      </c>
      <c r="J18" s="264">
        <v>2960000000000</v>
      </c>
      <c r="K18" s="264">
        <v>2960000000000</v>
      </c>
      <c r="L18" s="264">
        <v>2960000000000</v>
      </c>
      <c r="M18" s="264">
        <v>2960000000000</v>
      </c>
      <c r="N18" s="264">
        <v>2960000000000</v>
      </c>
      <c r="O18" s="264">
        <v>2960000000000</v>
      </c>
      <c r="P18" s="264">
        <v>2960000000000</v>
      </c>
      <c r="Q18" s="264">
        <v>2960000000000</v>
      </c>
      <c r="R18" s="264">
        <v>2960000000000</v>
      </c>
      <c r="S18" s="264">
        <v>2960000000000</v>
      </c>
      <c r="T18" s="264">
        <v>2960000000000</v>
      </c>
      <c r="U18" s="264">
        <v>2960000000000</v>
      </c>
      <c r="V18" s="264">
        <v>2960000000000</v>
      </c>
      <c r="W18" s="264">
        <v>2960000000000</v>
      </c>
      <c r="X18" s="264">
        <v>2960000000000</v>
      </c>
      <c r="Y18" s="264">
        <v>2960000000000</v>
      </c>
      <c r="Z18" s="264">
        <v>2960000000000</v>
      </c>
      <c r="AA18" s="264">
        <v>2960000000000</v>
      </c>
      <c r="AB18" s="264">
        <v>2960000000000</v>
      </c>
      <c r="AC18" s="264">
        <v>2960000000000</v>
      </c>
      <c r="AD18" s="264">
        <v>2960000000000</v>
      </c>
      <c r="AE18" s="264">
        <v>2960000000000</v>
      </c>
      <c r="AF18" s="264">
        <v>2960000000000</v>
      </c>
      <c r="AG18" s="264">
        <v>2960000000000</v>
      </c>
      <c r="AH18" s="264">
        <v>2960000000000</v>
      </c>
      <c r="AI18" s="264">
        <v>2960000000000</v>
      </c>
      <c r="AJ18" s="264">
        <v>2960000000000</v>
      </c>
      <c r="AK18" s="264">
        <v>2960000000000</v>
      </c>
      <c r="AL18" s="264">
        <v>2960000000000</v>
      </c>
      <c r="AM18" s="264">
        <v>2960000000000</v>
      </c>
      <c r="AN18" s="264">
        <v>2960000000000</v>
      </c>
      <c r="AO18" s="264">
        <v>2960000000000</v>
      </c>
      <c r="AP18" s="264">
        <v>2960000000000</v>
      </c>
      <c r="AQ18" s="264">
        <v>2960000000000</v>
      </c>
      <c r="AR18" s="264">
        <v>2960000000000</v>
      </c>
      <c r="AS18" s="264">
        <v>2960000000000</v>
      </c>
      <c r="AT18" s="264">
        <v>2960000000000</v>
      </c>
      <c r="AU18" s="264">
        <v>2960000000000</v>
      </c>
      <c r="AV18" s="264">
        <v>2960000000000</v>
      </c>
      <c r="AW18" s="264">
        <v>2960000000000</v>
      </c>
      <c r="AX18" s="264">
        <v>2960000000000</v>
      </c>
      <c r="AY18" s="264">
        <v>2960000000000</v>
      </c>
      <c r="AZ18" s="264">
        <v>2960000000000</v>
      </c>
      <c r="BA18" s="264">
        <v>2960000000000</v>
      </c>
      <c r="BB18" s="264">
        <v>2960000000000</v>
      </c>
      <c r="BC18" s="264">
        <v>2960000000000</v>
      </c>
      <c r="BD18" s="264">
        <v>2960000000000</v>
      </c>
      <c r="BE18" s="264">
        <v>2960000000000</v>
      </c>
      <c r="BF18" s="264">
        <v>2960000000000</v>
      </c>
      <c r="BG18" s="264">
        <v>2960000000000</v>
      </c>
      <c r="BH18" s="264">
        <v>2960000000000</v>
      </c>
      <c r="BI18" s="264">
        <v>2960000000000</v>
      </c>
      <c r="BJ18" s="264">
        <v>2960000000000</v>
      </c>
      <c r="BK18" s="264">
        <v>2960000000000</v>
      </c>
      <c r="BL18" s="264">
        <v>2960000000000</v>
      </c>
      <c r="BM18" s="264">
        <v>2960000000000</v>
      </c>
      <c r="BN18" s="264">
        <v>2960000000000</v>
      </c>
      <c r="BO18" s="264">
        <v>2960000000000</v>
      </c>
      <c r="BP18" s="264">
        <v>2960000000000</v>
      </c>
      <c r="BQ18" s="264">
        <v>2960000000000</v>
      </c>
      <c r="BR18" s="264">
        <v>2960000000000</v>
      </c>
      <c r="BS18" s="264">
        <v>2960000000000</v>
      </c>
      <c r="BT18" s="264">
        <v>2960000000000</v>
      </c>
      <c r="BU18" s="264">
        <v>2960000000000</v>
      </c>
      <c r="BV18" s="264">
        <v>2960000000000</v>
      </c>
      <c r="BW18" s="264">
        <v>2960000000000</v>
      </c>
      <c r="BX18" s="264">
        <v>2960000000000</v>
      </c>
      <c r="BY18" s="264">
        <v>2960000000000</v>
      </c>
      <c r="BZ18" s="264">
        <v>2960000000000</v>
      </c>
      <c r="CA18" s="264">
        <v>2960000000000</v>
      </c>
      <c r="CB18" s="264">
        <v>2960000000000</v>
      </c>
      <c r="CC18" s="264">
        <v>2960000000000</v>
      </c>
      <c r="CD18" s="264">
        <v>2960000000000</v>
      </c>
      <c r="CE18" s="264">
        <v>2960000000000</v>
      </c>
      <c r="CF18" s="264">
        <v>2960000000000</v>
      </c>
      <c r="CG18" s="264">
        <v>2960000000000</v>
      </c>
      <c r="CH18" s="264">
        <v>2960000000000</v>
      </c>
      <c r="CI18" s="264">
        <v>2960000000000</v>
      </c>
      <c r="CJ18" s="264">
        <v>2960000000000</v>
      </c>
      <c r="CK18" s="264">
        <v>2960000000000</v>
      </c>
      <c r="CL18" s="264">
        <v>2960000000000</v>
      </c>
      <c r="CM18" s="264">
        <v>2960000000000</v>
      </c>
      <c r="CN18" s="264">
        <v>2960000000000</v>
      </c>
      <c r="CO18" s="264">
        <v>2960000000000</v>
      </c>
      <c r="CP18" s="264">
        <v>2960000000000</v>
      </c>
      <c r="CQ18" s="264">
        <v>2960000000000</v>
      </c>
      <c r="CR18" s="264">
        <v>2960000000000</v>
      </c>
      <c r="CS18" s="264">
        <v>2960000000000</v>
      </c>
      <c r="CT18" s="264">
        <v>2960000000000</v>
      </c>
      <c r="CU18" s="264">
        <v>2960000000000</v>
      </c>
      <c r="CV18" s="264">
        <v>2960000000000</v>
      </c>
      <c r="CW18" s="264">
        <v>2960000000000</v>
      </c>
      <c r="CX18" s="264">
        <v>2960000000000</v>
      </c>
      <c r="CY18" s="264">
        <v>2960000000000</v>
      </c>
      <c r="CZ18" s="264">
        <v>2960000000000</v>
      </c>
      <c r="DA18" s="264">
        <v>2960000000000</v>
      </c>
      <c r="DB18" s="264">
        <v>2960000000000</v>
      </c>
      <c r="DC18" s="264">
        <v>2960000000000</v>
      </c>
      <c r="DD18" s="264">
        <v>2960000000000</v>
      </c>
      <c r="DE18" s="264">
        <v>2960000000000</v>
      </c>
      <c r="DF18" s="264">
        <v>2960000000000</v>
      </c>
      <c r="DG18" s="264">
        <v>2960000000000</v>
      </c>
      <c r="DH18" s="264">
        <v>2960000000000</v>
      </c>
      <c r="DI18" s="264">
        <v>2960000000000</v>
      </c>
      <c r="DJ18" s="264">
        <v>2960000000000</v>
      </c>
      <c r="DK18" s="264">
        <v>2960000000000</v>
      </c>
      <c r="DL18" s="264">
        <v>2960000000000</v>
      </c>
      <c r="DM18" s="264">
        <v>2960000000000</v>
      </c>
      <c r="DN18" s="264">
        <v>2960000000000</v>
      </c>
      <c r="DO18" s="264">
        <v>2960000000000</v>
      </c>
      <c r="DP18" s="264">
        <v>2960000000000</v>
      </c>
      <c r="DQ18" s="264">
        <v>2960000000000</v>
      </c>
      <c r="DR18" s="264">
        <v>2960000000000</v>
      </c>
      <c r="DS18" s="264">
        <v>2960000000000</v>
      </c>
      <c r="DT18" s="264">
        <v>2960000000000</v>
      </c>
      <c r="DU18" s="264">
        <v>2960000000000</v>
      </c>
      <c r="DV18" s="264">
        <v>2960000000000</v>
      </c>
      <c r="DW18" s="264">
        <v>2960000000000</v>
      </c>
      <c r="DX18" s="264">
        <v>2960000000000</v>
      </c>
    </row>
    <row r="19" spans="2:128">
      <c r="C19" s="316" t="s">
        <v>164</v>
      </c>
      <c r="D19" s="316"/>
      <c r="E19" s="316"/>
      <c r="F19" s="316"/>
      <c r="G19" s="267"/>
      <c r="H19" s="268">
        <f t="shared" si="9"/>
        <v>0</v>
      </c>
      <c r="I19" s="264">
        <v>0</v>
      </c>
      <c r="J19" s="264">
        <v>0</v>
      </c>
      <c r="K19" s="264">
        <v>0</v>
      </c>
      <c r="L19" s="264">
        <v>0</v>
      </c>
      <c r="M19" s="264">
        <v>0</v>
      </c>
      <c r="N19" s="264">
        <v>0</v>
      </c>
      <c r="O19" s="264">
        <v>0</v>
      </c>
      <c r="P19" s="264">
        <v>0</v>
      </c>
      <c r="Q19" s="264">
        <v>0</v>
      </c>
      <c r="R19" s="264">
        <v>0</v>
      </c>
      <c r="S19" s="264">
        <v>0</v>
      </c>
      <c r="T19" s="264">
        <v>0</v>
      </c>
      <c r="U19" s="264">
        <v>0</v>
      </c>
      <c r="V19" s="264">
        <v>0</v>
      </c>
      <c r="W19" s="264">
        <v>0</v>
      </c>
      <c r="X19" s="264">
        <v>0</v>
      </c>
      <c r="Y19" s="264">
        <v>0</v>
      </c>
      <c r="Z19" s="264">
        <v>0</v>
      </c>
      <c r="AA19" s="264">
        <v>0</v>
      </c>
      <c r="AB19" s="264">
        <v>0</v>
      </c>
      <c r="AC19" s="264">
        <v>0</v>
      </c>
      <c r="AD19" s="264">
        <v>0</v>
      </c>
      <c r="AE19" s="264">
        <v>0</v>
      </c>
      <c r="AF19" s="264">
        <v>0</v>
      </c>
      <c r="AG19" s="264">
        <v>0</v>
      </c>
      <c r="AH19" s="264">
        <v>0</v>
      </c>
      <c r="AI19" s="264">
        <v>0</v>
      </c>
      <c r="AJ19" s="264">
        <v>0</v>
      </c>
      <c r="AK19" s="264">
        <v>0</v>
      </c>
      <c r="AL19" s="264">
        <v>0</v>
      </c>
      <c r="AM19" s="264">
        <v>0</v>
      </c>
      <c r="AN19" s="264">
        <v>0</v>
      </c>
      <c r="AO19" s="264">
        <v>0</v>
      </c>
      <c r="AP19" s="264">
        <v>0</v>
      </c>
      <c r="AQ19" s="264">
        <v>0</v>
      </c>
      <c r="AR19" s="264">
        <v>0</v>
      </c>
      <c r="AS19" s="264">
        <v>0</v>
      </c>
      <c r="AT19" s="264">
        <v>0</v>
      </c>
      <c r="AU19" s="264">
        <v>0</v>
      </c>
      <c r="AV19" s="264">
        <v>0</v>
      </c>
      <c r="AW19" s="264">
        <v>0</v>
      </c>
      <c r="AX19" s="264">
        <v>0</v>
      </c>
      <c r="AY19" s="264">
        <v>0</v>
      </c>
      <c r="AZ19" s="264">
        <v>0</v>
      </c>
      <c r="BA19" s="264">
        <v>0</v>
      </c>
      <c r="BB19" s="264">
        <v>0</v>
      </c>
      <c r="BC19" s="264">
        <v>0</v>
      </c>
      <c r="BD19" s="264">
        <v>0</v>
      </c>
      <c r="BE19" s="264">
        <v>0</v>
      </c>
      <c r="BF19" s="264">
        <v>0</v>
      </c>
      <c r="BG19" s="264">
        <v>0</v>
      </c>
      <c r="BH19" s="264">
        <v>0</v>
      </c>
      <c r="BI19" s="264">
        <v>0</v>
      </c>
      <c r="BJ19" s="264">
        <v>0</v>
      </c>
      <c r="BK19" s="264">
        <v>0</v>
      </c>
      <c r="BL19" s="264">
        <v>0</v>
      </c>
      <c r="BM19" s="264">
        <v>0</v>
      </c>
      <c r="BN19" s="264">
        <v>0</v>
      </c>
      <c r="BO19" s="264">
        <v>0</v>
      </c>
      <c r="BP19" s="264">
        <v>0</v>
      </c>
      <c r="BQ19" s="264">
        <v>0</v>
      </c>
      <c r="BR19" s="264">
        <v>0</v>
      </c>
      <c r="BS19" s="264">
        <v>0</v>
      </c>
      <c r="BT19" s="264">
        <v>0</v>
      </c>
      <c r="BU19" s="264">
        <v>0</v>
      </c>
      <c r="BV19" s="264">
        <v>0</v>
      </c>
      <c r="BW19" s="264">
        <v>0</v>
      </c>
      <c r="BX19" s="264">
        <v>0</v>
      </c>
      <c r="BY19" s="264">
        <v>0</v>
      </c>
      <c r="BZ19" s="264">
        <v>0</v>
      </c>
      <c r="CA19" s="264">
        <v>0</v>
      </c>
      <c r="CB19" s="264">
        <v>0</v>
      </c>
      <c r="CC19" s="264">
        <v>0</v>
      </c>
      <c r="CD19" s="264">
        <v>0</v>
      </c>
      <c r="CE19" s="264">
        <v>0</v>
      </c>
      <c r="CF19" s="264">
        <v>0</v>
      </c>
      <c r="CG19" s="264">
        <v>0</v>
      </c>
      <c r="CH19" s="264">
        <v>0</v>
      </c>
      <c r="CI19" s="264">
        <v>0</v>
      </c>
      <c r="CJ19" s="264">
        <v>0</v>
      </c>
      <c r="CK19" s="264">
        <v>0</v>
      </c>
      <c r="CL19" s="264">
        <v>0</v>
      </c>
      <c r="CM19" s="264">
        <v>0</v>
      </c>
      <c r="CN19" s="264">
        <v>0</v>
      </c>
      <c r="CO19" s="264">
        <v>0</v>
      </c>
      <c r="CP19" s="264">
        <v>0</v>
      </c>
      <c r="CQ19" s="264">
        <v>0</v>
      </c>
      <c r="CR19" s="264">
        <v>0</v>
      </c>
      <c r="CS19" s="264">
        <v>0</v>
      </c>
      <c r="CT19" s="264">
        <v>0</v>
      </c>
      <c r="CU19" s="264">
        <v>0</v>
      </c>
      <c r="CV19" s="264">
        <v>0</v>
      </c>
      <c r="CW19" s="264">
        <v>0</v>
      </c>
      <c r="CX19" s="264">
        <v>0</v>
      </c>
      <c r="CY19" s="264">
        <v>0</v>
      </c>
      <c r="CZ19" s="264">
        <v>0</v>
      </c>
      <c r="DA19" s="264">
        <v>0</v>
      </c>
      <c r="DB19" s="264">
        <v>0</v>
      </c>
      <c r="DC19" s="264">
        <v>0</v>
      </c>
      <c r="DD19" s="264">
        <v>0</v>
      </c>
      <c r="DE19" s="264">
        <v>0</v>
      </c>
      <c r="DF19" s="264">
        <v>0</v>
      </c>
      <c r="DG19" s="264">
        <v>0</v>
      </c>
      <c r="DH19" s="264">
        <v>0</v>
      </c>
      <c r="DI19" s="264">
        <v>0</v>
      </c>
      <c r="DJ19" s="264">
        <v>0</v>
      </c>
      <c r="DK19" s="264">
        <v>0</v>
      </c>
      <c r="DL19" s="264">
        <v>0</v>
      </c>
      <c r="DM19" s="264">
        <v>0</v>
      </c>
      <c r="DN19" s="264">
        <v>0</v>
      </c>
      <c r="DO19" s="264">
        <v>0</v>
      </c>
      <c r="DP19" s="264">
        <v>0</v>
      </c>
      <c r="DQ19" s="264">
        <v>0</v>
      </c>
      <c r="DR19" s="264">
        <v>0</v>
      </c>
      <c r="DS19" s="264">
        <v>0</v>
      </c>
      <c r="DT19" s="264">
        <v>0</v>
      </c>
      <c r="DU19" s="264">
        <v>0</v>
      </c>
      <c r="DV19" s="264">
        <v>0</v>
      </c>
      <c r="DW19" s="264">
        <v>0</v>
      </c>
      <c r="DX19" s="264">
        <v>0</v>
      </c>
    </row>
    <row r="20" spans="2:128">
      <c r="C20" s="316" t="s">
        <v>165</v>
      </c>
      <c r="D20" s="316"/>
      <c r="E20" s="316"/>
      <c r="F20" s="316"/>
      <c r="G20" s="267"/>
      <c r="H20" s="268">
        <f t="shared" si="9"/>
        <v>98579363536790.375</v>
      </c>
      <c r="I20" s="264">
        <v>0</v>
      </c>
      <c r="J20" s="264">
        <f>I22</f>
        <v>2951777712000</v>
      </c>
      <c r="K20" s="264">
        <f t="shared" ref="K20:T20" si="10">J22</f>
        <v>2943578263871.6064</v>
      </c>
      <c r="L20" s="264">
        <f t="shared" si="10"/>
        <v>2935401592170.2241</v>
      </c>
      <c r="M20" s="264">
        <f t="shared" si="10"/>
        <v>2927247633627.4937</v>
      </c>
      <c r="N20" s="264">
        <f t="shared" si="10"/>
        <v>2919116325150.8032</v>
      </c>
      <c r="O20" s="264">
        <f t="shared" si="10"/>
        <v>2911007603822.7993</v>
      </c>
      <c r="P20" s="264">
        <f t="shared" si="10"/>
        <v>2902921406900.9004</v>
      </c>
      <c r="Q20" s="264">
        <f t="shared" si="10"/>
        <v>2894857671816.811</v>
      </c>
      <c r="R20" s="264">
        <f t="shared" si="10"/>
        <v>2886816336176.0381</v>
      </c>
      <c r="S20" s="264">
        <f t="shared" si="10"/>
        <v>2878797337757.4082</v>
      </c>
      <c r="T20" s="264">
        <f t="shared" si="10"/>
        <v>2870800614512.5854</v>
      </c>
      <c r="U20" s="264">
        <f t="shared" ref="U20" si="11">T22</f>
        <v>2862826104565.5923</v>
      </c>
      <c r="V20" s="264">
        <f t="shared" ref="V20" si="12">U22</f>
        <v>2854873746212.3301</v>
      </c>
      <c r="W20" s="264">
        <f t="shared" ref="W20" si="13">V22</f>
        <v>2846943477920.1016</v>
      </c>
      <c r="X20" s="264">
        <f t="shared" ref="X20" si="14">W22</f>
        <v>2839035238327.1353</v>
      </c>
      <c r="Y20" s="264">
        <f t="shared" ref="Y20" si="15">X22</f>
        <v>2831148966242.1104</v>
      </c>
      <c r="Z20" s="264">
        <f t="shared" ref="Z20" si="16">Y22</f>
        <v>2823284600643.6831</v>
      </c>
      <c r="AA20" s="264">
        <f t="shared" ref="AA20" si="17">Z22</f>
        <v>2815442080680.0151</v>
      </c>
      <c r="AB20" s="264">
        <f t="shared" ref="AB20" si="18">AA22</f>
        <v>2807621345668.3022</v>
      </c>
      <c r="AC20" s="264">
        <f t="shared" ref="AC20" si="19">AB22</f>
        <v>2799822335094.3047</v>
      </c>
      <c r="AD20" s="264">
        <f t="shared" ref="AD20" si="20">AC22</f>
        <v>2792044988611.8799</v>
      </c>
      <c r="AE20" s="264">
        <f t="shared" ref="AE20" si="21">AD22</f>
        <v>2784289246042.5137</v>
      </c>
      <c r="AF20" s="264">
        <f t="shared" ref="AF20" si="22">AE22</f>
        <v>2776555047374.8569</v>
      </c>
      <c r="AG20" s="264">
        <f t="shared" ref="AG20" si="23">AF22</f>
        <v>2768842332764.2593</v>
      </c>
      <c r="AH20" s="264">
        <f t="shared" ref="AH20" si="24">AG22</f>
        <v>2761151042532.3066</v>
      </c>
      <c r="AI20" s="264">
        <f t="shared" ref="AI20" si="25">AH22</f>
        <v>2753481117166.3604</v>
      </c>
      <c r="AJ20" s="264">
        <f t="shared" ref="AJ20" si="26">AI22</f>
        <v>2745832497319.0957</v>
      </c>
      <c r="AK20" s="264">
        <f t="shared" ref="AK20" si="27">AJ22</f>
        <v>2738205123808.0425</v>
      </c>
      <c r="AL20" s="264">
        <f t="shared" ref="AL20" si="28">AK22</f>
        <v>2730598937615.1284</v>
      </c>
      <c r="AM20" s="264">
        <f t="shared" ref="AM20" si="29">AL22</f>
        <v>2723013879886.2212</v>
      </c>
      <c r="AN20" s="264">
        <f t="shared" ref="AN20" si="30">AM22</f>
        <v>2715449891930.6733</v>
      </c>
      <c r="AO20" s="264">
        <f t="shared" ref="AO20" si="31">AN22</f>
        <v>2707906915220.8682</v>
      </c>
      <c r="AP20" s="264">
        <f t="shared" ref="AP20" si="32">AO22</f>
        <v>2700384891391.7676</v>
      </c>
      <c r="AQ20" s="264">
        <f t="shared" ref="AQ20" si="33">AP22</f>
        <v>2692883762240.4595</v>
      </c>
      <c r="AR20" s="264">
        <f t="shared" ref="AR20" si="34">AQ22</f>
        <v>2685403469725.708</v>
      </c>
      <c r="AS20" s="264">
        <f t="shared" ref="AS20" si="35">AR22</f>
        <v>2677943955967.5039</v>
      </c>
      <c r="AT20" s="264">
        <f t="shared" ref="AT20" si="36">AS22</f>
        <v>2670505163246.6172</v>
      </c>
      <c r="AU20" s="264">
        <f t="shared" ref="AU20" si="37">AT22</f>
        <v>2663087034004.1509</v>
      </c>
      <c r="AV20" s="264">
        <f t="shared" ref="AV20" si="38">AU22</f>
        <v>2655689510841.0942</v>
      </c>
      <c r="AW20" s="264">
        <f t="shared" ref="AW20" si="39">AV22</f>
        <v>2648312536517.8799</v>
      </c>
      <c r="AX20" s="264">
        <f t="shared" ref="AX20" si="40">AW22</f>
        <v>2640956053953.9404</v>
      </c>
      <c r="AY20" s="264">
        <f t="shared" ref="AY20" si="41">AX22</f>
        <v>2633620006227.2671</v>
      </c>
      <c r="AZ20" s="264">
        <f t="shared" ref="AZ20" si="42">AY22</f>
        <v>2626304336573.9688</v>
      </c>
      <c r="BA20" s="264">
        <f t="shared" ref="BA20" si="43">AZ22</f>
        <v>2619008988387.8335</v>
      </c>
      <c r="BB20" s="264">
        <f t="shared" ref="BB20" si="44">BA22</f>
        <v>2611733905219.8896</v>
      </c>
      <c r="BC20" s="264">
        <f t="shared" ref="BC20" si="45">BB22</f>
        <v>2604479030777.9697</v>
      </c>
      <c r="BD20" s="264">
        <f t="shared" ref="BD20" si="46">BC22</f>
        <v>2597244308926.2749</v>
      </c>
      <c r="BE20" s="264">
        <f t="shared" ref="BE20" si="47">BD22</f>
        <v>2590029683684.9395</v>
      </c>
      <c r="BF20" s="264">
        <f t="shared" ref="BF20" si="48">BE22</f>
        <v>2582835099229.5996</v>
      </c>
      <c r="BG20" s="264">
        <f t="shared" ref="BG20" si="49">BF22</f>
        <v>2575660499890.9595</v>
      </c>
      <c r="BH20" s="264">
        <f t="shared" ref="BH20" si="50">BG22</f>
        <v>2568505830154.3623</v>
      </c>
      <c r="BI20" s="264">
        <f t="shared" ref="BI20" si="51">BH22</f>
        <v>2561371034659.3594</v>
      </c>
      <c r="BJ20" s="264">
        <f t="shared" ref="BJ20" si="52">BI22</f>
        <v>2554256058199.2827</v>
      </c>
      <c r="BK20" s="264">
        <f t="shared" ref="BK20" si="53">BJ22</f>
        <v>2547160845720.8169</v>
      </c>
      <c r="BL20" s="264">
        <f t="shared" ref="BL20" si="54">BK22</f>
        <v>2540085342323.5737</v>
      </c>
      <c r="BM20" s="264">
        <f t="shared" ref="BM20" si="55">BL22</f>
        <v>2533029493259.6675</v>
      </c>
      <c r="BN20" s="264">
        <f t="shared" ref="BN20" si="56">BM22</f>
        <v>2525993243933.291</v>
      </c>
      <c r="BO20" s="264">
        <f t="shared" ref="BO20" si="57">BN22</f>
        <v>2518976539900.293</v>
      </c>
      <c r="BP20" s="264">
        <f t="shared" ref="BP20" si="58">BO22</f>
        <v>2511979326867.7578</v>
      </c>
      <c r="BQ20" s="264">
        <f t="shared" ref="BQ20" si="59">BP22</f>
        <v>2505001550693.5845</v>
      </c>
      <c r="BR20" s="264">
        <f t="shared" ref="BR20" si="60">BQ22</f>
        <v>2498043157386.0679</v>
      </c>
      <c r="BS20" s="264">
        <f t="shared" ref="BS20" si="61">BR22</f>
        <v>2491104093103.481</v>
      </c>
      <c r="BT20" s="264">
        <f t="shared" ref="BT20" si="62">BS22</f>
        <v>2484184304153.6582</v>
      </c>
      <c r="BU20" s="264">
        <f t="shared" ref="BU20" si="63">BT22</f>
        <v>2477283736993.5801</v>
      </c>
      <c r="BV20" s="264">
        <f t="shared" ref="BV20" si="64">BU22</f>
        <v>2470402338228.9595</v>
      </c>
      <c r="BW20" s="264">
        <f t="shared" ref="BW20" si="65">BV22</f>
        <v>2463540054613.8271</v>
      </c>
      <c r="BX20" s="264">
        <f t="shared" ref="BX20" si="66">BW22</f>
        <v>2456696833050.1211</v>
      </c>
      <c r="BY20" s="264">
        <f t="shared" ref="BY20" si="67">BX22</f>
        <v>2449872620587.2744</v>
      </c>
      <c r="BZ20" s="264">
        <f t="shared" ref="BZ20" si="68">BY22</f>
        <v>2443067364421.8071</v>
      </c>
      <c r="CA20" s="264">
        <f t="shared" ref="CA20" si="69">BZ22</f>
        <v>2436281011896.916</v>
      </c>
      <c r="CB20" s="264">
        <f t="shared" ref="CB20" si="70">CA22</f>
        <v>2429513510502.0688</v>
      </c>
      <c r="CC20" s="264">
        <f t="shared" ref="CC20" si="71">CB22</f>
        <v>2422764807872.5962</v>
      </c>
      <c r="CD20" s="264">
        <f t="shared" ref="CD20" si="72">CC22</f>
        <v>2416034851789.2876</v>
      </c>
      <c r="CE20" s="264">
        <f t="shared" ref="CE20" si="73">CD22</f>
        <v>2409323590177.9873</v>
      </c>
      <c r="CF20" s="264">
        <f t="shared" ref="CF20" si="74">CE22</f>
        <v>2402630971109.1909</v>
      </c>
      <c r="CG20" s="264">
        <f t="shared" ref="CG20" si="75">CF22</f>
        <v>2395956942797.644</v>
      </c>
      <c r="CH20" s="264">
        <f t="shared" ref="CH20" si="76">CG22</f>
        <v>2389301453601.9409</v>
      </c>
      <c r="CI20" s="264">
        <f t="shared" ref="CI20" si="77">CH22</f>
        <v>2382664452024.1255</v>
      </c>
      <c r="CJ20" s="264">
        <f t="shared" ref="CJ20" si="78">CI22</f>
        <v>2376045886709.293</v>
      </c>
      <c r="CK20" s="264">
        <f t="shared" ref="CK20" si="79">CJ22</f>
        <v>2369445706445.1919</v>
      </c>
      <c r="CL20" s="264">
        <f t="shared" ref="CL20" si="80">CK22</f>
        <v>2362863860161.8286</v>
      </c>
      <c r="CM20" s="264">
        <f t="shared" ref="CM20" si="81">CL22</f>
        <v>2356300296931.0713</v>
      </c>
      <c r="CN20" s="264">
        <f t="shared" ref="CN20" si="82">CM22</f>
        <v>2349754965966.2563</v>
      </c>
      <c r="CO20" s="264">
        <f t="shared" ref="CO20" si="83">CN22</f>
        <v>2343227816621.7954</v>
      </c>
      <c r="CP20" s="264">
        <f t="shared" ref="CP20" si="84">CO22</f>
        <v>2336718798392.7832</v>
      </c>
      <c r="CQ20" s="264">
        <f t="shared" ref="CQ20" si="85">CP22</f>
        <v>2330227860914.6079</v>
      </c>
      <c r="CR20" s="264">
        <f t="shared" ref="CR20" si="86">CQ22</f>
        <v>2323754953962.5591</v>
      </c>
      <c r="CS20" s="264">
        <f t="shared" ref="CS20" si="87">CR22</f>
        <v>2317300027451.4419</v>
      </c>
      <c r="CT20" s="264">
        <f t="shared" ref="CT20" si="88">CS22</f>
        <v>2310863031435.1875</v>
      </c>
      <c r="CU20" s="264">
        <f t="shared" ref="CU20" si="89">CT22</f>
        <v>2304443916106.4668</v>
      </c>
      <c r="CV20" s="264">
        <f t="shared" ref="CV20" si="90">CU22</f>
        <v>2298042631796.3062</v>
      </c>
      <c r="CW20" s="264">
        <f t="shared" ref="CW20" si="91">CV22</f>
        <v>2291659128973.7021</v>
      </c>
      <c r="CX20" s="264">
        <f t="shared" ref="CX20" si="92">CW22</f>
        <v>2285293358245.2388</v>
      </c>
      <c r="CY20" s="264">
        <f t="shared" ref="CY20" si="93">CX22</f>
        <v>2278945270354.7051</v>
      </c>
      <c r="CZ20" s="264">
        <f t="shared" ref="CZ20" si="94">CY22</f>
        <v>2272614816182.7139</v>
      </c>
      <c r="DA20" s="264">
        <f t="shared" ref="DA20" si="95">CZ22</f>
        <v>2266301946746.3213</v>
      </c>
      <c r="DB20" s="264">
        <f t="shared" ref="DB20" si="96">DA22</f>
        <v>2260006613198.6494</v>
      </c>
      <c r="DC20" s="264">
        <f t="shared" ref="DC20" si="97">DB22</f>
        <v>2253728766828.5063</v>
      </c>
      <c r="DD20" s="264">
        <f t="shared" ref="DD20" si="98">DC22</f>
        <v>2247468359060.0103</v>
      </c>
      <c r="DE20" s="264">
        <f t="shared" ref="DE20" si="99">DD22</f>
        <v>2241225341452.2134</v>
      </c>
      <c r="DF20" s="264">
        <f t="shared" ref="DF20" si="100">DE22</f>
        <v>2234999665698.7275</v>
      </c>
      <c r="DG20" s="264">
        <f t="shared" ref="DG20" si="101">DF22</f>
        <v>2228791283627.3496</v>
      </c>
      <c r="DH20" s="264">
        <f t="shared" ref="DH20" si="102">DG22</f>
        <v>2222600147199.6895</v>
      </c>
      <c r="DI20" s="264">
        <f t="shared" ref="DI20" si="103">DH22</f>
        <v>2216426208510.7983</v>
      </c>
      <c r="DJ20" s="264">
        <f t="shared" ref="DJ20" si="104">DI22</f>
        <v>2210269419788.7969</v>
      </c>
      <c r="DK20" s="264">
        <f t="shared" ref="DK20" si="105">DJ22</f>
        <v>2204129733394.5073</v>
      </c>
      <c r="DL20" s="264">
        <f t="shared" ref="DL20" si="106">DK22</f>
        <v>2198007101821.084</v>
      </c>
      <c r="DM20" s="264">
        <f t="shared" ref="DM20" si="107">DL22</f>
        <v>2191901477693.6453</v>
      </c>
      <c r="DN20" s="264">
        <f t="shared" ref="DN20" si="108">DM22</f>
        <v>2185812813768.908</v>
      </c>
      <c r="DO20" s="264">
        <f t="shared" ref="DO20" si="109">DN22</f>
        <v>2179741062934.8208</v>
      </c>
      <c r="DP20" s="264">
        <f t="shared" ref="DP20" si="110">DO22</f>
        <v>2173686178210.2004</v>
      </c>
      <c r="DQ20" s="264">
        <f t="shared" ref="DQ20" si="111">DP22</f>
        <v>2167648112744.3682</v>
      </c>
      <c r="DR20" s="264">
        <f t="shared" ref="DR20" si="112">DQ22</f>
        <v>2161626819816.7869</v>
      </c>
      <c r="DS20" s="264">
        <f t="shared" ref="DS20" si="113">DR22</f>
        <v>2155622252836.6997</v>
      </c>
      <c r="DT20" s="264">
        <f t="shared" ref="DT20" si="114">DS22</f>
        <v>2149634365342.77</v>
      </c>
      <c r="DU20" s="264">
        <f t="shared" ref="DU20" si="115">DT22</f>
        <v>2143663111002.7209</v>
      </c>
      <c r="DV20" s="264">
        <f t="shared" ref="DV20" si="116">DU22</f>
        <v>2137708443612.9775</v>
      </c>
      <c r="DW20" s="264">
        <f t="shared" ref="DW20" si="117">DV22</f>
        <v>2131770317098.3093</v>
      </c>
      <c r="DX20" s="264">
        <f t="shared" ref="DX20" si="118">DW22</f>
        <v>2125848685511.4736</v>
      </c>
    </row>
    <row r="21" spans="2:128">
      <c r="C21" s="316" t="s">
        <v>166</v>
      </c>
      <c r="D21" s="316"/>
      <c r="E21" s="316"/>
      <c r="F21" s="316"/>
      <c r="G21" s="267"/>
      <c r="H21" s="268">
        <v>0</v>
      </c>
      <c r="I21" s="269">
        <v>2.7778E-3</v>
      </c>
      <c r="J21" s="269">
        <v>2.7778E-3</v>
      </c>
      <c r="K21" s="269">
        <v>2.7778E-3</v>
      </c>
      <c r="L21" s="269">
        <v>2.7778E-3</v>
      </c>
      <c r="M21" s="269">
        <v>2.7778E-3</v>
      </c>
      <c r="N21" s="269">
        <v>2.7778E-3</v>
      </c>
      <c r="O21" s="269">
        <v>2.7778E-3</v>
      </c>
      <c r="P21" s="269">
        <v>2.7778E-3</v>
      </c>
      <c r="Q21" s="269">
        <v>2.7778E-3</v>
      </c>
      <c r="R21" s="269">
        <v>2.7778E-3</v>
      </c>
      <c r="S21" s="269">
        <v>2.7778E-3</v>
      </c>
      <c r="T21" s="269">
        <v>2.7778E-3</v>
      </c>
      <c r="U21" s="269">
        <v>2.7778E-3</v>
      </c>
      <c r="V21" s="269">
        <v>2.7778E-3</v>
      </c>
      <c r="W21" s="269">
        <v>2.7778E-3</v>
      </c>
      <c r="X21" s="269">
        <v>2.7778E-3</v>
      </c>
      <c r="Y21" s="269">
        <v>2.7778E-3</v>
      </c>
      <c r="Z21" s="269">
        <v>2.7778E-3</v>
      </c>
      <c r="AA21" s="269">
        <v>2.7778E-3</v>
      </c>
      <c r="AB21" s="269">
        <v>2.7778E-3</v>
      </c>
      <c r="AC21" s="269">
        <v>2.7778E-3</v>
      </c>
      <c r="AD21" s="269">
        <v>2.7778E-3</v>
      </c>
      <c r="AE21" s="269">
        <v>2.7778E-3</v>
      </c>
      <c r="AF21" s="269">
        <v>2.7778E-3</v>
      </c>
      <c r="AG21" s="269">
        <v>2.7778E-3</v>
      </c>
      <c r="AH21" s="269">
        <v>2.7778E-3</v>
      </c>
      <c r="AI21" s="269">
        <v>2.7778E-3</v>
      </c>
      <c r="AJ21" s="269">
        <v>2.7778E-3</v>
      </c>
      <c r="AK21" s="269">
        <v>2.7778E-3</v>
      </c>
      <c r="AL21" s="269">
        <v>2.7778E-3</v>
      </c>
      <c r="AM21" s="269">
        <v>2.7778E-3</v>
      </c>
      <c r="AN21" s="269">
        <v>2.7778E-3</v>
      </c>
      <c r="AO21" s="269">
        <v>2.7778E-3</v>
      </c>
      <c r="AP21" s="269">
        <v>2.7778E-3</v>
      </c>
      <c r="AQ21" s="269">
        <v>2.7778E-3</v>
      </c>
      <c r="AR21" s="269">
        <v>2.7778E-3</v>
      </c>
      <c r="AS21" s="269">
        <v>2.7778E-3</v>
      </c>
      <c r="AT21" s="269">
        <v>2.7778E-3</v>
      </c>
      <c r="AU21" s="269">
        <v>2.7778E-3</v>
      </c>
      <c r="AV21" s="269">
        <v>2.7778E-3</v>
      </c>
      <c r="AW21" s="269">
        <v>2.7778E-3</v>
      </c>
      <c r="AX21" s="269">
        <v>2.7778E-3</v>
      </c>
      <c r="AY21" s="269">
        <v>2.7778E-3</v>
      </c>
      <c r="AZ21" s="269">
        <v>2.7778E-3</v>
      </c>
      <c r="BA21" s="269">
        <v>2.7778E-3</v>
      </c>
      <c r="BB21" s="269">
        <v>2.7778E-3</v>
      </c>
      <c r="BC21" s="269">
        <v>2.7778E-3</v>
      </c>
      <c r="BD21" s="269">
        <v>2.7778E-3</v>
      </c>
      <c r="BE21" s="269">
        <v>2.7778E-3</v>
      </c>
      <c r="BF21" s="269">
        <v>2.7778E-3</v>
      </c>
      <c r="BG21" s="269">
        <v>2.7778E-3</v>
      </c>
      <c r="BH21" s="269">
        <v>2.7778E-3</v>
      </c>
      <c r="BI21" s="269">
        <v>2.7778E-3</v>
      </c>
      <c r="BJ21" s="269">
        <v>2.7778E-3</v>
      </c>
      <c r="BK21" s="269">
        <v>2.7778E-3</v>
      </c>
      <c r="BL21" s="269">
        <v>2.7778E-3</v>
      </c>
      <c r="BM21" s="269">
        <v>2.7778E-3</v>
      </c>
      <c r="BN21" s="269">
        <v>2.7778E-3</v>
      </c>
      <c r="BO21" s="269">
        <v>2.7778E-3</v>
      </c>
      <c r="BP21" s="269">
        <v>2.7778E-3</v>
      </c>
      <c r="BQ21" s="269">
        <v>2.7778E-3</v>
      </c>
      <c r="BR21" s="269">
        <v>2.7778E-3</v>
      </c>
      <c r="BS21" s="269">
        <v>2.7778E-3</v>
      </c>
      <c r="BT21" s="269">
        <v>2.7778E-3</v>
      </c>
      <c r="BU21" s="269">
        <v>2.7778E-3</v>
      </c>
      <c r="BV21" s="269">
        <v>2.7778E-3</v>
      </c>
      <c r="BW21" s="269">
        <v>2.7778E-3</v>
      </c>
      <c r="BX21" s="269">
        <v>2.7778E-3</v>
      </c>
      <c r="BY21" s="269">
        <v>2.7778E-3</v>
      </c>
      <c r="BZ21" s="269">
        <v>2.7778E-3</v>
      </c>
      <c r="CA21" s="269">
        <v>2.7778E-3</v>
      </c>
      <c r="CB21" s="269">
        <v>2.7778E-3</v>
      </c>
      <c r="CC21" s="269">
        <v>2.7778E-3</v>
      </c>
      <c r="CD21" s="269">
        <v>2.7778E-3</v>
      </c>
      <c r="CE21" s="269">
        <v>2.7778E-3</v>
      </c>
      <c r="CF21" s="269">
        <v>2.7778E-3</v>
      </c>
      <c r="CG21" s="269">
        <v>2.7778E-3</v>
      </c>
      <c r="CH21" s="269">
        <v>2.7778E-3</v>
      </c>
      <c r="CI21" s="269">
        <v>2.7778E-3</v>
      </c>
      <c r="CJ21" s="269">
        <v>2.7778E-3</v>
      </c>
      <c r="CK21" s="269">
        <v>2.7778E-3</v>
      </c>
      <c r="CL21" s="269">
        <v>2.7778E-3</v>
      </c>
      <c r="CM21" s="269">
        <v>2.7778E-3</v>
      </c>
      <c r="CN21" s="269">
        <v>2.7778E-3</v>
      </c>
      <c r="CO21" s="269">
        <v>2.7778E-3</v>
      </c>
      <c r="CP21" s="269">
        <v>2.7778E-3</v>
      </c>
      <c r="CQ21" s="269">
        <v>2.7778E-3</v>
      </c>
      <c r="CR21" s="269">
        <v>2.7778E-3</v>
      </c>
      <c r="CS21" s="269">
        <v>2.7778E-3</v>
      </c>
      <c r="CT21" s="269">
        <v>2.7778E-3</v>
      </c>
      <c r="CU21" s="269">
        <v>2.7778E-3</v>
      </c>
      <c r="CV21" s="269">
        <v>2.7778E-3</v>
      </c>
      <c r="CW21" s="269">
        <v>2.7778E-3</v>
      </c>
      <c r="CX21" s="269">
        <v>2.7778E-3</v>
      </c>
      <c r="CY21" s="269">
        <v>2.7778E-3</v>
      </c>
      <c r="CZ21" s="269">
        <v>2.7778E-3</v>
      </c>
      <c r="DA21" s="269">
        <v>2.7778E-3</v>
      </c>
      <c r="DB21" s="269">
        <v>2.7778E-3</v>
      </c>
      <c r="DC21" s="269">
        <v>2.7778E-3</v>
      </c>
      <c r="DD21" s="269">
        <v>2.7778E-3</v>
      </c>
      <c r="DE21" s="269">
        <v>2.7778E-3</v>
      </c>
      <c r="DF21" s="269">
        <v>2.7778E-3</v>
      </c>
      <c r="DG21" s="269">
        <v>2.7778E-3</v>
      </c>
      <c r="DH21" s="269">
        <v>2.7778E-3</v>
      </c>
      <c r="DI21" s="269">
        <v>2.7778E-3</v>
      </c>
      <c r="DJ21" s="269">
        <v>2.7778E-3</v>
      </c>
      <c r="DK21" s="269">
        <v>2.7778E-3</v>
      </c>
      <c r="DL21" s="269">
        <v>2.7778E-3</v>
      </c>
      <c r="DM21" s="269">
        <v>2.7778E-3</v>
      </c>
      <c r="DN21" s="269">
        <v>2.7778E-3</v>
      </c>
      <c r="DO21" s="269">
        <v>2.7778E-3</v>
      </c>
      <c r="DP21" s="269">
        <v>2.7778E-3</v>
      </c>
      <c r="DQ21" s="269">
        <v>2.7778E-3</v>
      </c>
      <c r="DR21" s="269">
        <v>2.7778E-3</v>
      </c>
      <c r="DS21" s="269">
        <v>2.7778E-3</v>
      </c>
      <c r="DT21" s="269">
        <v>2.7778E-3</v>
      </c>
      <c r="DU21" s="269">
        <v>2.7778E-3</v>
      </c>
      <c r="DV21" s="269">
        <v>2.7778E-3</v>
      </c>
      <c r="DW21" s="269">
        <v>2.7778E-3</v>
      </c>
      <c r="DX21" s="269">
        <v>2.7778E-3</v>
      </c>
    </row>
    <row r="22" spans="2:128">
      <c r="C22" s="312" t="s">
        <v>364</v>
      </c>
      <c r="D22" s="313"/>
      <c r="E22" s="313"/>
      <c r="F22" s="314"/>
      <c r="G22" s="267"/>
      <c r="H22" s="268" t="s">
        <v>343</v>
      </c>
      <c r="I22" s="264">
        <f>I18-I17</f>
        <v>2951777712000</v>
      </c>
      <c r="J22" s="264">
        <f>J20-J17</f>
        <v>2943578263871.6064</v>
      </c>
      <c r="K22" s="264">
        <f t="shared" ref="K22:BV22" si="119">K20-K17</f>
        <v>2935401592170.2241</v>
      </c>
      <c r="L22" s="264">
        <f t="shared" si="119"/>
        <v>2927247633627.4937</v>
      </c>
      <c r="M22" s="264">
        <f t="shared" si="119"/>
        <v>2919116325150.8032</v>
      </c>
      <c r="N22" s="264">
        <f t="shared" si="119"/>
        <v>2911007603822.7993</v>
      </c>
      <c r="O22" s="264">
        <f t="shared" si="119"/>
        <v>2902921406900.9004</v>
      </c>
      <c r="P22" s="264">
        <f t="shared" si="119"/>
        <v>2894857671816.811</v>
      </c>
      <c r="Q22" s="264">
        <f t="shared" si="119"/>
        <v>2886816336176.0381</v>
      </c>
      <c r="R22" s="264">
        <f t="shared" si="119"/>
        <v>2878797337757.4082</v>
      </c>
      <c r="S22" s="264">
        <f t="shared" si="119"/>
        <v>2870800614512.5854</v>
      </c>
      <c r="T22" s="264">
        <f t="shared" si="119"/>
        <v>2862826104565.5923</v>
      </c>
      <c r="U22" s="264">
        <f t="shared" si="119"/>
        <v>2854873746212.3301</v>
      </c>
      <c r="V22" s="264">
        <f t="shared" si="119"/>
        <v>2846943477920.1016</v>
      </c>
      <c r="W22" s="264">
        <f t="shared" si="119"/>
        <v>2839035238327.1353</v>
      </c>
      <c r="X22" s="264">
        <f t="shared" si="119"/>
        <v>2831148966242.1104</v>
      </c>
      <c r="Y22" s="264">
        <f t="shared" si="119"/>
        <v>2823284600643.6831</v>
      </c>
      <c r="Z22" s="264">
        <f t="shared" si="119"/>
        <v>2815442080680.0151</v>
      </c>
      <c r="AA22" s="264">
        <f t="shared" si="119"/>
        <v>2807621345668.3022</v>
      </c>
      <c r="AB22" s="264">
        <f t="shared" si="119"/>
        <v>2799822335094.3047</v>
      </c>
      <c r="AC22" s="264">
        <f t="shared" si="119"/>
        <v>2792044988611.8799</v>
      </c>
      <c r="AD22" s="264">
        <f t="shared" si="119"/>
        <v>2784289246042.5137</v>
      </c>
      <c r="AE22" s="264">
        <f t="shared" si="119"/>
        <v>2776555047374.8569</v>
      </c>
      <c r="AF22" s="264">
        <f t="shared" si="119"/>
        <v>2768842332764.2593</v>
      </c>
      <c r="AG22" s="264">
        <f t="shared" si="119"/>
        <v>2761151042532.3066</v>
      </c>
      <c r="AH22" s="264">
        <f t="shared" si="119"/>
        <v>2753481117166.3604</v>
      </c>
      <c r="AI22" s="264">
        <f t="shared" si="119"/>
        <v>2745832497319.0957</v>
      </c>
      <c r="AJ22" s="264">
        <f t="shared" si="119"/>
        <v>2738205123808.0425</v>
      </c>
      <c r="AK22" s="264">
        <f t="shared" si="119"/>
        <v>2730598937615.1284</v>
      </c>
      <c r="AL22" s="264">
        <f t="shared" si="119"/>
        <v>2723013879886.2212</v>
      </c>
      <c r="AM22" s="264">
        <f t="shared" si="119"/>
        <v>2715449891930.6733</v>
      </c>
      <c r="AN22" s="264">
        <f t="shared" si="119"/>
        <v>2707906915220.8682</v>
      </c>
      <c r="AO22" s="264">
        <f t="shared" si="119"/>
        <v>2700384891391.7676</v>
      </c>
      <c r="AP22" s="264">
        <f t="shared" si="119"/>
        <v>2692883762240.4595</v>
      </c>
      <c r="AQ22" s="264">
        <f t="shared" si="119"/>
        <v>2685403469725.708</v>
      </c>
      <c r="AR22" s="264">
        <f t="shared" si="119"/>
        <v>2677943955967.5039</v>
      </c>
      <c r="AS22" s="264">
        <f t="shared" si="119"/>
        <v>2670505163246.6172</v>
      </c>
      <c r="AT22" s="264">
        <f t="shared" si="119"/>
        <v>2663087034004.1509</v>
      </c>
      <c r="AU22" s="264">
        <f t="shared" si="119"/>
        <v>2655689510841.0942</v>
      </c>
      <c r="AV22" s="264">
        <f t="shared" si="119"/>
        <v>2648312536517.8799</v>
      </c>
      <c r="AW22" s="264">
        <f t="shared" si="119"/>
        <v>2640956053953.9404</v>
      </c>
      <c r="AX22" s="264">
        <f t="shared" si="119"/>
        <v>2633620006227.2671</v>
      </c>
      <c r="AY22" s="264">
        <f t="shared" si="119"/>
        <v>2626304336573.9688</v>
      </c>
      <c r="AZ22" s="264">
        <f t="shared" si="119"/>
        <v>2619008988387.8335</v>
      </c>
      <c r="BA22" s="264">
        <f t="shared" si="119"/>
        <v>2611733905219.8896</v>
      </c>
      <c r="BB22" s="264">
        <f t="shared" si="119"/>
        <v>2604479030777.9697</v>
      </c>
      <c r="BC22" s="264">
        <f t="shared" si="119"/>
        <v>2597244308926.2749</v>
      </c>
      <c r="BD22" s="264">
        <f t="shared" si="119"/>
        <v>2590029683684.9395</v>
      </c>
      <c r="BE22" s="264">
        <f t="shared" si="119"/>
        <v>2582835099229.5996</v>
      </c>
      <c r="BF22" s="264">
        <f t="shared" si="119"/>
        <v>2575660499890.9595</v>
      </c>
      <c r="BG22" s="264">
        <f t="shared" si="119"/>
        <v>2568505830154.3623</v>
      </c>
      <c r="BH22" s="264">
        <f t="shared" si="119"/>
        <v>2561371034659.3594</v>
      </c>
      <c r="BI22" s="264">
        <f t="shared" si="119"/>
        <v>2554256058199.2827</v>
      </c>
      <c r="BJ22" s="264">
        <f t="shared" si="119"/>
        <v>2547160845720.8169</v>
      </c>
      <c r="BK22" s="264">
        <f t="shared" si="119"/>
        <v>2540085342323.5737</v>
      </c>
      <c r="BL22" s="264">
        <f t="shared" si="119"/>
        <v>2533029493259.6675</v>
      </c>
      <c r="BM22" s="264">
        <f t="shared" si="119"/>
        <v>2525993243933.291</v>
      </c>
      <c r="BN22" s="264">
        <f t="shared" si="119"/>
        <v>2518976539900.293</v>
      </c>
      <c r="BO22" s="264">
        <f t="shared" si="119"/>
        <v>2511979326867.7578</v>
      </c>
      <c r="BP22" s="264">
        <f t="shared" si="119"/>
        <v>2505001550693.5845</v>
      </c>
      <c r="BQ22" s="264">
        <f t="shared" si="119"/>
        <v>2498043157386.0679</v>
      </c>
      <c r="BR22" s="264">
        <f t="shared" si="119"/>
        <v>2491104093103.481</v>
      </c>
      <c r="BS22" s="264">
        <f t="shared" si="119"/>
        <v>2484184304153.6582</v>
      </c>
      <c r="BT22" s="264">
        <f t="shared" si="119"/>
        <v>2477283736993.5801</v>
      </c>
      <c r="BU22" s="264">
        <f t="shared" si="119"/>
        <v>2470402338228.9595</v>
      </c>
      <c r="BV22" s="264">
        <f t="shared" si="119"/>
        <v>2463540054613.8271</v>
      </c>
      <c r="BW22" s="264">
        <f t="shared" ref="BW22:DX22" si="120">BW20-BW17</f>
        <v>2456696833050.1211</v>
      </c>
      <c r="BX22" s="264">
        <f t="shared" si="120"/>
        <v>2449872620587.2744</v>
      </c>
      <c r="BY22" s="264">
        <f t="shared" si="120"/>
        <v>2443067364421.8071</v>
      </c>
      <c r="BZ22" s="264">
        <f t="shared" si="120"/>
        <v>2436281011896.916</v>
      </c>
      <c r="CA22" s="264">
        <f t="shared" si="120"/>
        <v>2429513510502.0688</v>
      </c>
      <c r="CB22" s="264">
        <f t="shared" si="120"/>
        <v>2422764807872.5962</v>
      </c>
      <c r="CC22" s="264">
        <f t="shared" si="120"/>
        <v>2416034851789.2876</v>
      </c>
      <c r="CD22" s="264">
        <f t="shared" si="120"/>
        <v>2409323590177.9873</v>
      </c>
      <c r="CE22" s="264">
        <f t="shared" si="120"/>
        <v>2402630971109.1909</v>
      </c>
      <c r="CF22" s="264">
        <f t="shared" si="120"/>
        <v>2395956942797.644</v>
      </c>
      <c r="CG22" s="264">
        <f t="shared" si="120"/>
        <v>2389301453601.9409</v>
      </c>
      <c r="CH22" s="264">
        <f t="shared" si="120"/>
        <v>2382664452024.1255</v>
      </c>
      <c r="CI22" s="264">
        <f t="shared" si="120"/>
        <v>2376045886709.293</v>
      </c>
      <c r="CJ22" s="264">
        <f t="shared" si="120"/>
        <v>2369445706445.1919</v>
      </c>
      <c r="CK22" s="264">
        <f t="shared" si="120"/>
        <v>2362863860161.8286</v>
      </c>
      <c r="CL22" s="264">
        <f t="shared" si="120"/>
        <v>2356300296931.0713</v>
      </c>
      <c r="CM22" s="264">
        <f t="shared" si="120"/>
        <v>2349754965966.2563</v>
      </c>
      <c r="CN22" s="264">
        <f t="shared" si="120"/>
        <v>2343227816621.7954</v>
      </c>
      <c r="CO22" s="264">
        <f t="shared" si="120"/>
        <v>2336718798392.7832</v>
      </c>
      <c r="CP22" s="264">
        <f t="shared" si="120"/>
        <v>2330227860914.6079</v>
      </c>
      <c r="CQ22" s="264">
        <f t="shared" si="120"/>
        <v>2323754953962.5591</v>
      </c>
      <c r="CR22" s="264">
        <f t="shared" si="120"/>
        <v>2317300027451.4419</v>
      </c>
      <c r="CS22" s="264">
        <f t="shared" si="120"/>
        <v>2310863031435.1875</v>
      </c>
      <c r="CT22" s="264">
        <f t="shared" si="120"/>
        <v>2304443916106.4668</v>
      </c>
      <c r="CU22" s="264">
        <f t="shared" si="120"/>
        <v>2298042631796.3062</v>
      </c>
      <c r="CV22" s="264">
        <f t="shared" si="120"/>
        <v>2291659128973.7021</v>
      </c>
      <c r="CW22" s="264">
        <f t="shared" si="120"/>
        <v>2285293358245.2388</v>
      </c>
      <c r="CX22" s="264">
        <f t="shared" si="120"/>
        <v>2278945270354.7051</v>
      </c>
      <c r="CY22" s="264">
        <f t="shared" si="120"/>
        <v>2272614816182.7139</v>
      </c>
      <c r="CZ22" s="264">
        <f t="shared" si="120"/>
        <v>2266301946746.3213</v>
      </c>
      <c r="DA22" s="264">
        <f t="shared" si="120"/>
        <v>2260006613198.6494</v>
      </c>
      <c r="DB22" s="264">
        <f t="shared" si="120"/>
        <v>2253728766828.5063</v>
      </c>
      <c r="DC22" s="264">
        <f t="shared" si="120"/>
        <v>2247468359060.0103</v>
      </c>
      <c r="DD22" s="264">
        <f t="shared" si="120"/>
        <v>2241225341452.2134</v>
      </c>
      <c r="DE22" s="264">
        <f t="shared" si="120"/>
        <v>2234999665698.7275</v>
      </c>
      <c r="DF22" s="264">
        <f t="shared" si="120"/>
        <v>2228791283627.3496</v>
      </c>
      <c r="DG22" s="264">
        <f t="shared" si="120"/>
        <v>2222600147199.6895</v>
      </c>
      <c r="DH22" s="264">
        <f t="shared" si="120"/>
        <v>2216426208510.7983</v>
      </c>
      <c r="DI22" s="264">
        <f t="shared" si="120"/>
        <v>2210269419788.7969</v>
      </c>
      <c r="DJ22" s="264">
        <f t="shared" si="120"/>
        <v>2204129733394.5073</v>
      </c>
      <c r="DK22" s="264">
        <f t="shared" si="120"/>
        <v>2198007101821.084</v>
      </c>
      <c r="DL22" s="264">
        <f t="shared" si="120"/>
        <v>2191901477693.6453</v>
      </c>
      <c r="DM22" s="264">
        <f t="shared" si="120"/>
        <v>2185812813768.908</v>
      </c>
      <c r="DN22" s="264">
        <f t="shared" si="120"/>
        <v>2179741062934.8208</v>
      </c>
      <c r="DO22" s="264">
        <f t="shared" si="120"/>
        <v>2173686178210.2004</v>
      </c>
      <c r="DP22" s="264">
        <f t="shared" si="120"/>
        <v>2167648112744.3682</v>
      </c>
      <c r="DQ22" s="264">
        <f t="shared" si="120"/>
        <v>2161626819816.7869</v>
      </c>
      <c r="DR22" s="264">
        <f t="shared" si="120"/>
        <v>2155622252836.6997</v>
      </c>
      <c r="DS22" s="264">
        <f t="shared" si="120"/>
        <v>2149634365342.77</v>
      </c>
      <c r="DT22" s="264">
        <f t="shared" si="120"/>
        <v>2143663111002.7209</v>
      </c>
      <c r="DU22" s="264">
        <f t="shared" si="120"/>
        <v>2137708443612.9775</v>
      </c>
      <c r="DV22" s="264">
        <f t="shared" si="120"/>
        <v>2131770317098.3093</v>
      </c>
      <c r="DW22" s="264">
        <f t="shared" si="120"/>
        <v>2125848685511.4736</v>
      </c>
      <c r="DX22" s="264">
        <f t="shared" si="120"/>
        <v>2119943503032.8599</v>
      </c>
    </row>
    <row r="23" spans="2:128">
      <c r="B23" s="263"/>
      <c r="C23" s="263"/>
      <c r="D23" s="263"/>
      <c r="E23" s="263"/>
      <c r="F23" s="263"/>
      <c r="G23" s="263"/>
      <c r="H23" s="263"/>
      <c r="I23" s="263"/>
    </row>
    <row r="37" spans="14:14">
      <c r="N37" s="230" t="s">
        <v>62</v>
      </c>
    </row>
  </sheetData>
  <mergeCells count="22">
    <mergeCell ref="C9:F9"/>
    <mergeCell ref="C11:F11"/>
    <mergeCell ref="C13:F13"/>
    <mergeCell ref="C7:F7"/>
    <mergeCell ref="I3:T3"/>
    <mergeCell ref="DA3:DL3"/>
    <mergeCell ref="DM3:DX3"/>
    <mergeCell ref="C5:F5"/>
    <mergeCell ref="BE3:BP3"/>
    <mergeCell ref="BQ3:CB3"/>
    <mergeCell ref="U3:AF3"/>
    <mergeCell ref="AG3:AR3"/>
    <mergeCell ref="AS3:BD3"/>
    <mergeCell ref="CC3:CN3"/>
    <mergeCell ref="CO3:CZ3"/>
    <mergeCell ref="C22:F22"/>
    <mergeCell ref="C16:F16"/>
    <mergeCell ref="C17:F17"/>
    <mergeCell ref="C19:F19"/>
    <mergeCell ref="C20:F20"/>
    <mergeCell ref="C21:F21"/>
    <mergeCell ref="C18:F1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BF1C3-6D13-4275-BD4A-85CE856A0C84}">
  <dimension ref="A1:DX45"/>
  <sheetViews>
    <sheetView topLeftCell="A13" workbookViewId="0">
      <selection activeCell="H15" sqref="H15:DW15"/>
    </sheetView>
  </sheetViews>
  <sheetFormatPr baseColWidth="10" defaultColWidth="8.83203125" defaultRowHeight="9"/>
  <cols>
    <col min="1" max="4" width="8.83203125" style="230"/>
    <col min="5" max="5" width="15.33203125" style="230" customWidth="1"/>
    <col min="6" max="6" width="8.83203125" style="230"/>
    <col min="7" max="7" width="13.6640625" style="230" customWidth="1"/>
    <col min="8" max="127" width="14.33203125" style="230" customWidth="1"/>
    <col min="128" max="16384" width="8.83203125" style="230"/>
  </cols>
  <sheetData>
    <row r="1" spans="2:127" ht="10" thickBot="1"/>
    <row r="2" spans="2:127" ht="10">
      <c r="H2" s="317" t="s">
        <v>23</v>
      </c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20"/>
      <c r="T2" s="317" t="s">
        <v>24</v>
      </c>
      <c r="U2" s="318"/>
      <c r="V2" s="318"/>
      <c r="W2" s="318"/>
      <c r="X2" s="318"/>
      <c r="Y2" s="318"/>
      <c r="Z2" s="318"/>
      <c r="AA2" s="318"/>
      <c r="AB2" s="318"/>
      <c r="AC2" s="318"/>
      <c r="AD2" s="318"/>
      <c r="AE2" s="320"/>
      <c r="AF2" s="317" t="s">
        <v>25</v>
      </c>
      <c r="AG2" s="318"/>
      <c r="AH2" s="318"/>
      <c r="AI2" s="318"/>
      <c r="AJ2" s="318"/>
      <c r="AK2" s="318"/>
      <c r="AL2" s="318"/>
      <c r="AM2" s="318"/>
      <c r="AN2" s="318"/>
      <c r="AO2" s="318"/>
      <c r="AP2" s="318"/>
      <c r="AQ2" s="319"/>
      <c r="AR2" s="317" t="s">
        <v>346</v>
      </c>
      <c r="AS2" s="318"/>
      <c r="AT2" s="318"/>
      <c r="AU2" s="318"/>
      <c r="AV2" s="318"/>
      <c r="AW2" s="318"/>
      <c r="AX2" s="318"/>
      <c r="AY2" s="318"/>
      <c r="AZ2" s="318"/>
      <c r="BA2" s="318"/>
      <c r="BB2" s="318"/>
      <c r="BC2" s="320"/>
      <c r="BD2" s="317" t="s">
        <v>347</v>
      </c>
      <c r="BE2" s="318"/>
      <c r="BF2" s="318"/>
      <c r="BG2" s="318"/>
      <c r="BH2" s="318"/>
      <c r="BI2" s="318"/>
      <c r="BJ2" s="318"/>
      <c r="BK2" s="318"/>
      <c r="BL2" s="318"/>
      <c r="BM2" s="318"/>
      <c r="BN2" s="318"/>
      <c r="BO2" s="320"/>
      <c r="BP2" s="317" t="s">
        <v>348</v>
      </c>
      <c r="BQ2" s="318"/>
      <c r="BR2" s="318"/>
      <c r="BS2" s="318"/>
      <c r="BT2" s="318"/>
      <c r="BU2" s="318"/>
      <c r="BV2" s="318"/>
      <c r="BW2" s="318"/>
      <c r="BX2" s="318"/>
      <c r="BY2" s="318"/>
      <c r="BZ2" s="318"/>
      <c r="CA2" s="319"/>
      <c r="CB2" s="317" t="s">
        <v>349</v>
      </c>
      <c r="CC2" s="318"/>
      <c r="CD2" s="318"/>
      <c r="CE2" s="318"/>
      <c r="CF2" s="318"/>
      <c r="CG2" s="318"/>
      <c r="CH2" s="318"/>
      <c r="CI2" s="318"/>
      <c r="CJ2" s="318"/>
      <c r="CK2" s="318"/>
      <c r="CL2" s="318"/>
      <c r="CM2" s="320"/>
      <c r="CN2" s="317" t="s">
        <v>350</v>
      </c>
      <c r="CO2" s="318"/>
      <c r="CP2" s="318"/>
      <c r="CQ2" s="318"/>
      <c r="CR2" s="318"/>
      <c r="CS2" s="318"/>
      <c r="CT2" s="318"/>
      <c r="CU2" s="318"/>
      <c r="CV2" s="318"/>
      <c r="CW2" s="318"/>
      <c r="CX2" s="318"/>
      <c r="CY2" s="320"/>
      <c r="CZ2" s="317" t="s">
        <v>351</v>
      </c>
      <c r="DA2" s="318"/>
      <c r="DB2" s="318"/>
      <c r="DC2" s="318"/>
      <c r="DD2" s="318"/>
      <c r="DE2" s="318"/>
      <c r="DF2" s="318"/>
      <c r="DG2" s="318"/>
      <c r="DH2" s="318"/>
      <c r="DI2" s="318"/>
      <c r="DJ2" s="318"/>
      <c r="DK2" s="319"/>
      <c r="DL2" s="317" t="s">
        <v>352</v>
      </c>
      <c r="DM2" s="318"/>
      <c r="DN2" s="318"/>
      <c r="DO2" s="318"/>
      <c r="DP2" s="318"/>
      <c r="DQ2" s="318"/>
      <c r="DR2" s="318"/>
      <c r="DS2" s="318"/>
      <c r="DT2" s="318"/>
      <c r="DU2" s="318"/>
      <c r="DV2" s="318"/>
      <c r="DW2" s="320"/>
    </row>
    <row r="3" spans="2:127" ht="10">
      <c r="H3" s="231">
        <v>1</v>
      </c>
      <c r="I3" s="231">
        <v>2</v>
      </c>
      <c r="J3" s="231">
        <v>3</v>
      </c>
      <c r="K3" s="231">
        <v>4</v>
      </c>
      <c r="L3" s="231">
        <v>5</v>
      </c>
      <c r="M3" s="231">
        <v>6</v>
      </c>
      <c r="N3" s="231">
        <v>7</v>
      </c>
      <c r="O3" s="231">
        <v>8</v>
      </c>
      <c r="P3" s="231">
        <v>9</v>
      </c>
      <c r="Q3" s="231">
        <v>10</v>
      </c>
      <c r="R3" s="231">
        <v>11</v>
      </c>
      <c r="S3" s="231">
        <v>12</v>
      </c>
      <c r="T3" s="231">
        <v>1</v>
      </c>
      <c r="U3" s="231">
        <v>2</v>
      </c>
      <c r="V3" s="231">
        <v>3</v>
      </c>
      <c r="W3" s="231">
        <v>4</v>
      </c>
      <c r="X3" s="231">
        <v>5</v>
      </c>
      <c r="Y3" s="231">
        <v>6</v>
      </c>
      <c r="Z3" s="231">
        <v>7</v>
      </c>
      <c r="AA3" s="231">
        <v>8</v>
      </c>
      <c r="AB3" s="231">
        <v>9</v>
      </c>
      <c r="AC3" s="231">
        <v>10</v>
      </c>
      <c r="AD3" s="231">
        <v>11</v>
      </c>
      <c r="AE3" s="231">
        <v>12</v>
      </c>
      <c r="AF3" s="231">
        <v>1</v>
      </c>
      <c r="AG3" s="231">
        <v>2</v>
      </c>
      <c r="AH3" s="231">
        <v>3</v>
      </c>
      <c r="AI3" s="231">
        <v>4</v>
      </c>
      <c r="AJ3" s="231">
        <v>5</v>
      </c>
      <c r="AK3" s="231">
        <v>6</v>
      </c>
      <c r="AL3" s="231">
        <v>7</v>
      </c>
      <c r="AM3" s="231">
        <v>8</v>
      </c>
      <c r="AN3" s="231">
        <v>9</v>
      </c>
      <c r="AO3" s="231">
        <v>10</v>
      </c>
      <c r="AP3" s="231">
        <v>11</v>
      </c>
      <c r="AQ3" s="232">
        <v>12</v>
      </c>
      <c r="AR3" s="231">
        <v>1</v>
      </c>
      <c r="AS3" s="231">
        <v>2</v>
      </c>
      <c r="AT3" s="231">
        <v>3</v>
      </c>
      <c r="AU3" s="231">
        <v>4</v>
      </c>
      <c r="AV3" s="231">
        <v>5</v>
      </c>
      <c r="AW3" s="231">
        <v>6</v>
      </c>
      <c r="AX3" s="231">
        <v>7</v>
      </c>
      <c r="AY3" s="231">
        <v>8</v>
      </c>
      <c r="AZ3" s="231">
        <v>9</v>
      </c>
      <c r="BA3" s="231">
        <v>10</v>
      </c>
      <c r="BB3" s="231">
        <v>11</v>
      </c>
      <c r="BC3" s="231">
        <v>12</v>
      </c>
      <c r="BD3" s="231">
        <v>1</v>
      </c>
      <c r="BE3" s="231">
        <v>2</v>
      </c>
      <c r="BF3" s="231">
        <v>3</v>
      </c>
      <c r="BG3" s="231">
        <v>4</v>
      </c>
      <c r="BH3" s="231">
        <v>5</v>
      </c>
      <c r="BI3" s="231">
        <v>6</v>
      </c>
      <c r="BJ3" s="231">
        <v>7</v>
      </c>
      <c r="BK3" s="231">
        <v>8</v>
      </c>
      <c r="BL3" s="231">
        <v>9</v>
      </c>
      <c r="BM3" s="231">
        <v>10</v>
      </c>
      <c r="BN3" s="231">
        <v>11</v>
      </c>
      <c r="BO3" s="231">
        <v>12</v>
      </c>
      <c r="BP3" s="231">
        <v>1</v>
      </c>
      <c r="BQ3" s="231">
        <v>2</v>
      </c>
      <c r="BR3" s="231">
        <v>3</v>
      </c>
      <c r="BS3" s="231">
        <v>4</v>
      </c>
      <c r="BT3" s="231">
        <v>5</v>
      </c>
      <c r="BU3" s="231">
        <v>6</v>
      </c>
      <c r="BV3" s="231">
        <v>7</v>
      </c>
      <c r="BW3" s="231">
        <v>8</v>
      </c>
      <c r="BX3" s="231">
        <v>9</v>
      </c>
      <c r="BY3" s="231">
        <v>10</v>
      </c>
      <c r="BZ3" s="231">
        <v>11</v>
      </c>
      <c r="CA3" s="232">
        <v>12</v>
      </c>
      <c r="CB3" s="231">
        <v>1</v>
      </c>
      <c r="CC3" s="231">
        <v>2</v>
      </c>
      <c r="CD3" s="231">
        <v>3</v>
      </c>
      <c r="CE3" s="231">
        <v>4</v>
      </c>
      <c r="CF3" s="231">
        <v>5</v>
      </c>
      <c r="CG3" s="231">
        <v>6</v>
      </c>
      <c r="CH3" s="231">
        <v>7</v>
      </c>
      <c r="CI3" s="231">
        <v>8</v>
      </c>
      <c r="CJ3" s="231">
        <v>9</v>
      </c>
      <c r="CK3" s="231">
        <v>10</v>
      </c>
      <c r="CL3" s="231">
        <v>11</v>
      </c>
      <c r="CM3" s="231">
        <v>12</v>
      </c>
      <c r="CN3" s="231">
        <v>1</v>
      </c>
      <c r="CO3" s="231">
        <v>2</v>
      </c>
      <c r="CP3" s="231">
        <v>3</v>
      </c>
      <c r="CQ3" s="231">
        <v>4</v>
      </c>
      <c r="CR3" s="231">
        <v>5</v>
      </c>
      <c r="CS3" s="231">
        <v>6</v>
      </c>
      <c r="CT3" s="231">
        <v>7</v>
      </c>
      <c r="CU3" s="231">
        <v>8</v>
      </c>
      <c r="CV3" s="231">
        <v>9</v>
      </c>
      <c r="CW3" s="231">
        <v>10</v>
      </c>
      <c r="CX3" s="231">
        <v>11</v>
      </c>
      <c r="CY3" s="231">
        <v>12</v>
      </c>
      <c r="CZ3" s="231">
        <v>1</v>
      </c>
      <c r="DA3" s="231">
        <v>2</v>
      </c>
      <c r="DB3" s="231">
        <v>3</v>
      </c>
      <c r="DC3" s="231">
        <v>4</v>
      </c>
      <c r="DD3" s="231">
        <v>5</v>
      </c>
      <c r="DE3" s="231">
        <v>6</v>
      </c>
      <c r="DF3" s="231">
        <v>7</v>
      </c>
      <c r="DG3" s="231">
        <v>8</v>
      </c>
      <c r="DH3" s="231">
        <v>9</v>
      </c>
      <c r="DI3" s="231">
        <v>10</v>
      </c>
      <c r="DJ3" s="231">
        <v>11</v>
      </c>
      <c r="DK3" s="232">
        <v>12</v>
      </c>
      <c r="DL3" s="231">
        <v>1</v>
      </c>
      <c r="DM3" s="231">
        <v>2</v>
      </c>
      <c r="DN3" s="231">
        <v>3</v>
      </c>
      <c r="DO3" s="231">
        <v>4</v>
      </c>
      <c r="DP3" s="231">
        <v>5</v>
      </c>
      <c r="DQ3" s="231">
        <v>6</v>
      </c>
      <c r="DR3" s="231">
        <v>7</v>
      </c>
      <c r="DS3" s="231">
        <v>8</v>
      </c>
      <c r="DT3" s="231">
        <v>9</v>
      </c>
      <c r="DU3" s="231">
        <v>10</v>
      </c>
      <c r="DV3" s="231">
        <v>11</v>
      </c>
      <c r="DW3" s="231">
        <v>12</v>
      </c>
    </row>
    <row r="4" spans="2:127" ht="16.25" customHeight="1">
      <c r="B4" s="393" t="s">
        <v>167</v>
      </c>
      <c r="C4" s="393"/>
      <c r="D4" s="393"/>
      <c r="E4" s="393"/>
      <c r="F4" s="256" t="s">
        <v>54</v>
      </c>
      <c r="G4" s="256" t="s">
        <v>27</v>
      </c>
      <c r="H4" s="257">
        <v>1</v>
      </c>
      <c r="I4" s="258">
        <v>2</v>
      </c>
      <c r="J4" s="258">
        <v>3</v>
      </c>
      <c r="K4" s="258">
        <v>4</v>
      </c>
      <c r="L4" s="258">
        <v>5</v>
      </c>
      <c r="M4" s="258">
        <v>6</v>
      </c>
      <c r="N4" s="258">
        <v>7</v>
      </c>
      <c r="O4" s="258">
        <v>8</v>
      </c>
      <c r="P4" s="258">
        <v>9</v>
      </c>
      <c r="Q4" s="258">
        <v>10</v>
      </c>
      <c r="R4" s="258">
        <v>11</v>
      </c>
      <c r="S4" s="258">
        <v>12</v>
      </c>
      <c r="T4" s="258">
        <v>13</v>
      </c>
      <c r="U4" s="258">
        <v>14</v>
      </c>
      <c r="V4" s="258">
        <v>15</v>
      </c>
      <c r="W4" s="258">
        <v>16</v>
      </c>
      <c r="X4" s="258">
        <v>17</v>
      </c>
      <c r="Y4" s="258">
        <v>18</v>
      </c>
      <c r="Z4" s="258">
        <v>19</v>
      </c>
      <c r="AA4" s="258">
        <v>20</v>
      </c>
      <c r="AB4" s="258">
        <v>21</v>
      </c>
      <c r="AC4" s="258">
        <v>22</v>
      </c>
      <c r="AD4" s="258">
        <v>23</v>
      </c>
      <c r="AE4" s="258">
        <v>24</v>
      </c>
      <c r="AF4" s="258">
        <v>25</v>
      </c>
      <c r="AG4" s="258">
        <v>26</v>
      </c>
      <c r="AH4" s="258">
        <v>27</v>
      </c>
      <c r="AI4" s="258">
        <v>28</v>
      </c>
      <c r="AJ4" s="258">
        <v>29</v>
      </c>
      <c r="AK4" s="258">
        <v>30</v>
      </c>
      <c r="AL4" s="258">
        <v>31</v>
      </c>
      <c r="AM4" s="258">
        <v>32</v>
      </c>
      <c r="AN4" s="258">
        <v>33</v>
      </c>
      <c r="AO4" s="258">
        <v>34</v>
      </c>
      <c r="AP4" s="258">
        <v>35</v>
      </c>
      <c r="AQ4" s="258">
        <v>36</v>
      </c>
      <c r="AR4" s="257">
        <v>1</v>
      </c>
      <c r="AS4" s="258">
        <v>2</v>
      </c>
      <c r="AT4" s="258">
        <v>3</v>
      </c>
      <c r="AU4" s="258">
        <v>4</v>
      </c>
      <c r="AV4" s="258">
        <v>5</v>
      </c>
      <c r="AW4" s="258">
        <v>6</v>
      </c>
      <c r="AX4" s="258">
        <v>7</v>
      </c>
      <c r="AY4" s="258">
        <v>8</v>
      </c>
      <c r="AZ4" s="258">
        <v>9</v>
      </c>
      <c r="BA4" s="258">
        <v>10</v>
      </c>
      <c r="BB4" s="258">
        <v>11</v>
      </c>
      <c r="BC4" s="258">
        <v>12</v>
      </c>
      <c r="BD4" s="258">
        <v>13</v>
      </c>
      <c r="BE4" s="258">
        <v>14</v>
      </c>
      <c r="BF4" s="258">
        <v>15</v>
      </c>
      <c r="BG4" s="258">
        <v>16</v>
      </c>
      <c r="BH4" s="258">
        <v>17</v>
      </c>
      <c r="BI4" s="258">
        <v>18</v>
      </c>
      <c r="BJ4" s="258">
        <v>19</v>
      </c>
      <c r="BK4" s="258">
        <v>20</v>
      </c>
      <c r="BL4" s="258">
        <v>21</v>
      </c>
      <c r="BM4" s="258">
        <v>22</v>
      </c>
      <c r="BN4" s="258">
        <v>23</v>
      </c>
      <c r="BO4" s="258">
        <v>24</v>
      </c>
      <c r="BP4" s="258">
        <v>25</v>
      </c>
      <c r="BQ4" s="258">
        <v>26</v>
      </c>
      <c r="BR4" s="258">
        <v>27</v>
      </c>
      <c r="BS4" s="258">
        <v>28</v>
      </c>
      <c r="BT4" s="258">
        <v>29</v>
      </c>
      <c r="BU4" s="258">
        <v>30</v>
      </c>
      <c r="BV4" s="258">
        <v>31</v>
      </c>
      <c r="BW4" s="258">
        <v>32</v>
      </c>
      <c r="BX4" s="258">
        <v>33</v>
      </c>
      <c r="BY4" s="258">
        <v>34</v>
      </c>
      <c r="BZ4" s="258">
        <v>35</v>
      </c>
      <c r="CA4" s="258">
        <v>36</v>
      </c>
      <c r="CB4" s="257">
        <v>1</v>
      </c>
      <c r="CC4" s="258">
        <v>2</v>
      </c>
      <c r="CD4" s="258">
        <v>3</v>
      </c>
      <c r="CE4" s="258">
        <v>4</v>
      </c>
      <c r="CF4" s="258">
        <v>5</v>
      </c>
      <c r="CG4" s="258">
        <v>6</v>
      </c>
      <c r="CH4" s="258">
        <v>7</v>
      </c>
      <c r="CI4" s="258">
        <v>8</v>
      </c>
      <c r="CJ4" s="258">
        <v>9</v>
      </c>
      <c r="CK4" s="258">
        <v>10</v>
      </c>
      <c r="CL4" s="258">
        <v>11</v>
      </c>
      <c r="CM4" s="258">
        <v>12</v>
      </c>
      <c r="CN4" s="258">
        <v>13</v>
      </c>
      <c r="CO4" s="258">
        <v>14</v>
      </c>
      <c r="CP4" s="258">
        <v>15</v>
      </c>
      <c r="CQ4" s="258">
        <v>16</v>
      </c>
      <c r="CR4" s="258">
        <v>17</v>
      </c>
      <c r="CS4" s="258">
        <v>18</v>
      </c>
      <c r="CT4" s="258">
        <v>19</v>
      </c>
      <c r="CU4" s="258">
        <v>20</v>
      </c>
      <c r="CV4" s="258">
        <v>21</v>
      </c>
      <c r="CW4" s="258">
        <v>22</v>
      </c>
      <c r="CX4" s="258">
        <v>23</v>
      </c>
      <c r="CY4" s="258">
        <v>24</v>
      </c>
      <c r="CZ4" s="258">
        <v>25</v>
      </c>
      <c r="DA4" s="258">
        <v>26</v>
      </c>
      <c r="DB4" s="258">
        <v>27</v>
      </c>
      <c r="DC4" s="258">
        <v>28</v>
      </c>
      <c r="DD4" s="258">
        <v>29</v>
      </c>
      <c r="DE4" s="258">
        <v>30</v>
      </c>
      <c r="DF4" s="258">
        <v>31</v>
      </c>
      <c r="DG4" s="258">
        <v>32</v>
      </c>
      <c r="DH4" s="258">
        <v>33</v>
      </c>
      <c r="DI4" s="258">
        <v>34</v>
      </c>
      <c r="DJ4" s="258">
        <v>35</v>
      </c>
      <c r="DK4" s="258">
        <v>36</v>
      </c>
      <c r="DL4" s="257">
        <v>1</v>
      </c>
      <c r="DM4" s="258">
        <v>2</v>
      </c>
      <c r="DN4" s="258">
        <v>3</v>
      </c>
      <c r="DO4" s="258">
        <v>4</v>
      </c>
      <c r="DP4" s="258">
        <v>5</v>
      </c>
      <c r="DQ4" s="258">
        <v>6</v>
      </c>
      <c r="DR4" s="258">
        <v>7</v>
      </c>
      <c r="DS4" s="258">
        <v>8</v>
      </c>
      <c r="DT4" s="258">
        <v>9</v>
      </c>
      <c r="DU4" s="258">
        <v>10</v>
      </c>
      <c r="DV4" s="258">
        <v>11</v>
      </c>
      <c r="DW4" s="258">
        <v>12</v>
      </c>
    </row>
    <row r="5" spans="2:127" ht="10">
      <c r="B5" s="394" t="s">
        <v>168</v>
      </c>
      <c r="C5" s="394"/>
      <c r="D5" s="394"/>
      <c r="E5" s="394"/>
      <c r="F5" s="276" t="s">
        <v>35</v>
      </c>
      <c r="G5" s="277"/>
      <c r="H5" s="278"/>
      <c r="I5" s="278"/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  <c r="AJ5" s="278"/>
      <c r="AK5" s="278"/>
      <c r="AL5" s="278"/>
      <c r="AM5" s="278"/>
      <c r="AN5" s="278"/>
      <c r="AO5" s="278"/>
      <c r="AP5" s="278"/>
      <c r="AQ5" s="278"/>
      <c r="AR5" s="278"/>
      <c r="AS5" s="278"/>
      <c r="AT5" s="278"/>
      <c r="AU5" s="278"/>
      <c r="AV5" s="278"/>
      <c r="AW5" s="278"/>
      <c r="AX5" s="278"/>
      <c r="AY5" s="278"/>
      <c r="AZ5" s="278"/>
      <c r="BA5" s="278"/>
      <c r="BB5" s="278"/>
      <c r="BC5" s="278"/>
      <c r="BD5" s="278"/>
      <c r="BE5" s="278"/>
      <c r="BF5" s="278"/>
      <c r="BG5" s="278"/>
      <c r="BH5" s="278"/>
      <c r="BI5" s="278"/>
      <c r="BJ5" s="278"/>
      <c r="BK5" s="278"/>
      <c r="BL5" s="278"/>
      <c r="BM5" s="278"/>
      <c r="BN5" s="278"/>
      <c r="BO5" s="278"/>
      <c r="BP5" s="278"/>
      <c r="BQ5" s="278"/>
      <c r="BR5" s="278"/>
      <c r="BS5" s="278"/>
      <c r="BT5" s="278"/>
      <c r="BU5" s="278"/>
      <c r="BV5" s="278"/>
      <c r="BW5" s="278"/>
      <c r="BX5" s="278"/>
      <c r="BY5" s="278"/>
      <c r="BZ5" s="278"/>
      <c r="CA5" s="278"/>
      <c r="CB5" s="278"/>
      <c r="CC5" s="278"/>
      <c r="CD5" s="278"/>
      <c r="CE5" s="278"/>
      <c r="CF5" s="278"/>
      <c r="CG5" s="278"/>
      <c r="CH5" s="278"/>
      <c r="CI5" s="278"/>
      <c r="CJ5" s="278"/>
      <c r="CK5" s="278"/>
      <c r="CL5" s="278"/>
      <c r="CM5" s="278"/>
      <c r="CN5" s="278"/>
      <c r="CO5" s="278"/>
      <c r="CP5" s="278"/>
      <c r="CQ5" s="278"/>
      <c r="CR5" s="278"/>
      <c r="CS5" s="278"/>
      <c r="CT5" s="278"/>
      <c r="CU5" s="278"/>
      <c r="CV5" s="278"/>
      <c r="CW5" s="278"/>
      <c r="CX5" s="278"/>
      <c r="CY5" s="278"/>
      <c r="CZ5" s="278"/>
      <c r="DA5" s="278"/>
      <c r="DB5" s="278"/>
      <c r="DC5" s="278"/>
      <c r="DD5" s="278"/>
      <c r="DE5" s="278"/>
      <c r="DF5" s="278"/>
      <c r="DG5" s="278"/>
      <c r="DH5" s="278"/>
      <c r="DI5" s="278"/>
      <c r="DJ5" s="278"/>
      <c r="DK5" s="278"/>
      <c r="DL5" s="278"/>
      <c r="DM5" s="278"/>
      <c r="DN5" s="278"/>
      <c r="DO5" s="278"/>
      <c r="DP5" s="278"/>
      <c r="DQ5" s="278"/>
      <c r="DR5" s="278"/>
      <c r="DS5" s="278"/>
      <c r="DT5" s="278"/>
      <c r="DU5" s="278"/>
      <c r="DV5" s="278"/>
      <c r="DW5" s="278"/>
    </row>
    <row r="6" spans="2:127" ht="10">
      <c r="B6" s="395" t="s">
        <v>169</v>
      </c>
      <c r="C6" s="395"/>
      <c r="D6" s="395"/>
      <c r="E6" s="395"/>
      <c r="F6" s="279" t="s">
        <v>35</v>
      </c>
      <c r="G6" s="280"/>
      <c r="H6" s="281"/>
      <c r="I6" s="281"/>
      <c r="J6" s="281"/>
      <c r="K6" s="281"/>
      <c r="L6" s="281"/>
      <c r="M6" s="281"/>
      <c r="N6" s="281"/>
      <c r="O6" s="281"/>
      <c r="P6" s="281"/>
      <c r="Q6" s="281"/>
      <c r="R6" s="281"/>
      <c r="S6" s="281"/>
      <c r="T6" s="281"/>
      <c r="U6" s="281"/>
      <c r="V6" s="281"/>
      <c r="W6" s="281"/>
      <c r="X6" s="281"/>
      <c r="Y6" s="281"/>
      <c r="Z6" s="281"/>
      <c r="AA6" s="281"/>
      <c r="AB6" s="281"/>
      <c r="AC6" s="281"/>
      <c r="AD6" s="281"/>
      <c r="AE6" s="281"/>
      <c r="AF6" s="281"/>
      <c r="AG6" s="281"/>
      <c r="AH6" s="281"/>
      <c r="AI6" s="281"/>
      <c r="AJ6" s="281"/>
      <c r="AK6" s="281"/>
      <c r="AL6" s="281"/>
      <c r="AM6" s="281"/>
      <c r="AN6" s="281"/>
      <c r="AO6" s="281"/>
      <c r="AP6" s="281"/>
      <c r="AQ6" s="281"/>
      <c r="AR6" s="281"/>
      <c r="AS6" s="281"/>
      <c r="AT6" s="281"/>
      <c r="AU6" s="281"/>
      <c r="AV6" s="281"/>
      <c r="AW6" s="281"/>
      <c r="AX6" s="281"/>
      <c r="AY6" s="281"/>
      <c r="AZ6" s="281"/>
      <c r="BA6" s="281"/>
      <c r="BB6" s="281"/>
      <c r="BC6" s="281"/>
      <c r="BD6" s="281"/>
      <c r="BE6" s="281"/>
      <c r="BF6" s="281"/>
      <c r="BG6" s="281"/>
      <c r="BH6" s="281"/>
      <c r="BI6" s="281"/>
      <c r="BJ6" s="281"/>
      <c r="BK6" s="281"/>
      <c r="BL6" s="281"/>
      <c r="BM6" s="281"/>
      <c r="BN6" s="281"/>
      <c r="BO6" s="281"/>
      <c r="BP6" s="281"/>
      <c r="BQ6" s="281"/>
      <c r="BR6" s="281"/>
      <c r="BS6" s="281"/>
      <c r="BT6" s="281"/>
      <c r="BU6" s="281"/>
      <c r="BV6" s="281"/>
      <c r="BW6" s="281"/>
      <c r="BX6" s="281"/>
      <c r="BY6" s="281"/>
      <c r="BZ6" s="281"/>
      <c r="CA6" s="281"/>
      <c r="CB6" s="281"/>
      <c r="CC6" s="281"/>
      <c r="CD6" s="281"/>
      <c r="CE6" s="281"/>
      <c r="CF6" s="281"/>
      <c r="CG6" s="281"/>
      <c r="CH6" s="281"/>
      <c r="CI6" s="281"/>
      <c r="CJ6" s="281"/>
      <c r="CK6" s="281"/>
      <c r="CL6" s="281"/>
      <c r="CM6" s="281"/>
      <c r="CN6" s="281"/>
      <c r="CO6" s="281"/>
      <c r="CP6" s="281"/>
      <c r="CQ6" s="281"/>
      <c r="CR6" s="281"/>
      <c r="CS6" s="281"/>
      <c r="CT6" s="281"/>
      <c r="CU6" s="281"/>
      <c r="CV6" s="281"/>
      <c r="CW6" s="281"/>
      <c r="CX6" s="281"/>
      <c r="CY6" s="281"/>
      <c r="CZ6" s="281"/>
      <c r="DA6" s="281"/>
      <c r="DB6" s="281"/>
      <c r="DC6" s="281"/>
      <c r="DD6" s="281"/>
      <c r="DE6" s="281"/>
      <c r="DF6" s="281"/>
      <c r="DG6" s="281"/>
      <c r="DH6" s="281"/>
      <c r="DI6" s="281"/>
      <c r="DJ6" s="281"/>
      <c r="DK6" s="281"/>
      <c r="DL6" s="281"/>
      <c r="DM6" s="281"/>
      <c r="DN6" s="281"/>
      <c r="DO6" s="281"/>
      <c r="DP6" s="281"/>
      <c r="DQ6" s="281"/>
      <c r="DR6" s="281"/>
      <c r="DS6" s="281"/>
      <c r="DT6" s="281"/>
      <c r="DU6" s="281"/>
      <c r="DV6" s="281"/>
      <c r="DW6" s="281"/>
    </row>
    <row r="7" spans="2:127" ht="10">
      <c r="B7" s="395" t="s">
        <v>170</v>
      </c>
      <c r="C7" s="395"/>
      <c r="D7" s="395"/>
      <c r="E7" s="395"/>
      <c r="F7" s="279" t="s">
        <v>35</v>
      </c>
      <c r="G7" s="280"/>
      <c r="H7" s="281"/>
      <c r="I7" s="281"/>
      <c r="J7" s="281"/>
      <c r="K7" s="281"/>
      <c r="L7" s="281"/>
      <c r="M7" s="281"/>
      <c r="N7" s="281"/>
      <c r="O7" s="281"/>
      <c r="P7" s="281"/>
      <c r="Q7" s="281"/>
      <c r="R7" s="281"/>
      <c r="S7" s="281"/>
      <c r="T7" s="281"/>
      <c r="U7" s="281"/>
      <c r="V7" s="281"/>
      <c r="W7" s="281"/>
      <c r="X7" s="281"/>
      <c r="Y7" s="281"/>
      <c r="Z7" s="281"/>
      <c r="AA7" s="281"/>
      <c r="AB7" s="281"/>
      <c r="AC7" s="281"/>
      <c r="AD7" s="281"/>
      <c r="AE7" s="281"/>
      <c r="AF7" s="281"/>
      <c r="AG7" s="281"/>
      <c r="AH7" s="281"/>
      <c r="AI7" s="281"/>
      <c r="AJ7" s="281"/>
      <c r="AK7" s="281"/>
      <c r="AL7" s="281"/>
      <c r="AM7" s="281"/>
      <c r="AN7" s="281"/>
      <c r="AO7" s="281"/>
      <c r="AP7" s="281"/>
      <c r="AQ7" s="281"/>
      <c r="AR7" s="281"/>
      <c r="AS7" s="281"/>
      <c r="AT7" s="281"/>
      <c r="AU7" s="281"/>
      <c r="AV7" s="281"/>
      <c r="AW7" s="281"/>
      <c r="AX7" s="281"/>
      <c r="AY7" s="281"/>
      <c r="AZ7" s="281"/>
      <c r="BA7" s="281"/>
      <c r="BB7" s="281"/>
      <c r="BC7" s="281"/>
      <c r="BD7" s="281"/>
      <c r="BE7" s="281"/>
      <c r="BF7" s="281"/>
      <c r="BG7" s="281"/>
      <c r="BH7" s="281"/>
      <c r="BI7" s="281"/>
      <c r="BJ7" s="281"/>
      <c r="BK7" s="281"/>
      <c r="BL7" s="281"/>
      <c r="BM7" s="281"/>
      <c r="BN7" s="281"/>
      <c r="BO7" s="281"/>
      <c r="BP7" s="281"/>
      <c r="BQ7" s="281"/>
      <c r="BR7" s="281"/>
      <c r="BS7" s="281"/>
      <c r="BT7" s="281"/>
      <c r="BU7" s="281"/>
      <c r="BV7" s="281"/>
      <c r="BW7" s="281"/>
      <c r="BX7" s="281"/>
      <c r="BY7" s="281"/>
      <c r="BZ7" s="281"/>
      <c r="CA7" s="281"/>
      <c r="CB7" s="281"/>
      <c r="CC7" s="281"/>
      <c r="CD7" s="281"/>
      <c r="CE7" s="281"/>
      <c r="CF7" s="281"/>
      <c r="CG7" s="281"/>
      <c r="CH7" s="281"/>
      <c r="CI7" s="281"/>
      <c r="CJ7" s="281"/>
      <c r="CK7" s="281"/>
      <c r="CL7" s="281"/>
      <c r="CM7" s="281"/>
      <c r="CN7" s="281"/>
      <c r="CO7" s="281"/>
      <c r="CP7" s="281"/>
      <c r="CQ7" s="281"/>
      <c r="CR7" s="281"/>
      <c r="CS7" s="281"/>
      <c r="CT7" s="281"/>
      <c r="CU7" s="281"/>
      <c r="CV7" s="281"/>
      <c r="CW7" s="281"/>
      <c r="CX7" s="281"/>
      <c r="CY7" s="281"/>
      <c r="CZ7" s="281"/>
      <c r="DA7" s="281"/>
      <c r="DB7" s="281"/>
      <c r="DC7" s="281"/>
      <c r="DD7" s="281"/>
      <c r="DE7" s="281"/>
      <c r="DF7" s="281"/>
      <c r="DG7" s="281"/>
      <c r="DH7" s="281"/>
      <c r="DI7" s="281"/>
      <c r="DJ7" s="281"/>
      <c r="DK7" s="281"/>
      <c r="DL7" s="281"/>
      <c r="DM7" s="281"/>
      <c r="DN7" s="281"/>
      <c r="DO7" s="281"/>
      <c r="DP7" s="281"/>
      <c r="DQ7" s="281"/>
      <c r="DR7" s="281"/>
      <c r="DS7" s="281"/>
      <c r="DT7" s="281"/>
      <c r="DU7" s="281"/>
      <c r="DV7" s="281"/>
      <c r="DW7" s="281"/>
    </row>
    <row r="8" spans="2:127" ht="10">
      <c r="B8" s="394" t="s">
        <v>171</v>
      </c>
      <c r="C8" s="394"/>
      <c r="D8" s="394"/>
      <c r="E8" s="394"/>
      <c r="F8" s="276" t="s">
        <v>35</v>
      </c>
      <c r="G8" s="282">
        <v>276961519.88000005</v>
      </c>
      <c r="H8" s="283">
        <f>H15</f>
        <v>276961520</v>
      </c>
      <c r="I8" s="283">
        <f t="shared" ref="I8:AQ8" si="0">I15</f>
        <v>0</v>
      </c>
      <c r="J8" s="283">
        <f t="shared" si="0"/>
        <v>0</v>
      </c>
      <c r="K8" s="283">
        <f t="shared" si="0"/>
        <v>0</v>
      </c>
      <c r="L8" s="283">
        <f t="shared" si="0"/>
        <v>0</v>
      </c>
      <c r="M8" s="283">
        <f t="shared" si="0"/>
        <v>0</v>
      </c>
      <c r="N8" s="283">
        <f t="shared" si="0"/>
        <v>0</v>
      </c>
      <c r="O8" s="283">
        <f t="shared" si="0"/>
        <v>0</v>
      </c>
      <c r="P8" s="283">
        <f t="shared" si="0"/>
        <v>0</v>
      </c>
      <c r="Q8" s="283">
        <f t="shared" si="0"/>
        <v>0</v>
      </c>
      <c r="R8" s="283">
        <f t="shared" si="0"/>
        <v>0</v>
      </c>
      <c r="S8" s="283">
        <f t="shared" si="0"/>
        <v>0</v>
      </c>
      <c r="T8" s="283">
        <f t="shared" si="0"/>
        <v>0</v>
      </c>
      <c r="U8" s="283">
        <f t="shared" si="0"/>
        <v>0</v>
      </c>
      <c r="V8" s="283">
        <f t="shared" si="0"/>
        <v>0</v>
      </c>
      <c r="W8" s="283">
        <f t="shared" si="0"/>
        <v>0</v>
      </c>
      <c r="X8" s="283">
        <f t="shared" si="0"/>
        <v>0</v>
      </c>
      <c r="Y8" s="283">
        <f t="shared" si="0"/>
        <v>0</v>
      </c>
      <c r="Z8" s="283">
        <f t="shared" si="0"/>
        <v>0</v>
      </c>
      <c r="AA8" s="283">
        <f t="shared" si="0"/>
        <v>0</v>
      </c>
      <c r="AB8" s="283">
        <f t="shared" si="0"/>
        <v>0</v>
      </c>
      <c r="AC8" s="283">
        <f t="shared" si="0"/>
        <v>0</v>
      </c>
      <c r="AD8" s="283">
        <f t="shared" si="0"/>
        <v>0</v>
      </c>
      <c r="AE8" s="283">
        <f t="shared" si="0"/>
        <v>0</v>
      </c>
      <c r="AF8" s="283">
        <f t="shared" si="0"/>
        <v>0</v>
      </c>
      <c r="AG8" s="283">
        <f t="shared" si="0"/>
        <v>0</v>
      </c>
      <c r="AH8" s="283">
        <f t="shared" si="0"/>
        <v>0</v>
      </c>
      <c r="AI8" s="283">
        <f t="shared" si="0"/>
        <v>0</v>
      </c>
      <c r="AJ8" s="283">
        <f t="shared" si="0"/>
        <v>0</v>
      </c>
      <c r="AK8" s="283">
        <f t="shared" si="0"/>
        <v>0</v>
      </c>
      <c r="AL8" s="283">
        <f t="shared" si="0"/>
        <v>0</v>
      </c>
      <c r="AM8" s="283">
        <f t="shared" si="0"/>
        <v>0</v>
      </c>
      <c r="AN8" s="283">
        <f t="shared" si="0"/>
        <v>0</v>
      </c>
      <c r="AO8" s="283">
        <f t="shared" si="0"/>
        <v>0</v>
      </c>
      <c r="AP8" s="283">
        <f t="shared" si="0"/>
        <v>0</v>
      </c>
      <c r="AQ8" s="283">
        <f t="shared" si="0"/>
        <v>0</v>
      </c>
      <c r="AR8" s="283">
        <f>AR15</f>
        <v>0</v>
      </c>
      <c r="AS8" s="283">
        <f t="shared" ref="AS8:CA8" si="1">AS15</f>
        <v>0</v>
      </c>
      <c r="AT8" s="283">
        <f t="shared" si="1"/>
        <v>0</v>
      </c>
      <c r="AU8" s="283">
        <f t="shared" si="1"/>
        <v>0</v>
      </c>
      <c r="AV8" s="283">
        <f t="shared" si="1"/>
        <v>0</v>
      </c>
      <c r="AW8" s="283">
        <f t="shared" si="1"/>
        <v>0</v>
      </c>
      <c r="AX8" s="283">
        <f t="shared" si="1"/>
        <v>0</v>
      </c>
      <c r="AY8" s="283">
        <f t="shared" si="1"/>
        <v>0</v>
      </c>
      <c r="AZ8" s="283">
        <f t="shared" si="1"/>
        <v>0</v>
      </c>
      <c r="BA8" s="283">
        <f t="shared" si="1"/>
        <v>0</v>
      </c>
      <c r="BB8" s="283">
        <f t="shared" si="1"/>
        <v>0</v>
      </c>
      <c r="BC8" s="283">
        <f t="shared" si="1"/>
        <v>0</v>
      </c>
      <c r="BD8" s="283">
        <f t="shared" si="1"/>
        <v>0</v>
      </c>
      <c r="BE8" s="283">
        <f t="shared" si="1"/>
        <v>0</v>
      </c>
      <c r="BF8" s="283">
        <f t="shared" si="1"/>
        <v>0</v>
      </c>
      <c r="BG8" s="283">
        <f t="shared" si="1"/>
        <v>0</v>
      </c>
      <c r="BH8" s="283">
        <f t="shared" si="1"/>
        <v>0</v>
      </c>
      <c r="BI8" s="283">
        <f t="shared" si="1"/>
        <v>0</v>
      </c>
      <c r="BJ8" s="283">
        <f t="shared" si="1"/>
        <v>0</v>
      </c>
      <c r="BK8" s="283">
        <f t="shared" si="1"/>
        <v>0</v>
      </c>
      <c r="BL8" s="283">
        <f t="shared" si="1"/>
        <v>0</v>
      </c>
      <c r="BM8" s="283">
        <f t="shared" si="1"/>
        <v>0</v>
      </c>
      <c r="BN8" s="283">
        <f t="shared" si="1"/>
        <v>0</v>
      </c>
      <c r="BO8" s="283">
        <f t="shared" si="1"/>
        <v>0</v>
      </c>
      <c r="BP8" s="283">
        <f t="shared" si="1"/>
        <v>0</v>
      </c>
      <c r="BQ8" s="283">
        <f t="shared" si="1"/>
        <v>0</v>
      </c>
      <c r="BR8" s="283">
        <f t="shared" si="1"/>
        <v>0</v>
      </c>
      <c r="BS8" s="283">
        <f t="shared" si="1"/>
        <v>0</v>
      </c>
      <c r="BT8" s="283">
        <f t="shared" si="1"/>
        <v>0</v>
      </c>
      <c r="BU8" s="283">
        <f t="shared" si="1"/>
        <v>0</v>
      </c>
      <c r="BV8" s="283">
        <f t="shared" si="1"/>
        <v>0</v>
      </c>
      <c r="BW8" s="283">
        <f t="shared" si="1"/>
        <v>0</v>
      </c>
      <c r="BX8" s="283">
        <f t="shared" si="1"/>
        <v>0</v>
      </c>
      <c r="BY8" s="283">
        <f t="shared" si="1"/>
        <v>0</v>
      </c>
      <c r="BZ8" s="283">
        <f t="shared" si="1"/>
        <v>0</v>
      </c>
      <c r="CA8" s="283">
        <f t="shared" si="1"/>
        <v>0</v>
      </c>
      <c r="CB8" s="283">
        <f>CB15</f>
        <v>0</v>
      </c>
      <c r="CC8" s="283">
        <f t="shared" ref="CC8:DK8" si="2">CC15</f>
        <v>0</v>
      </c>
      <c r="CD8" s="283">
        <f t="shared" si="2"/>
        <v>0</v>
      </c>
      <c r="CE8" s="283">
        <f t="shared" si="2"/>
        <v>0</v>
      </c>
      <c r="CF8" s="283">
        <f t="shared" si="2"/>
        <v>0</v>
      </c>
      <c r="CG8" s="283">
        <f t="shared" si="2"/>
        <v>0</v>
      </c>
      <c r="CH8" s="283">
        <f t="shared" si="2"/>
        <v>0</v>
      </c>
      <c r="CI8" s="283">
        <f t="shared" si="2"/>
        <v>0</v>
      </c>
      <c r="CJ8" s="283">
        <f t="shared" si="2"/>
        <v>0</v>
      </c>
      <c r="CK8" s="283">
        <f t="shared" si="2"/>
        <v>0</v>
      </c>
      <c r="CL8" s="283">
        <f t="shared" si="2"/>
        <v>0</v>
      </c>
      <c r="CM8" s="283">
        <f t="shared" si="2"/>
        <v>0</v>
      </c>
      <c r="CN8" s="283">
        <f t="shared" si="2"/>
        <v>0</v>
      </c>
      <c r="CO8" s="283">
        <f t="shared" si="2"/>
        <v>0</v>
      </c>
      <c r="CP8" s="283">
        <f t="shared" si="2"/>
        <v>0</v>
      </c>
      <c r="CQ8" s="283">
        <f t="shared" si="2"/>
        <v>0</v>
      </c>
      <c r="CR8" s="283">
        <f t="shared" si="2"/>
        <v>0</v>
      </c>
      <c r="CS8" s="283">
        <f t="shared" si="2"/>
        <v>0</v>
      </c>
      <c r="CT8" s="283">
        <f t="shared" si="2"/>
        <v>0</v>
      </c>
      <c r="CU8" s="283">
        <f t="shared" si="2"/>
        <v>0</v>
      </c>
      <c r="CV8" s="283">
        <f t="shared" si="2"/>
        <v>0</v>
      </c>
      <c r="CW8" s="283">
        <f t="shared" si="2"/>
        <v>0</v>
      </c>
      <c r="CX8" s="283">
        <f t="shared" si="2"/>
        <v>0</v>
      </c>
      <c r="CY8" s="283">
        <f t="shared" si="2"/>
        <v>0</v>
      </c>
      <c r="CZ8" s="283">
        <f t="shared" si="2"/>
        <v>0</v>
      </c>
      <c r="DA8" s="283">
        <f t="shared" si="2"/>
        <v>0</v>
      </c>
      <c r="DB8" s="283">
        <f t="shared" si="2"/>
        <v>0</v>
      </c>
      <c r="DC8" s="283">
        <f t="shared" si="2"/>
        <v>0</v>
      </c>
      <c r="DD8" s="283">
        <f t="shared" si="2"/>
        <v>0</v>
      </c>
      <c r="DE8" s="283">
        <f t="shared" si="2"/>
        <v>0</v>
      </c>
      <c r="DF8" s="283">
        <f t="shared" si="2"/>
        <v>0</v>
      </c>
      <c r="DG8" s="283">
        <f t="shared" si="2"/>
        <v>0</v>
      </c>
      <c r="DH8" s="283">
        <f t="shared" si="2"/>
        <v>0</v>
      </c>
      <c r="DI8" s="283">
        <f t="shared" si="2"/>
        <v>0</v>
      </c>
      <c r="DJ8" s="283">
        <f t="shared" si="2"/>
        <v>0</v>
      </c>
      <c r="DK8" s="283">
        <f t="shared" si="2"/>
        <v>0</v>
      </c>
      <c r="DL8" s="283">
        <f>DL15</f>
        <v>0</v>
      </c>
      <c r="DM8" s="283">
        <f t="shared" ref="DM8:DW8" si="3">DM15</f>
        <v>0</v>
      </c>
      <c r="DN8" s="283">
        <f t="shared" si="3"/>
        <v>0</v>
      </c>
      <c r="DO8" s="283">
        <f t="shared" si="3"/>
        <v>0</v>
      </c>
      <c r="DP8" s="283">
        <f t="shared" si="3"/>
        <v>0</v>
      </c>
      <c r="DQ8" s="283">
        <f t="shared" si="3"/>
        <v>0</v>
      </c>
      <c r="DR8" s="283">
        <f t="shared" si="3"/>
        <v>0</v>
      </c>
      <c r="DS8" s="283">
        <f t="shared" si="3"/>
        <v>0</v>
      </c>
      <c r="DT8" s="283">
        <f t="shared" si="3"/>
        <v>0</v>
      </c>
      <c r="DU8" s="283">
        <f t="shared" si="3"/>
        <v>0</v>
      </c>
      <c r="DV8" s="283">
        <f t="shared" si="3"/>
        <v>0</v>
      </c>
      <c r="DW8" s="283">
        <f t="shared" si="3"/>
        <v>0</v>
      </c>
    </row>
    <row r="9" spans="2:127" ht="10">
      <c r="B9" s="396" t="s">
        <v>172</v>
      </c>
      <c r="C9" s="397"/>
      <c r="D9" s="397"/>
      <c r="E9" s="398"/>
      <c r="F9" s="279"/>
      <c r="G9" s="280"/>
      <c r="H9" s="284">
        <f>H29</f>
        <v>0</v>
      </c>
      <c r="I9" s="284">
        <f t="shared" ref="I9:AQ9" si="4">I29</f>
        <v>0</v>
      </c>
      <c r="J9" s="284">
        <f t="shared" si="4"/>
        <v>0</v>
      </c>
      <c r="K9" s="284">
        <f t="shared" si="4"/>
        <v>0</v>
      </c>
      <c r="L9" s="284">
        <f t="shared" si="4"/>
        <v>0</v>
      </c>
      <c r="M9" s="284">
        <f t="shared" si="4"/>
        <v>0</v>
      </c>
      <c r="N9" s="284">
        <f t="shared" si="4"/>
        <v>0</v>
      </c>
      <c r="O9" s="284">
        <f t="shared" si="4"/>
        <v>0</v>
      </c>
      <c r="P9" s="284">
        <f t="shared" si="4"/>
        <v>0</v>
      </c>
      <c r="Q9" s="284">
        <f t="shared" si="4"/>
        <v>0</v>
      </c>
      <c r="R9" s="284">
        <f t="shared" si="4"/>
        <v>0</v>
      </c>
      <c r="S9" s="284">
        <f t="shared" si="4"/>
        <v>0</v>
      </c>
      <c r="T9" s="284">
        <f t="shared" si="4"/>
        <v>0</v>
      </c>
      <c r="U9" s="284">
        <f t="shared" si="4"/>
        <v>0</v>
      </c>
      <c r="V9" s="284">
        <f t="shared" si="4"/>
        <v>0</v>
      </c>
      <c r="W9" s="284">
        <f t="shared" si="4"/>
        <v>0</v>
      </c>
      <c r="X9" s="284">
        <f t="shared" si="4"/>
        <v>0</v>
      </c>
      <c r="Y9" s="284">
        <f t="shared" si="4"/>
        <v>0</v>
      </c>
      <c r="Z9" s="284">
        <f t="shared" si="4"/>
        <v>0</v>
      </c>
      <c r="AA9" s="284">
        <f t="shared" si="4"/>
        <v>0</v>
      </c>
      <c r="AB9" s="284">
        <f t="shared" si="4"/>
        <v>0</v>
      </c>
      <c r="AC9" s="284">
        <f t="shared" si="4"/>
        <v>0</v>
      </c>
      <c r="AD9" s="284">
        <f t="shared" si="4"/>
        <v>0</v>
      </c>
      <c r="AE9" s="284">
        <f t="shared" si="4"/>
        <v>0</v>
      </c>
      <c r="AF9" s="284">
        <f t="shared" si="4"/>
        <v>0</v>
      </c>
      <c r="AG9" s="284">
        <f t="shared" si="4"/>
        <v>0</v>
      </c>
      <c r="AH9" s="284">
        <f t="shared" si="4"/>
        <v>0</v>
      </c>
      <c r="AI9" s="284">
        <f t="shared" si="4"/>
        <v>0</v>
      </c>
      <c r="AJ9" s="284">
        <f t="shared" si="4"/>
        <v>0</v>
      </c>
      <c r="AK9" s="284">
        <f t="shared" si="4"/>
        <v>0</v>
      </c>
      <c r="AL9" s="284">
        <f t="shared" si="4"/>
        <v>0</v>
      </c>
      <c r="AM9" s="284">
        <f t="shared" si="4"/>
        <v>0</v>
      </c>
      <c r="AN9" s="284">
        <f t="shared" si="4"/>
        <v>0</v>
      </c>
      <c r="AO9" s="284">
        <f t="shared" si="4"/>
        <v>0</v>
      </c>
      <c r="AP9" s="284">
        <f t="shared" si="4"/>
        <v>0</v>
      </c>
      <c r="AQ9" s="284">
        <f t="shared" si="4"/>
        <v>0</v>
      </c>
      <c r="AR9" s="284">
        <f>AR29</f>
        <v>0</v>
      </c>
      <c r="AS9" s="284">
        <f t="shared" ref="AS9:CA9" si="5">AS29</f>
        <v>0</v>
      </c>
      <c r="AT9" s="284">
        <f t="shared" si="5"/>
        <v>0</v>
      </c>
      <c r="AU9" s="284">
        <f t="shared" si="5"/>
        <v>0</v>
      </c>
      <c r="AV9" s="284">
        <f t="shared" si="5"/>
        <v>0</v>
      </c>
      <c r="AW9" s="284">
        <f t="shared" si="5"/>
        <v>0</v>
      </c>
      <c r="AX9" s="284">
        <f t="shared" si="5"/>
        <v>0</v>
      </c>
      <c r="AY9" s="284">
        <f t="shared" si="5"/>
        <v>0</v>
      </c>
      <c r="AZ9" s="284">
        <f t="shared" si="5"/>
        <v>0</v>
      </c>
      <c r="BA9" s="284">
        <f t="shared" si="5"/>
        <v>0</v>
      </c>
      <c r="BB9" s="284">
        <f t="shared" si="5"/>
        <v>0</v>
      </c>
      <c r="BC9" s="284">
        <f t="shared" si="5"/>
        <v>0</v>
      </c>
      <c r="BD9" s="284">
        <f t="shared" si="5"/>
        <v>0</v>
      </c>
      <c r="BE9" s="284">
        <f t="shared" si="5"/>
        <v>0</v>
      </c>
      <c r="BF9" s="284">
        <f t="shared" si="5"/>
        <v>0</v>
      </c>
      <c r="BG9" s="284">
        <f t="shared" si="5"/>
        <v>0</v>
      </c>
      <c r="BH9" s="284">
        <f t="shared" si="5"/>
        <v>0</v>
      </c>
      <c r="BI9" s="284">
        <f t="shared" si="5"/>
        <v>0</v>
      </c>
      <c r="BJ9" s="284">
        <f t="shared" si="5"/>
        <v>0</v>
      </c>
      <c r="BK9" s="284">
        <f t="shared" si="5"/>
        <v>0</v>
      </c>
      <c r="BL9" s="284">
        <f t="shared" si="5"/>
        <v>0</v>
      </c>
      <c r="BM9" s="284">
        <f t="shared" si="5"/>
        <v>0</v>
      </c>
      <c r="BN9" s="284">
        <f t="shared" si="5"/>
        <v>0</v>
      </c>
      <c r="BO9" s="284">
        <f t="shared" si="5"/>
        <v>0</v>
      </c>
      <c r="BP9" s="284">
        <f t="shared" si="5"/>
        <v>0</v>
      </c>
      <c r="BQ9" s="284">
        <f t="shared" si="5"/>
        <v>0</v>
      </c>
      <c r="BR9" s="284">
        <f t="shared" si="5"/>
        <v>0</v>
      </c>
      <c r="BS9" s="284">
        <f t="shared" si="5"/>
        <v>0</v>
      </c>
      <c r="BT9" s="284">
        <f t="shared" si="5"/>
        <v>0</v>
      </c>
      <c r="BU9" s="284">
        <f t="shared" si="5"/>
        <v>0</v>
      </c>
      <c r="BV9" s="284">
        <f t="shared" si="5"/>
        <v>0</v>
      </c>
      <c r="BW9" s="284">
        <f t="shared" si="5"/>
        <v>0</v>
      </c>
      <c r="BX9" s="284">
        <f t="shared" si="5"/>
        <v>0</v>
      </c>
      <c r="BY9" s="284">
        <f t="shared" si="5"/>
        <v>0</v>
      </c>
      <c r="BZ9" s="284">
        <f t="shared" si="5"/>
        <v>0</v>
      </c>
      <c r="CA9" s="284">
        <f t="shared" si="5"/>
        <v>0</v>
      </c>
      <c r="CB9" s="284">
        <f>CB29</f>
        <v>0</v>
      </c>
      <c r="CC9" s="284">
        <f t="shared" ref="CC9:DK9" si="6">CC29</f>
        <v>0</v>
      </c>
      <c r="CD9" s="284">
        <f t="shared" si="6"/>
        <v>0</v>
      </c>
      <c r="CE9" s="284">
        <f t="shared" si="6"/>
        <v>0</v>
      </c>
      <c r="CF9" s="284">
        <f t="shared" si="6"/>
        <v>0</v>
      </c>
      <c r="CG9" s="284">
        <f t="shared" si="6"/>
        <v>0</v>
      </c>
      <c r="CH9" s="284">
        <f t="shared" si="6"/>
        <v>0</v>
      </c>
      <c r="CI9" s="284">
        <f t="shared" si="6"/>
        <v>0</v>
      </c>
      <c r="CJ9" s="284">
        <f t="shared" si="6"/>
        <v>0</v>
      </c>
      <c r="CK9" s="284">
        <f t="shared" si="6"/>
        <v>0</v>
      </c>
      <c r="CL9" s="284">
        <f t="shared" si="6"/>
        <v>0</v>
      </c>
      <c r="CM9" s="284">
        <f t="shared" si="6"/>
        <v>0</v>
      </c>
      <c r="CN9" s="284">
        <f t="shared" si="6"/>
        <v>0</v>
      </c>
      <c r="CO9" s="284">
        <f t="shared" si="6"/>
        <v>0</v>
      </c>
      <c r="CP9" s="284">
        <f t="shared" si="6"/>
        <v>0</v>
      </c>
      <c r="CQ9" s="284">
        <f t="shared" si="6"/>
        <v>0</v>
      </c>
      <c r="CR9" s="284">
        <f t="shared" si="6"/>
        <v>0</v>
      </c>
      <c r="CS9" s="284">
        <f t="shared" si="6"/>
        <v>0</v>
      </c>
      <c r="CT9" s="284">
        <f t="shared" si="6"/>
        <v>0</v>
      </c>
      <c r="CU9" s="284">
        <f t="shared" si="6"/>
        <v>0</v>
      </c>
      <c r="CV9" s="284">
        <f t="shared" si="6"/>
        <v>0</v>
      </c>
      <c r="CW9" s="284">
        <f t="shared" si="6"/>
        <v>0</v>
      </c>
      <c r="CX9" s="284">
        <f t="shared" si="6"/>
        <v>0</v>
      </c>
      <c r="CY9" s="284">
        <f t="shared" si="6"/>
        <v>0</v>
      </c>
      <c r="CZ9" s="284">
        <f t="shared" si="6"/>
        <v>0</v>
      </c>
      <c r="DA9" s="284">
        <f t="shared" si="6"/>
        <v>0</v>
      </c>
      <c r="DB9" s="284">
        <f t="shared" si="6"/>
        <v>0</v>
      </c>
      <c r="DC9" s="284">
        <f t="shared" si="6"/>
        <v>0</v>
      </c>
      <c r="DD9" s="284">
        <f t="shared" si="6"/>
        <v>0</v>
      </c>
      <c r="DE9" s="284">
        <f t="shared" si="6"/>
        <v>0</v>
      </c>
      <c r="DF9" s="284">
        <f t="shared" si="6"/>
        <v>0</v>
      </c>
      <c r="DG9" s="284">
        <f t="shared" si="6"/>
        <v>0</v>
      </c>
      <c r="DH9" s="284">
        <f t="shared" si="6"/>
        <v>0</v>
      </c>
      <c r="DI9" s="284">
        <f t="shared" si="6"/>
        <v>0</v>
      </c>
      <c r="DJ9" s="284">
        <f t="shared" si="6"/>
        <v>0</v>
      </c>
      <c r="DK9" s="284">
        <f t="shared" si="6"/>
        <v>0</v>
      </c>
      <c r="DL9" s="284">
        <f>DL29</f>
        <v>0</v>
      </c>
      <c r="DM9" s="284">
        <f t="shared" ref="DM9:DW9" si="7">DM29</f>
        <v>0</v>
      </c>
      <c r="DN9" s="284">
        <f t="shared" si="7"/>
        <v>0</v>
      </c>
      <c r="DO9" s="284">
        <f t="shared" si="7"/>
        <v>0</v>
      </c>
      <c r="DP9" s="284">
        <f t="shared" si="7"/>
        <v>0</v>
      </c>
      <c r="DQ9" s="284">
        <f t="shared" si="7"/>
        <v>0</v>
      </c>
      <c r="DR9" s="284">
        <f t="shared" si="7"/>
        <v>0</v>
      </c>
      <c r="DS9" s="284">
        <f t="shared" si="7"/>
        <v>0</v>
      </c>
      <c r="DT9" s="284">
        <f t="shared" si="7"/>
        <v>0</v>
      </c>
      <c r="DU9" s="284">
        <f t="shared" si="7"/>
        <v>0</v>
      </c>
      <c r="DV9" s="284">
        <f t="shared" si="7"/>
        <v>0</v>
      </c>
      <c r="DW9" s="284">
        <f t="shared" si="7"/>
        <v>0</v>
      </c>
    </row>
    <row r="10" spans="2:127" ht="10">
      <c r="B10" s="395" t="s">
        <v>173</v>
      </c>
      <c r="C10" s="395"/>
      <c r="D10" s="395"/>
      <c r="E10" s="395"/>
      <c r="F10" s="279" t="s">
        <v>35</v>
      </c>
      <c r="G10" s="280"/>
      <c r="H10" s="284">
        <f>H37</f>
        <v>0</v>
      </c>
      <c r="I10" s="284">
        <f t="shared" ref="I10:AQ10" si="8">I37</f>
        <v>0</v>
      </c>
      <c r="J10" s="284">
        <f t="shared" si="8"/>
        <v>0</v>
      </c>
      <c r="K10" s="284">
        <f t="shared" si="8"/>
        <v>0</v>
      </c>
      <c r="L10" s="284">
        <f t="shared" si="8"/>
        <v>0</v>
      </c>
      <c r="M10" s="284">
        <f t="shared" si="8"/>
        <v>0</v>
      </c>
      <c r="N10" s="284">
        <f t="shared" si="8"/>
        <v>0</v>
      </c>
      <c r="O10" s="284">
        <f t="shared" si="8"/>
        <v>0</v>
      </c>
      <c r="P10" s="284">
        <f t="shared" si="8"/>
        <v>0</v>
      </c>
      <c r="Q10" s="284">
        <f t="shared" si="8"/>
        <v>0</v>
      </c>
      <c r="R10" s="284">
        <f t="shared" si="8"/>
        <v>0</v>
      </c>
      <c r="S10" s="284">
        <f t="shared" si="8"/>
        <v>0</v>
      </c>
      <c r="T10" s="284">
        <f t="shared" si="8"/>
        <v>0</v>
      </c>
      <c r="U10" s="284">
        <f t="shared" si="8"/>
        <v>0</v>
      </c>
      <c r="V10" s="284">
        <f t="shared" si="8"/>
        <v>0</v>
      </c>
      <c r="W10" s="284">
        <f t="shared" si="8"/>
        <v>0</v>
      </c>
      <c r="X10" s="284">
        <f t="shared" si="8"/>
        <v>0</v>
      </c>
      <c r="Y10" s="284">
        <f t="shared" si="8"/>
        <v>0</v>
      </c>
      <c r="Z10" s="284">
        <f t="shared" si="8"/>
        <v>0</v>
      </c>
      <c r="AA10" s="284">
        <f t="shared" si="8"/>
        <v>0</v>
      </c>
      <c r="AB10" s="284">
        <f t="shared" si="8"/>
        <v>0</v>
      </c>
      <c r="AC10" s="284">
        <f t="shared" si="8"/>
        <v>0</v>
      </c>
      <c r="AD10" s="284">
        <f t="shared" si="8"/>
        <v>0</v>
      </c>
      <c r="AE10" s="284">
        <f t="shared" si="8"/>
        <v>199829185651.13049</v>
      </c>
      <c r="AF10" s="284">
        <f t="shared" si="8"/>
        <v>5759364293.3790283</v>
      </c>
      <c r="AG10" s="284">
        <f t="shared" si="8"/>
        <v>5919253550.3398438</v>
      </c>
      <c r="AH10" s="284">
        <f t="shared" si="8"/>
        <v>6083768527.3786011</v>
      </c>
      <c r="AI10" s="284">
        <f t="shared" si="8"/>
        <v>6253057376.7445984</v>
      </c>
      <c r="AJ10" s="284">
        <f t="shared" si="8"/>
        <v>6427262452.324646</v>
      </c>
      <c r="AK10" s="284">
        <f t="shared" si="8"/>
        <v>6606530439.2267151</v>
      </c>
      <c r="AL10" s="284">
        <f t="shared" si="8"/>
        <v>6791012487.3973083</v>
      </c>
      <c r="AM10" s="284">
        <f t="shared" si="8"/>
        <v>6980864349.4000549</v>
      </c>
      <c r="AN10" s="284">
        <f t="shared" si="8"/>
        <v>7176246522.4852905</v>
      </c>
      <c r="AO10" s="284">
        <f t="shared" si="8"/>
        <v>7377324395.0842896</v>
      </c>
      <c r="AP10" s="284">
        <f t="shared" si="8"/>
        <v>7584268397.868042</v>
      </c>
      <c r="AQ10" s="284">
        <f t="shared" si="8"/>
        <v>7797244159.5129395</v>
      </c>
      <c r="AR10" s="284">
        <f>AR37</f>
        <v>0</v>
      </c>
      <c r="AS10" s="284">
        <f t="shared" ref="AS10:CA10" si="9">AS37</f>
        <v>0</v>
      </c>
      <c r="AT10" s="284">
        <f t="shared" si="9"/>
        <v>0</v>
      </c>
      <c r="AU10" s="284">
        <f t="shared" si="9"/>
        <v>0</v>
      </c>
      <c r="AV10" s="284">
        <f t="shared" si="9"/>
        <v>0</v>
      </c>
      <c r="AW10" s="284">
        <f t="shared" si="9"/>
        <v>0</v>
      </c>
      <c r="AX10" s="284">
        <f t="shared" si="9"/>
        <v>0</v>
      </c>
      <c r="AY10" s="284">
        <f t="shared" si="9"/>
        <v>0</v>
      </c>
      <c r="AZ10" s="284">
        <f t="shared" si="9"/>
        <v>0</v>
      </c>
      <c r="BA10" s="284">
        <f t="shared" si="9"/>
        <v>0</v>
      </c>
      <c r="BB10" s="284">
        <f t="shared" si="9"/>
        <v>0</v>
      </c>
      <c r="BC10" s="284">
        <f t="shared" si="9"/>
        <v>0</v>
      </c>
      <c r="BD10" s="284">
        <f t="shared" si="9"/>
        <v>0</v>
      </c>
      <c r="BE10" s="284">
        <f t="shared" si="9"/>
        <v>0</v>
      </c>
      <c r="BF10" s="284">
        <f t="shared" si="9"/>
        <v>0</v>
      </c>
      <c r="BG10" s="284">
        <f t="shared" si="9"/>
        <v>0</v>
      </c>
      <c r="BH10" s="284">
        <f t="shared" si="9"/>
        <v>0</v>
      </c>
      <c r="BI10" s="284">
        <f t="shared" si="9"/>
        <v>0</v>
      </c>
      <c r="BJ10" s="284">
        <f t="shared" si="9"/>
        <v>0</v>
      </c>
      <c r="BK10" s="284">
        <f t="shared" si="9"/>
        <v>0</v>
      </c>
      <c r="BL10" s="284">
        <f t="shared" si="9"/>
        <v>0</v>
      </c>
      <c r="BM10" s="284">
        <f t="shared" si="9"/>
        <v>0</v>
      </c>
      <c r="BN10" s="284">
        <f t="shared" si="9"/>
        <v>0</v>
      </c>
      <c r="BO10" s="284">
        <f t="shared" si="9"/>
        <v>551001726034.91833</v>
      </c>
      <c r="BP10" s="284">
        <f t="shared" si="9"/>
        <v>15727323508.631836</v>
      </c>
      <c r="BQ10" s="284">
        <f t="shared" si="9"/>
        <v>16180571797.012207</v>
      </c>
      <c r="BR10" s="284">
        <f t="shared" si="9"/>
        <v>16647285739.818237</v>
      </c>
      <c r="BS10" s="284">
        <f t="shared" si="9"/>
        <v>17127884413.553223</v>
      </c>
      <c r="BT10" s="284">
        <f t="shared" si="9"/>
        <v>17622789495.43811</v>
      </c>
      <c r="BU10" s="284">
        <f t="shared" si="9"/>
        <v>18132435655.369629</v>
      </c>
      <c r="BV10" s="284">
        <f t="shared" si="9"/>
        <v>18657270960.154907</v>
      </c>
      <c r="BW10" s="284">
        <f t="shared" si="9"/>
        <v>19197757290.398193</v>
      </c>
      <c r="BX10" s="284">
        <f t="shared" si="9"/>
        <v>19754370770.445923</v>
      </c>
      <c r="BY10" s="284">
        <f t="shared" si="9"/>
        <v>20327602211.796387</v>
      </c>
      <c r="BZ10" s="284">
        <f t="shared" si="9"/>
        <v>20917957570.39856</v>
      </c>
      <c r="CA10" s="284">
        <f t="shared" si="9"/>
        <v>21525948418.277588</v>
      </c>
      <c r="CB10" s="284">
        <f>CB37</f>
        <v>0</v>
      </c>
      <c r="CC10" s="284">
        <f t="shared" ref="CC10:DK10" si="10">CC37</f>
        <v>0</v>
      </c>
      <c r="CD10" s="284">
        <f t="shared" si="10"/>
        <v>0</v>
      </c>
      <c r="CE10" s="284">
        <f t="shared" si="10"/>
        <v>0</v>
      </c>
      <c r="CF10" s="284">
        <f t="shared" si="10"/>
        <v>0</v>
      </c>
      <c r="CG10" s="284">
        <f t="shared" si="10"/>
        <v>0</v>
      </c>
      <c r="CH10" s="284">
        <f t="shared" si="10"/>
        <v>0</v>
      </c>
      <c r="CI10" s="284">
        <f t="shared" si="10"/>
        <v>0</v>
      </c>
      <c r="CJ10" s="284">
        <f t="shared" si="10"/>
        <v>0</v>
      </c>
      <c r="CK10" s="284">
        <f t="shared" si="10"/>
        <v>0</v>
      </c>
      <c r="CL10" s="284">
        <f t="shared" si="10"/>
        <v>0</v>
      </c>
      <c r="CM10" s="284">
        <f t="shared" si="10"/>
        <v>0</v>
      </c>
      <c r="CN10" s="284">
        <f t="shared" si="10"/>
        <v>0</v>
      </c>
      <c r="CO10" s="284">
        <f t="shared" si="10"/>
        <v>0</v>
      </c>
      <c r="CP10" s="284">
        <f t="shared" si="10"/>
        <v>0</v>
      </c>
      <c r="CQ10" s="284">
        <f t="shared" si="10"/>
        <v>0</v>
      </c>
      <c r="CR10" s="284">
        <f t="shared" si="10"/>
        <v>0</v>
      </c>
      <c r="CS10" s="284">
        <f t="shared" si="10"/>
        <v>0</v>
      </c>
      <c r="CT10" s="284">
        <f t="shared" si="10"/>
        <v>0</v>
      </c>
      <c r="CU10" s="284">
        <f t="shared" si="10"/>
        <v>0</v>
      </c>
      <c r="CV10" s="284">
        <f t="shared" si="10"/>
        <v>0</v>
      </c>
      <c r="CW10" s="284">
        <f t="shared" si="10"/>
        <v>0</v>
      </c>
      <c r="CX10" s="284">
        <f t="shared" si="10"/>
        <v>0</v>
      </c>
      <c r="CY10" s="284">
        <f t="shared" si="10"/>
        <v>1528667807628.6167</v>
      </c>
      <c r="CZ10" s="284">
        <f t="shared" si="10"/>
        <v>44371911835.364258</v>
      </c>
      <c r="DA10" s="284">
        <f t="shared" si="10"/>
        <v>45686551518.446777</v>
      </c>
      <c r="DB10" s="284">
        <f t="shared" si="10"/>
        <v>47041016255.569092</v>
      </c>
      <c r="DC10" s="284">
        <f t="shared" si="10"/>
        <v>48436541475.465576</v>
      </c>
      <c r="DD10" s="284">
        <f t="shared" si="10"/>
        <v>49874390692.313965</v>
      </c>
      <c r="DE10" s="284">
        <f t="shared" si="10"/>
        <v>51355866697.430664</v>
      </c>
      <c r="DF10" s="284">
        <f t="shared" si="10"/>
        <v>52882312788.418945</v>
      </c>
      <c r="DG10" s="284">
        <f t="shared" si="10"/>
        <v>54455114036.949707</v>
      </c>
      <c r="DH10" s="284">
        <f t="shared" si="10"/>
        <v>56075698596.391602</v>
      </c>
      <c r="DI10" s="284">
        <f t="shared" si="10"/>
        <v>57745539050.555176</v>
      </c>
      <c r="DJ10" s="284">
        <f t="shared" si="10"/>
        <v>59466153804.831055</v>
      </c>
      <c r="DK10" s="284">
        <f t="shared" si="10"/>
        <v>61239098521.067383</v>
      </c>
      <c r="DL10" s="284">
        <f>DL37</f>
        <v>0</v>
      </c>
      <c r="DM10" s="284">
        <f t="shared" ref="DM10:DW10" si="11">DM37</f>
        <v>0</v>
      </c>
      <c r="DN10" s="284">
        <f t="shared" si="11"/>
        <v>0</v>
      </c>
      <c r="DO10" s="284">
        <f t="shared" si="11"/>
        <v>0</v>
      </c>
      <c r="DP10" s="284">
        <f t="shared" si="11"/>
        <v>0</v>
      </c>
      <c r="DQ10" s="284">
        <f t="shared" si="11"/>
        <v>0</v>
      </c>
      <c r="DR10" s="284">
        <f t="shared" si="11"/>
        <v>0</v>
      </c>
      <c r="DS10" s="284">
        <f t="shared" si="11"/>
        <v>0</v>
      </c>
      <c r="DT10" s="284">
        <f t="shared" si="11"/>
        <v>0</v>
      </c>
      <c r="DU10" s="284">
        <f t="shared" si="11"/>
        <v>0</v>
      </c>
      <c r="DV10" s="284">
        <f t="shared" si="11"/>
        <v>0</v>
      </c>
      <c r="DW10" s="284">
        <f t="shared" si="11"/>
        <v>0</v>
      </c>
    </row>
    <row r="13" spans="2:127">
      <c r="B13" s="400" t="s">
        <v>174</v>
      </c>
      <c r="C13" s="400"/>
      <c r="D13" s="400"/>
      <c r="E13" s="400"/>
      <c r="H13" s="263"/>
      <c r="I13" s="263"/>
      <c r="J13" s="263"/>
      <c r="K13" s="263"/>
      <c r="L13" s="263"/>
      <c r="M13" s="263"/>
      <c r="N13" s="263"/>
      <c r="O13" s="263"/>
      <c r="P13" s="263"/>
      <c r="Q13" s="263"/>
      <c r="R13" s="263"/>
      <c r="S13" s="263"/>
      <c r="T13" s="263"/>
      <c r="U13" s="263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3"/>
      <c r="AO13" s="263"/>
      <c r="AP13" s="263"/>
      <c r="AQ13" s="263"/>
      <c r="AR13" s="263"/>
      <c r="AS13" s="263"/>
      <c r="AT13" s="263"/>
      <c r="AU13" s="263"/>
      <c r="AV13" s="263"/>
      <c r="AW13" s="263"/>
      <c r="AX13" s="263"/>
      <c r="AY13" s="263"/>
      <c r="AZ13" s="263"/>
      <c r="BA13" s="263"/>
      <c r="BB13" s="263"/>
      <c r="BC13" s="263"/>
      <c r="BD13" s="263"/>
      <c r="BE13" s="263"/>
      <c r="BF13" s="263"/>
      <c r="BG13" s="263"/>
      <c r="BH13" s="263"/>
      <c r="BI13" s="263"/>
      <c r="BJ13" s="263"/>
      <c r="BK13" s="263"/>
      <c r="BL13" s="263"/>
      <c r="BM13" s="263"/>
      <c r="BN13" s="263"/>
      <c r="BO13" s="263"/>
      <c r="BP13" s="263"/>
      <c r="BQ13" s="263"/>
      <c r="BR13" s="263"/>
      <c r="BS13" s="263"/>
      <c r="BT13" s="263"/>
      <c r="BU13" s="263"/>
      <c r="BV13" s="263"/>
      <c r="BW13" s="263"/>
      <c r="BX13" s="263"/>
      <c r="BY13" s="263"/>
      <c r="BZ13" s="263"/>
      <c r="CA13" s="263"/>
      <c r="CB13" s="263"/>
      <c r="CC13" s="263"/>
      <c r="CD13" s="263"/>
      <c r="CE13" s="263"/>
      <c r="CF13" s="263"/>
      <c r="CG13" s="263"/>
      <c r="CH13" s="263"/>
      <c r="CI13" s="263"/>
      <c r="CJ13" s="263"/>
      <c r="CK13" s="263"/>
      <c r="CL13" s="263"/>
      <c r="CM13" s="263"/>
      <c r="CN13" s="263"/>
      <c r="CO13" s="263"/>
      <c r="CP13" s="263"/>
      <c r="CQ13" s="263"/>
      <c r="CR13" s="263"/>
      <c r="CS13" s="263"/>
      <c r="CT13" s="263"/>
      <c r="CU13" s="263"/>
      <c r="CV13" s="263"/>
      <c r="CW13" s="263"/>
      <c r="CX13" s="263"/>
      <c r="CY13" s="263"/>
      <c r="CZ13" s="263"/>
      <c r="DA13" s="263"/>
      <c r="DB13" s="263"/>
      <c r="DC13" s="263"/>
      <c r="DD13" s="263"/>
      <c r="DE13" s="263"/>
      <c r="DF13" s="263"/>
      <c r="DG13" s="263"/>
      <c r="DH13" s="263"/>
      <c r="DI13" s="263"/>
      <c r="DJ13" s="263"/>
      <c r="DK13" s="263"/>
      <c r="DL13" s="263"/>
      <c r="DM13" s="263"/>
      <c r="DN13" s="263"/>
      <c r="DO13" s="263"/>
      <c r="DP13" s="263"/>
      <c r="DQ13" s="263"/>
      <c r="DR13" s="263"/>
      <c r="DS13" s="263"/>
      <c r="DT13" s="263"/>
      <c r="DU13" s="263"/>
      <c r="DV13" s="263"/>
      <c r="DW13" s="263"/>
    </row>
    <row r="14" spans="2:127">
      <c r="B14" s="285"/>
      <c r="C14" s="285"/>
      <c r="D14" s="285"/>
      <c r="E14" s="285"/>
      <c r="H14" s="263"/>
      <c r="I14" s="263"/>
      <c r="J14" s="263"/>
      <c r="K14" s="263"/>
      <c r="L14" s="263"/>
      <c r="M14" s="263"/>
      <c r="N14" s="263"/>
      <c r="O14" s="263"/>
      <c r="P14" s="263"/>
      <c r="Q14" s="263"/>
      <c r="R14" s="263"/>
      <c r="S14" s="263"/>
      <c r="T14" s="263"/>
      <c r="U14" s="263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3"/>
      <c r="AO14" s="263"/>
      <c r="AP14" s="263"/>
      <c r="AQ14" s="263"/>
      <c r="AR14" s="263"/>
      <c r="AS14" s="263"/>
      <c r="AT14" s="263"/>
      <c r="AU14" s="263"/>
      <c r="AV14" s="263"/>
      <c r="AW14" s="263"/>
      <c r="AX14" s="263"/>
      <c r="AY14" s="263"/>
      <c r="AZ14" s="263"/>
      <c r="BA14" s="263"/>
      <c r="BB14" s="263"/>
      <c r="BC14" s="263"/>
      <c r="BD14" s="263"/>
      <c r="BE14" s="263"/>
      <c r="BF14" s="263"/>
      <c r="BG14" s="263"/>
      <c r="BH14" s="263"/>
      <c r="BI14" s="263"/>
      <c r="BJ14" s="263"/>
      <c r="BK14" s="263"/>
      <c r="BL14" s="263"/>
      <c r="BM14" s="263"/>
      <c r="BN14" s="263"/>
      <c r="BO14" s="263"/>
      <c r="BP14" s="263"/>
      <c r="BQ14" s="263"/>
      <c r="BR14" s="263"/>
      <c r="BS14" s="263"/>
      <c r="BT14" s="263"/>
      <c r="BU14" s="263"/>
      <c r="BV14" s="263"/>
      <c r="BW14" s="263"/>
      <c r="BX14" s="263"/>
      <c r="BY14" s="263"/>
      <c r="BZ14" s="263"/>
      <c r="CA14" s="263"/>
      <c r="CB14" s="263"/>
      <c r="CC14" s="263"/>
      <c r="CD14" s="263"/>
      <c r="CE14" s="263"/>
      <c r="CF14" s="263"/>
      <c r="CG14" s="263"/>
      <c r="CH14" s="263"/>
      <c r="CI14" s="263"/>
      <c r="CJ14" s="263"/>
      <c r="CK14" s="263"/>
      <c r="CL14" s="263"/>
      <c r="CM14" s="263"/>
      <c r="CN14" s="263"/>
      <c r="CO14" s="263"/>
      <c r="CP14" s="263"/>
      <c r="CQ14" s="263"/>
      <c r="CR14" s="263"/>
      <c r="CS14" s="263"/>
      <c r="CT14" s="263"/>
      <c r="CU14" s="263"/>
      <c r="CV14" s="263"/>
      <c r="CW14" s="263"/>
      <c r="CX14" s="263"/>
      <c r="CY14" s="263"/>
      <c r="CZ14" s="263"/>
      <c r="DA14" s="263"/>
      <c r="DB14" s="263"/>
      <c r="DC14" s="263"/>
      <c r="DD14" s="263"/>
      <c r="DE14" s="263"/>
      <c r="DF14" s="263"/>
      <c r="DG14" s="263"/>
      <c r="DH14" s="263"/>
      <c r="DI14" s="263"/>
      <c r="DJ14" s="263"/>
      <c r="DK14" s="263"/>
      <c r="DL14" s="263"/>
      <c r="DM14" s="263"/>
      <c r="DN14" s="263"/>
      <c r="DO14" s="263"/>
      <c r="DP14" s="263"/>
      <c r="DQ14" s="263"/>
      <c r="DR14" s="263"/>
      <c r="DS14" s="263"/>
      <c r="DT14" s="263"/>
      <c r="DU14" s="263"/>
      <c r="DV14" s="263"/>
      <c r="DW14" s="263"/>
    </row>
    <row r="15" spans="2:127" ht="10">
      <c r="B15" s="401" t="s">
        <v>175</v>
      </c>
      <c r="C15" s="402"/>
      <c r="D15" s="402"/>
      <c r="E15" s="403"/>
      <c r="F15" s="286" t="s">
        <v>35</v>
      </c>
      <c r="G15" s="287"/>
      <c r="H15" s="288">
        <f>'Исходные данные'!F38</f>
        <v>276961520</v>
      </c>
      <c r="I15" s="288">
        <f>'Исходные данные'!G38</f>
        <v>0</v>
      </c>
      <c r="J15" s="288">
        <f>'Исходные данные'!H38</f>
        <v>0</v>
      </c>
      <c r="K15" s="288">
        <f>'Исходные данные'!I38</f>
        <v>0</v>
      </c>
      <c r="L15" s="288">
        <f>'Исходные данные'!J38</f>
        <v>0</v>
      </c>
      <c r="M15" s="288">
        <f>'Исходные данные'!K38</f>
        <v>0</v>
      </c>
      <c r="N15" s="288">
        <f>'Исходные данные'!L38</f>
        <v>0</v>
      </c>
      <c r="O15" s="288">
        <f>'Исходные данные'!M38</f>
        <v>0</v>
      </c>
      <c r="P15" s="288">
        <f>'Исходные данные'!N38</f>
        <v>0</v>
      </c>
      <c r="Q15" s="288">
        <f>'Исходные данные'!O38</f>
        <v>0</v>
      </c>
      <c r="R15" s="288">
        <f>'Исходные данные'!P38</f>
        <v>0</v>
      </c>
      <c r="S15" s="288">
        <f>'Исходные данные'!Q38</f>
        <v>0</v>
      </c>
      <c r="T15" s="288">
        <f>'Исходные данные'!R38</f>
        <v>0</v>
      </c>
      <c r="U15" s="288">
        <f>'Исходные данные'!S38</f>
        <v>0</v>
      </c>
      <c r="V15" s="288">
        <f>'Исходные данные'!T38</f>
        <v>0</v>
      </c>
      <c r="W15" s="288">
        <f>'Исходные данные'!U38</f>
        <v>0</v>
      </c>
      <c r="X15" s="288">
        <f>'Исходные данные'!V38</f>
        <v>0</v>
      </c>
      <c r="Y15" s="288">
        <f>'Исходные данные'!W38</f>
        <v>0</v>
      </c>
      <c r="Z15" s="288">
        <f>'Исходные данные'!X38</f>
        <v>0</v>
      </c>
      <c r="AA15" s="288">
        <f>'Исходные данные'!Y38</f>
        <v>0</v>
      </c>
      <c r="AB15" s="288">
        <f>'Исходные данные'!Z38</f>
        <v>0</v>
      </c>
      <c r="AC15" s="288">
        <f>'Исходные данные'!AA38</f>
        <v>0</v>
      </c>
      <c r="AD15" s="288">
        <f>'Исходные данные'!AB38</f>
        <v>0</v>
      </c>
      <c r="AE15" s="288">
        <f>'Исходные данные'!AC38</f>
        <v>0</v>
      </c>
      <c r="AF15" s="288">
        <f>'Исходные данные'!AD38</f>
        <v>0</v>
      </c>
      <c r="AG15" s="288">
        <f>'Исходные данные'!AE38</f>
        <v>0</v>
      </c>
      <c r="AH15" s="288">
        <f>'Исходные данные'!AF38</f>
        <v>0</v>
      </c>
      <c r="AI15" s="288">
        <f>'Исходные данные'!AG38</f>
        <v>0</v>
      </c>
      <c r="AJ15" s="288">
        <f>'Исходные данные'!AH38</f>
        <v>0</v>
      </c>
      <c r="AK15" s="288">
        <f>'Исходные данные'!AI38</f>
        <v>0</v>
      </c>
      <c r="AL15" s="288">
        <f>'Исходные данные'!AJ38</f>
        <v>0</v>
      </c>
      <c r="AM15" s="288">
        <f>'Исходные данные'!AK38</f>
        <v>0</v>
      </c>
      <c r="AN15" s="288">
        <f>'Исходные данные'!AL38</f>
        <v>0</v>
      </c>
      <c r="AO15" s="288">
        <f>'Исходные данные'!AM38</f>
        <v>0</v>
      </c>
      <c r="AP15" s="288">
        <f>'Исходные данные'!AN38</f>
        <v>0</v>
      </c>
      <c r="AQ15" s="288">
        <f>'Исходные данные'!AO38</f>
        <v>0</v>
      </c>
      <c r="AR15" s="288">
        <f>'Исходные данные'!AP38</f>
        <v>0</v>
      </c>
      <c r="AS15" s="288">
        <f>'Исходные данные'!AQ38</f>
        <v>0</v>
      </c>
      <c r="AT15" s="288">
        <f>'Исходные данные'!AR38</f>
        <v>0</v>
      </c>
      <c r="AU15" s="288">
        <f>'Исходные данные'!AS38</f>
        <v>0</v>
      </c>
      <c r="AV15" s="288">
        <f>'Исходные данные'!AT38</f>
        <v>0</v>
      </c>
      <c r="AW15" s="288">
        <f>'Исходные данные'!AU38</f>
        <v>0</v>
      </c>
      <c r="AX15" s="288">
        <f>'Исходные данные'!AV38</f>
        <v>0</v>
      </c>
      <c r="AY15" s="288">
        <f>'Исходные данные'!AW38</f>
        <v>0</v>
      </c>
      <c r="AZ15" s="288">
        <f>'Исходные данные'!AX38</f>
        <v>0</v>
      </c>
      <c r="BA15" s="288">
        <f>'Исходные данные'!AY38</f>
        <v>0</v>
      </c>
      <c r="BB15" s="288">
        <f>'Исходные данные'!AZ38</f>
        <v>0</v>
      </c>
      <c r="BC15" s="288">
        <f>'Исходные данные'!BA38</f>
        <v>0</v>
      </c>
      <c r="BD15" s="288">
        <f>'Исходные данные'!BB38</f>
        <v>0</v>
      </c>
      <c r="BE15" s="288">
        <f>'Исходные данные'!BC38</f>
        <v>0</v>
      </c>
      <c r="BF15" s="288">
        <f>'Исходные данные'!BD38</f>
        <v>0</v>
      </c>
      <c r="BG15" s="288">
        <f>'Исходные данные'!BE38</f>
        <v>0</v>
      </c>
      <c r="BH15" s="288">
        <f>'Исходные данные'!BF38</f>
        <v>0</v>
      </c>
      <c r="BI15" s="288">
        <f>'Исходные данные'!BG38</f>
        <v>0</v>
      </c>
      <c r="BJ15" s="288">
        <f>'Исходные данные'!BH38</f>
        <v>0</v>
      </c>
      <c r="BK15" s="288">
        <f>'Исходные данные'!BI38</f>
        <v>0</v>
      </c>
      <c r="BL15" s="288">
        <f>'Исходные данные'!BJ38</f>
        <v>0</v>
      </c>
      <c r="BM15" s="288">
        <f>'Исходные данные'!BK38</f>
        <v>0</v>
      </c>
      <c r="BN15" s="288">
        <f>'Исходные данные'!BL38</f>
        <v>0</v>
      </c>
      <c r="BO15" s="288">
        <f>'Исходные данные'!BM38</f>
        <v>0</v>
      </c>
      <c r="BP15" s="288">
        <f>'Исходные данные'!BN38</f>
        <v>0</v>
      </c>
      <c r="BQ15" s="288">
        <f>'Исходные данные'!BO38</f>
        <v>0</v>
      </c>
      <c r="BR15" s="288">
        <f>'Исходные данные'!BP38</f>
        <v>0</v>
      </c>
      <c r="BS15" s="288">
        <f>'Исходные данные'!BQ38</f>
        <v>0</v>
      </c>
      <c r="BT15" s="288">
        <f>'Исходные данные'!BR38</f>
        <v>0</v>
      </c>
      <c r="BU15" s="288">
        <f>'Исходные данные'!BS38</f>
        <v>0</v>
      </c>
      <c r="BV15" s="288">
        <f>'Исходные данные'!BT38</f>
        <v>0</v>
      </c>
      <c r="BW15" s="288">
        <f>'Исходные данные'!BU38</f>
        <v>0</v>
      </c>
      <c r="BX15" s="288">
        <f>'Исходные данные'!BV38</f>
        <v>0</v>
      </c>
      <c r="BY15" s="288">
        <f>'Исходные данные'!BW38</f>
        <v>0</v>
      </c>
      <c r="BZ15" s="288">
        <f>'Исходные данные'!BX38</f>
        <v>0</v>
      </c>
      <c r="CA15" s="288">
        <f>'Исходные данные'!BY38</f>
        <v>0</v>
      </c>
      <c r="CB15" s="288">
        <f>'Исходные данные'!BZ38</f>
        <v>0</v>
      </c>
      <c r="CC15" s="288">
        <f>'Исходные данные'!CA38</f>
        <v>0</v>
      </c>
      <c r="CD15" s="288">
        <f>'Исходные данные'!CB38</f>
        <v>0</v>
      </c>
      <c r="CE15" s="288">
        <f>'Исходные данные'!CC38</f>
        <v>0</v>
      </c>
      <c r="CF15" s="288">
        <f>'Исходные данные'!CD38</f>
        <v>0</v>
      </c>
      <c r="CG15" s="288">
        <f>'Исходные данные'!CE38</f>
        <v>0</v>
      </c>
      <c r="CH15" s="288">
        <f>'Исходные данные'!CF38</f>
        <v>0</v>
      </c>
      <c r="CI15" s="288">
        <f>'Исходные данные'!CG38</f>
        <v>0</v>
      </c>
      <c r="CJ15" s="288">
        <f>'Исходные данные'!CH38</f>
        <v>0</v>
      </c>
      <c r="CK15" s="288">
        <f>'Исходные данные'!CI38</f>
        <v>0</v>
      </c>
      <c r="CL15" s="288">
        <f>'Исходные данные'!CJ38</f>
        <v>0</v>
      </c>
      <c r="CM15" s="288">
        <f>'Исходные данные'!CK38</f>
        <v>0</v>
      </c>
      <c r="CN15" s="288">
        <f>'Исходные данные'!CL38</f>
        <v>0</v>
      </c>
      <c r="CO15" s="288">
        <f>'Исходные данные'!CM38</f>
        <v>0</v>
      </c>
      <c r="CP15" s="288">
        <f>'Исходные данные'!CN38</f>
        <v>0</v>
      </c>
      <c r="CQ15" s="288">
        <f>'Исходные данные'!CO38</f>
        <v>0</v>
      </c>
      <c r="CR15" s="288">
        <f>'Исходные данные'!CP38</f>
        <v>0</v>
      </c>
      <c r="CS15" s="288">
        <f>'Исходные данные'!CQ38</f>
        <v>0</v>
      </c>
      <c r="CT15" s="288">
        <f>'Исходные данные'!CR38</f>
        <v>0</v>
      </c>
      <c r="CU15" s="288">
        <f>'Исходные данные'!CS38</f>
        <v>0</v>
      </c>
      <c r="CV15" s="288">
        <f>'Исходные данные'!CT38</f>
        <v>0</v>
      </c>
      <c r="CW15" s="288">
        <f>'Исходные данные'!CU38</f>
        <v>0</v>
      </c>
      <c r="CX15" s="288">
        <f>'Исходные данные'!CV38</f>
        <v>0</v>
      </c>
      <c r="CY15" s="288">
        <f>'Исходные данные'!CW38</f>
        <v>0</v>
      </c>
      <c r="CZ15" s="288">
        <f>'Исходные данные'!CX38</f>
        <v>0</v>
      </c>
      <c r="DA15" s="288">
        <f>'Исходные данные'!CY38</f>
        <v>0</v>
      </c>
      <c r="DB15" s="288">
        <f>'Исходные данные'!CZ38</f>
        <v>0</v>
      </c>
      <c r="DC15" s="288">
        <f>'Исходные данные'!DA38</f>
        <v>0</v>
      </c>
      <c r="DD15" s="288">
        <f>'Исходные данные'!DB38</f>
        <v>0</v>
      </c>
      <c r="DE15" s="288">
        <f>'Исходные данные'!DC38</f>
        <v>0</v>
      </c>
      <c r="DF15" s="288">
        <f>'Исходные данные'!DD38</f>
        <v>0</v>
      </c>
      <c r="DG15" s="288">
        <f>'Исходные данные'!DE38</f>
        <v>0</v>
      </c>
      <c r="DH15" s="288">
        <f>'Исходные данные'!DF38</f>
        <v>0</v>
      </c>
      <c r="DI15" s="288">
        <f>'Исходные данные'!DG38</f>
        <v>0</v>
      </c>
      <c r="DJ15" s="288">
        <f>'Исходные данные'!DH38</f>
        <v>0</v>
      </c>
      <c r="DK15" s="288">
        <f>'Исходные данные'!DI38</f>
        <v>0</v>
      </c>
      <c r="DL15" s="288">
        <f>'Исходные данные'!DJ38</f>
        <v>0</v>
      </c>
      <c r="DM15" s="288">
        <f>'Исходные данные'!DK38</f>
        <v>0</v>
      </c>
      <c r="DN15" s="288">
        <f>'Исходные данные'!DL38</f>
        <v>0</v>
      </c>
      <c r="DO15" s="288">
        <f>'Исходные данные'!DM38</f>
        <v>0</v>
      </c>
      <c r="DP15" s="288">
        <f>'Исходные данные'!DN38</f>
        <v>0</v>
      </c>
      <c r="DQ15" s="288">
        <f>'Исходные данные'!DO38</f>
        <v>0</v>
      </c>
      <c r="DR15" s="288">
        <f>'Исходные данные'!DP38</f>
        <v>0</v>
      </c>
      <c r="DS15" s="288">
        <f>'Исходные данные'!DQ38</f>
        <v>0</v>
      </c>
      <c r="DT15" s="288">
        <f>'Исходные данные'!DR38</f>
        <v>0</v>
      </c>
      <c r="DU15" s="288">
        <f>'Исходные данные'!DS38</f>
        <v>0</v>
      </c>
      <c r="DV15" s="288">
        <f>'Исходные данные'!DT38</f>
        <v>0</v>
      </c>
      <c r="DW15" s="288">
        <f>'Исходные данные'!DU38</f>
        <v>0</v>
      </c>
    </row>
    <row r="16" spans="2:127" ht="10">
      <c r="B16" s="289"/>
      <c r="C16" s="290"/>
      <c r="D16" s="290"/>
      <c r="E16" s="290"/>
      <c r="F16" s="290"/>
      <c r="G16" s="290"/>
      <c r="H16" s="263"/>
      <c r="I16" s="263"/>
      <c r="J16" s="263"/>
      <c r="K16" s="263"/>
      <c r="L16" s="263"/>
      <c r="M16" s="263"/>
      <c r="N16" s="263"/>
      <c r="O16" s="263"/>
      <c r="P16" s="263"/>
      <c r="Q16" s="263"/>
      <c r="R16" s="263"/>
      <c r="S16" s="263"/>
      <c r="T16" s="263"/>
      <c r="U16" s="263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3"/>
      <c r="AO16" s="263"/>
      <c r="AP16" s="263"/>
      <c r="AQ16" s="263"/>
      <c r="AR16" s="263"/>
      <c r="AS16" s="263"/>
      <c r="AT16" s="263"/>
      <c r="AU16" s="263"/>
      <c r="AV16" s="263"/>
      <c r="AW16" s="263"/>
      <c r="AX16" s="263"/>
      <c r="AY16" s="263"/>
      <c r="AZ16" s="263"/>
      <c r="BA16" s="263"/>
      <c r="BB16" s="263"/>
      <c r="BC16" s="263"/>
      <c r="BD16" s="263"/>
      <c r="BE16" s="263"/>
      <c r="BF16" s="263"/>
      <c r="BG16" s="263"/>
      <c r="BH16" s="263"/>
      <c r="BI16" s="263"/>
      <c r="BJ16" s="263"/>
      <c r="BK16" s="263"/>
      <c r="BL16" s="263"/>
      <c r="BM16" s="263"/>
      <c r="BN16" s="263"/>
      <c r="BO16" s="263"/>
      <c r="BP16" s="263"/>
      <c r="BQ16" s="263"/>
      <c r="BR16" s="263"/>
      <c r="BS16" s="263"/>
      <c r="BT16" s="263"/>
      <c r="BU16" s="263"/>
      <c r="BV16" s="263"/>
      <c r="BW16" s="263"/>
      <c r="BX16" s="263"/>
      <c r="BY16" s="263"/>
      <c r="BZ16" s="263"/>
      <c r="CA16" s="263"/>
      <c r="CB16" s="263"/>
      <c r="CC16" s="263"/>
      <c r="CD16" s="263"/>
      <c r="CE16" s="263"/>
      <c r="CF16" s="263"/>
      <c r="CG16" s="263"/>
      <c r="CH16" s="263"/>
      <c r="CI16" s="263"/>
      <c r="CJ16" s="263"/>
      <c r="CK16" s="263"/>
      <c r="CL16" s="263"/>
      <c r="CM16" s="263"/>
      <c r="CN16" s="263"/>
      <c r="CO16" s="263"/>
      <c r="CP16" s="263"/>
      <c r="CQ16" s="263"/>
      <c r="CR16" s="263"/>
      <c r="CS16" s="263"/>
      <c r="CT16" s="263"/>
      <c r="CU16" s="263"/>
      <c r="CV16" s="263"/>
      <c r="CW16" s="263"/>
      <c r="CX16" s="263"/>
      <c r="CY16" s="263"/>
      <c r="CZ16" s="263"/>
      <c r="DA16" s="263"/>
      <c r="DB16" s="263"/>
      <c r="DC16" s="263"/>
      <c r="DD16" s="263"/>
      <c r="DE16" s="263"/>
      <c r="DF16" s="263"/>
      <c r="DG16" s="263"/>
      <c r="DH16" s="263"/>
      <c r="DI16" s="263"/>
      <c r="DJ16" s="263"/>
      <c r="DK16" s="263"/>
      <c r="DL16" s="263"/>
      <c r="DM16" s="263"/>
      <c r="DN16" s="263"/>
      <c r="DO16" s="263"/>
      <c r="DP16" s="263"/>
      <c r="DQ16" s="263"/>
      <c r="DR16" s="263"/>
      <c r="DS16" s="263"/>
      <c r="DT16" s="263"/>
      <c r="DU16" s="263"/>
      <c r="DV16" s="263"/>
      <c r="DW16" s="263"/>
    </row>
    <row r="17" spans="1:128" ht="10">
      <c r="B17" s="399" t="s">
        <v>176</v>
      </c>
      <c r="C17" s="399"/>
      <c r="D17" s="399"/>
      <c r="E17" s="399"/>
      <c r="F17" s="256" t="s">
        <v>35</v>
      </c>
      <c r="G17" s="253"/>
      <c r="H17" s="263"/>
      <c r="I17" s="263"/>
      <c r="J17" s="263"/>
      <c r="K17" s="263"/>
      <c r="L17" s="263"/>
      <c r="M17" s="263"/>
      <c r="N17" s="263"/>
      <c r="O17" s="263"/>
      <c r="P17" s="263"/>
      <c r="Q17" s="263"/>
      <c r="R17" s="263"/>
      <c r="S17" s="263"/>
      <c r="T17" s="263"/>
      <c r="U17" s="263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3"/>
      <c r="AO17" s="263"/>
      <c r="AP17" s="263"/>
      <c r="AQ17" s="263"/>
      <c r="AR17" s="263"/>
      <c r="AS17" s="263"/>
      <c r="AT17" s="263"/>
      <c r="AU17" s="263"/>
      <c r="AV17" s="263"/>
      <c r="AW17" s="263"/>
      <c r="AX17" s="263"/>
      <c r="AY17" s="263"/>
      <c r="AZ17" s="263"/>
      <c r="BA17" s="263"/>
      <c r="BB17" s="263"/>
      <c r="BC17" s="263"/>
      <c r="BD17" s="263"/>
      <c r="BE17" s="263"/>
      <c r="BF17" s="263"/>
      <c r="BG17" s="263"/>
      <c r="BH17" s="263"/>
      <c r="BI17" s="263"/>
      <c r="BJ17" s="263"/>
      <c r="BK17" s="263"/>
      <c r="BL17" s="263"/>
      <c r="BM17" s="263"/>
      <c r="BN17" s="263"/>
      <c r="BO17" s="263"/>
      <c r="BP17" s="263"/>
      <c r="BQ17" s="263"/>
      <c r="BR17" s="263"/>
      <c r="BS17" s="263"/>
      <c r="BT17" s="263"/>
      <c r="BU17" s="263"/>
      <c r="BV17" s="263"/>
      <c r="BW17" s="263"/>
      <c r="BX17" s="263"/>
      <c r="BY17" s="263"/>
      <c r="BZ17" s="263"/>
      <c r="CA17" s="263"/>
      <c r="CB17" s="263"/>
      <c r="CC17" s="263"/>
      <c r="CD17" s="263"/>
      <c r="CE17" s="263"/>
      <c r="CF17" s="263"/>
      <c r="CG17" s="263"/>
      <c r="CH17" s="263"/>
      <c r="CI17" s="263"/>
      <c r="CJ17" s="263"/>
      <c r="CK17" s="263"/>
      <c r="CL17" s="263"/>
      <c r="CM17" s="263"/>
      <c r="CN17" s="263"/>
      <c r="CO17" s="263"/>
      <c r="CP17" s="263"/>
      <c r="CQ17" s="263"/>
      <c r="CR17" s="263"/>
      <c r="CS17" s="263"/>
      <c r="CT17" s="263"/>
      <c r="CU17" s="263"/>
      <c r="CV17" s="263"/>
      <c r="CW17" s="263"/>
      <c r="CX17" s="263"/>
      <c r="CY17" s="263"/>
      <c r="CZ17" s="263"/>
      <c r="DA17" s="263"/>
      <c r="DB17" s="263"/>
      <c r="DC17" s="263"/>
      <c r="DD17" s="263"/>
      <c r="DE17" s="263"/>
      <c r="DF17" s="263"/>
      <c r="DG17" s="263"/>
      <c r="DH17" s="263"/>
      <c r="DI17" s="263"/>
      <c r="DJ17" s="263"/>
      <c r="DK17" s="263"/>
      <c r="DL17" s="263"/>
      <c r="DM17" s="263"/>
      <c r="DN17" s="263"/>
      <c r="DO17" s="263"/>
      <c r="DP17" s="263"/>
      <c r="DQ17" s="263"/>
      <c r="DR17" s="263"/>
      <c r="DS17" s="263"/>
      <c r="DT17" s="263"/>
      <c r="DU17" s="263"/>
      <c r="DV17" s="263"/>
      <c r="DW17" s="263"/>
    </row>
    <row r="18" spans="1:128" ht="10">
      <c r="B18" s="399" t="s">
        <v>177</v>
      </c>
      <c r="C18" s="399"/>
      <c r="D18" s="399"/>
      <c r="E18" s="399"/>
      <c r="F18" s="256" t="s">
        <v>35</v>
      </c>
      <c r="G18" s="291">
        <f t="shared" ref="G18:G29" si="12">SUM(H18:AQ18)</f>
        <v>0</v>
      </c>
      <c r="H18" s="264">
        <f>IF(H20&lt;0,-H20,0)</f>
        <v>0</v>
      </c>
      <c r="I18" s="264">
        <f t="shared" ref="I18:AQ18" si="13">IF(I20&lt;0,-I20,0)</f>
        <v>0</v>
      </c>
      <c r="J18" s="264">
        <f t="shared" si="13"/>
        <v>0</v>
      </c>
      <c r="K18" s="264">
        <f t="shared" si="13"/>
        <v>0</v>
      </c>
      <c r="L18" s="264">
        <f t="shared" si="13"/>
        <v>0</v>
      </c>
      <c r="M18" s="264">
        <f t="shared" si="13"/>
        <v>0</v>
      </c>
      <c r="N18" s="264">
        <f t="shared" si="13"/>
        <v>0</v>
      </c>
      <c r="O18" s="264">
        <f t="shared" si="13"/>
        <v>0</v>
      </c>
      <c r="P18" s="264">
        <f t="shared" si="13"/>
        <v>0</v>
      </c>
      <c r="Q18" s="264">
        <f t="shared" si="13"/>
        <v>0</v>
      </c>
      <c r="R18" s="264">
        <f t="shared" si="13"/>
        <v>0</v>
      </c>
      <c r="S18" s="264">
        <f t="shared" si="13"/>
        <v>0</v>
      </c>
      <c r="T18" s="264">
        <f t="shared" si="13"/>
        <v>0</v>
      </c>
      <c r="U18" s="264">
        <f t="shared" si="13"/>
        <v>0</v>
      </c>
      <c r="V18" s="264">
        <f t="shared" si="13"/>
        <v>0</v>
      </c>
      <c r="W18" s="264">
        <f t="shared" si="13"/>
        <v>0</v>
      </c>
      <c r="X18" s="264">
        <f t="shared" si="13"/>
        <v>0</v>
      </c>
      <c r="Y18" s="264">
        <f t="shared" si="13"/>
        <v>0</v>
      </c>
      <c r="Z18" s="264">
        <f t="shared" si="13"/>
        <v>0</v>
      </c>
      <c r="AA18" s="264">
        <f t="shared" si="13"/>
        <v>0</v>
      </c>
      <c r="AB18" s="264">
        <f t="shared" si="13"/>
        <v>0</v>
      </c>
      <c r="AC18" s="264">
        <f t="shared" si="13"/>
        <v>0</v>
      </c>
      <c r="AD18" s="264">
        <f t="shared" si="13"/>
        <v>0</v>
      </c>
      <c r="AE18" s="264">
        <f t="shared" si="13"/>
        <v>0</v>
      </c>
      <c r="AF18" s="264">
        <f t="shared" si="13"/>
        <v>0</v>
      </c>
      <c r="AG18" s="264">
        <f t="shared" si="13"/>
        <v>0</v>
      </c>
      <c r="AH18" s="264">
        <f t="shared" si="13"/>
        <v>0</v>
      </c>
      <c r="AI18" s="264">
        <f t="shared" si="13"/>
        <v>0</v>
      </c>
      <c r="AJ18" s="264">
        <f t="shared" si="13"/>
        <v>0</v>
      </c>
      <c r="AK18" s="264">
        <f t="shared" si="13"/>
        <v>0</v>
      </c>
      <c r="AL18" s="264">
        <f t="shared" si="13"/>
        <v>0</v>
      </c>
      <c r="AM18" s="264">
        <f t="shared" si="13"/>
        <v>0</v>
      </c>
      <c r="AN18" s="264">
        <f t="shared" si="13"/>
        <v>0</v>
      </c>
      <c r="AO18" s="264">
        <f t="shared" si="13"/>
        <v>0</v>
      </c>
      <c r="AP18" s="264">
        <f t="shared" si="13"/>
        <v>0</v>
      </c>
      <c r="AQ18" s="264">
        <f t="shared" si="13"/>
        <v>0</v>
      </c>
      <c r="AR18" s="264">
        <f>IF(AR20&lt;0,-AR20,0)</f>
        <v>0</v>
      </c>
      <c r="AS18" s="264">
        <f t="shared" ref="AS18:CA18" si="14">IF(AS20&lt;0,-AS20,0)</f>
        <v>0</v>
      </c>
      <c r="AT18" s="264">
        <f t="shared" si="14"/>
        <v>0</v>
      </c>
      <c r="AU18" s="264">
        <f t="shared" si="14"/>
        <v>0</v>
      </c>
      <c r="AV18" s="264">
        <f t="shared" si="14"/>
        <v>0</v>
      </c>
      <c r="AW18" s="264">
        <f t="shared" si="14"/>
        <v>0</v>
      </c>
      <c r="AX18" s="264">
        <f t="shared" si="14"/>
        <v>0</v>
      </c>
      <c r="AY18" s="264">
        <f t="shared" si="14"/>
        <v>0</v>
      </c>
      <c r="AZ18" s="264">
        <f t="shared" si="14"/>
        <v>0</v>
      </c>
      <c r="BA18" s="264">
        <f t="shared" si="14"/>
        <v>0</v>
      </c>
      <c r="BB18" s="264">
        <f t="shared" si="14"/>
        <v>0</v>
      </c>
      <c r="BC18" s="264">
        <f t="shared" si="14"/>
        <v>0</v>
      </c>
      <c r="BD18" s="264">
        <f t="shared" si="14"/>
        <v>0</v>
      </c>
      <c r="BE18" s="264">
        <f t="shared" si="14"/>
        <v>0</v>
      </c>
      <c r="BF18" s="264">
        <f t="shared" si="14"/>
        <v>0</v>
      </c>
      <c r="BG18" s="264">
        <f t="shared" si="14"/>
        <v>0</v>
      </c>
      <c r="BH18" s="264">
        <f t="shared" si="14"/>
        <v>0</v>
      </c>
      <c r="BI18" s="264">
        <f t="shared" si="14"/>
        <v>0</v>
      </c>
      <c r="BJ18" s="264">
        <f t="shared" si="14"/>
        <v>0</v>
      </c>
      <c r="BK18" s="264">
        <f t="shared" si="14"/>
        <v>0</v>
      </c>
      <c r="BL18" s="264">
        <f t="shared" si="14"/>
        <v>0</v>
      </c>
      <c r="BM18" s="264">
        <f t="shared" si="14"/>
        <v>0</v>
      </c>
      <c r="BN18" s="264">
        <f t="shared" si="14"/>
        <v>0</v>
      </c>
      <c r="BO18" s="264">
        <f t="shared" si="14"/>
        <v>0</v>
      </c>
      <c r="BP18" s="264">
        <f t="shared" si="14"/>
        <v>0</v>
      </c>
      <c r="BQ18" s="264">
        <f t="shared" si="14"/>
        <v>0</v>
      </c>
      <c r="BR18" s="264">
        <f t="shared" si="14"/>
        <v>0</v>
      </c>
      <c r="BS18" s="264">
        <f t="shared" si="14"/>
        <v>0</v>
      </c>
      <c r="BT18" s="264">
        <f t="shared" si="14"/>
        <v>0</v>
      </c>
      <c r="BU18" s="264">
        <f t="shared" si="14"/>
        <v>0</v>
      </c>
      <c r="BV18" s="264">
        <f t="shared" si="14"/>
        <v>0</v>
      </c>
      <c r="BW18" s="264">
        <f t="shared" si="14"/>
        <v>0</v>
      </c>
      <c r="BX18" s="264">
        <f t="shared" si="14"/>
        <v>0</v>
      </c>
      <c r="BY18" s="264">
        <f t="shared" si="14"/>
        <v>0</v>
      </c>
      <c r="BZ18" s="264">
        <f t="shared" si="14"/>
        <v>0</v>
      </c>
      <c r="CA18" s="264">
        <f t="shared" si="14"/>
        <v>0</v>
      </c>
      <c r="CB18" s="264">
        <f>IF(CB20&lt;0,-CB20,0)</f>
        <v>0</v>
      </c>
      <c r="CC18" s="264">
        <f t="shared" ref="CC18:DK18" si="15">IF(CC20&lt;0,-CC20,0)</f>
        <v>0</v>
      </c>
      <c r="CD18" s="264">
        <f t="shared" si="15"/>
        <v>0</v>
      </c>
      <c r="CE18" s="264">
        <f t="shared" si="15"/>
        <v>0</v>
      </c>
      <c r="CF18" s="264">
        <f t="shared" si="15"/>
        <v>0</v>
      </c>
      <c r="CG18" s="264">
        <f t="shared" si="15"/>
        <v>0</v>
      </c>
      <c r="CH18" s="264">
        <f t="shared" si="15"/>
        <v>0</v>
      </c>
      <c r="CI18" s="264">
        <f t="shared" si="15"/>
        <v>0</v>
      </c>
      <c r="CJ18" s="264">
        <f t="shared" si="15"/>
        <v>0</v>
      </c>
      <c r="CK18" s="264">
        <f t="shared" si="15"/>
        <v>0</v>
      </c>
      <c r="CL18" s="264">
        <f t="shared" si="15"/>
        <v>0</v>
      </c>
      <c r="CM18" s="264">
        <f t="shared" si="15"/>
        <v>0</v>
      </c>
      <c r="CN18" s="264">
        <f t="shared" si="15"/>
        <v>0</v>
      </c>
      <c r="CO18" s="264">
        <f t="shared" si="15"/>
        <v>0</v>
      </c>
      <c r="CP18" s="264">
        <f t="shared" si="15"/>
        <v>0</v>
      </c>
      <c r="CQ18" s="264">
        <f t="shared" si="15"/>
        <v>0</v>
      </c>
      <c r="CR18" s="264">
        <f t="shared" si="15"/>
        <v>0</v>
      </c>
      <c r="CS18" s="264">
        <f t="shared" si="15"/>
        <v>0</v>
      </c>
      <c r="CT18" s="264">
        <f t="shared" si="15"/>
        <v>0</v>
      </c>
      <c r="CU18" s="264">
        <f t="shared" si="15"/>
        <v>0</v>
      </c>
      <c r="CV18" s="264">
        <f t="shared" si="15"/>
        <v>0</v>
      </c>
      <c r="CW18" s="264">
        <f t="shared" si="15"/>
        <v>0</v>
      </c>
      <c r="CX18" s="264">
        <f t="shared" si="15"/>
        <v>0</v>
      </c>
      <c r="CY18" s="264">
        <f t="shared" si="15"/>
        <v>0</v>
      </c>
      <c r="CZ18" s="264">
        <f t="shared" si="15"/>
        <v>0</v>
      </c>
      <c r="DA18" s="264">
        <f t="shared" si="15"/>
        <v>0</v>
      </c>
      <c r="DB18" s="264">
        <f t="shared" si="15"/>
        <v>0</v>
      </c>
      <c r="DC18" s="264">
        <f t="shared" si="15"/>
        <v>0</v>
      </c>
      <c r="DD18" s="264">
        <f t="shared" si="15"/>
        <v>0</v>
      </c>
      <c r="DE18" s="264">
        <f t="shared" si="15"/>
        <v>0</v>
      </c>
      <c r="DF18" s="264">
        <f t="shared" si="15"/>
        <v>0</v>
      </c>
      <c r="DG18" s="264">
        <f t="shared" si="15"/>
        <v>0</v>
      </c>
      <c r="DH18" s="264">
        <f t="shared" si="15"/>
        <v>0</v>
      </c>
      <c r="DI18" s="264">
        <f t="shared" si="15"/>
        <v>0</v>
      </c>
      <c r="DJ18" s="264">
        <f t="shared" si="15"/>
        <v>0</v>
      </c>
      <c r="DK18" s="264">
        <f t="shared" si="15"/>
        <v>0</v>
      </c>
      <c r="DL18" s="264">
        <f>IF(DL20&lt;0,-DL20,0)</f>
        <v>0</v>
      </c>
      <c r="DM18" s="264">
        <f t="shared" ref="DM18:DW18" si="16">IF(DM20&lt;0,-DM20,0)</f>
        <v>0</v>
      </c>
      <c r="DN18" s="264">
        <f t="shared" si="16"/>
        <v>0</v>
      </c>
      <c r="DO18" s="264">
        <f t="shared" si="16"/>
        <v>0</v>
      </c>
      <c r="DP18" s="264">
        <f t="shared" si="16"/>
        <v>0</v>
      </c>
      <c r="DQ18" s="264">
        <f t="shared" si="16"/>
        <v>0</v>
      </c>
      <c r="DR18" s="264">
        <f t="shared" si="16"/>
        <v>0</v>
      </c>
      <c r="DS18" s="264">
        <f t="shared" si="16"/>
        <v>0</v>
      </c>
      <c r="DT18" s="264">
        <f t="shared" si="16"/>
        <v>0</v>
      </c>
      <c r="DU18" s="264">
        <f t="shared" si="16"/>
        <v>0</v>
      </c>
      <c r="DV18" s="264">
        <f t="shared" si="16"/>
        <v>0</v>
      </c>
      <c r="DW18" s="264">
        <f t="shared" si="16"/>
        <v>0</v>
      </c>
    </row>
    <row r="19" spans="1:128" ht="10">
      <c r="B19" s="399" t="s">
        <v>178</v>
      </c>
      <c r="C19" s="399"/>
      <c r="D19" s="399"/>
      <c r="E19" s="399"/>
      <c r="F19" s="256" t="s">
        <v>35</v>
      </c>
      <c r="G19" s="291">
        <f t="shared" si="12"/>
        <v>3172969819571.3501</v>
      </c>
      <c r="H19" s="264">
        <f>IF(H20&gt;0,H20,0)</f>
        <v>51632780200.9683</v>
      </c>
      <c r="I19" s="264">
        <f t="shared" ref="I19:BT19" si="17">IF(I20&gt;0,I20,0)</f>
        <v>53164066096.479599</v>
      </c>
      <c r="J19" s="264">
        <f t="shared" si="17"/>
        <v>54736511160.932144</v>
      </c>
      <c r="K19" s="264">
        <f t="shared" si="17"/>
        <v>56351284940.670074</v>
      </c>
      <c r="L19" s="264">
        <f>IF(L20&gt;0,L20,0)</f>
        <v>58009591293.494827</v>
      </c>
      <c r="M19" s="264">
        <f t="shared" si="17"/>
        <v>59712669420.639961</v>
      </c>
      <c r="N19" s="264">
        <f t="shared" si="17"/>
        <v>61461794930.331673</v>
      </c>
      <c r="O19" s="264">
        <f t="shared" si="17"/>
        <v>63258280933.912811</v>
      </c>
      <c r="P19" s="264">
        <f t="shared" si="17"/>
        <v>65103479175.539948</v>
      </c>
      <c r="Q19" s="264">
        <f t="shared" si="17"/>
        <v>66998781196.493057</v>
      </c>
      <c r="R19" s="264">
        <f t="shared" si="17"/>
        <v>68945619535.171234</v>
      </c>
      <c r="S19" s="264">
        <f t="shared" si="17"/>
        <v>70945468963.880875</v>
      </c>
      <c r="T19" s="264">
        <f t="shared" si="17"/>
        <v>71861124808.985413</v>
      </c>
      <c r="U19" s="264">
        <f t="shared" si="17"/>
        <v>73967805949.668121</v>
      </c>
      <c r="V19" s="264">
        <f t="shared" si="17"/>
        <v>76132119968.24054</v>
      </c>
      <c r="W19" s="264">
        <f t="shared" si="17"/>
        <v>78355722363.52594</v>
      </c>
      <c r="X19" s="264">
        <f t="shared" si="17"/>
        <v>80640317617.48053</v>
      </c>
      <c r="Y19" s="264">
        <f t="shared" si="17"/>
        <v>82987660677.397644</v>
      </c>
      <c r="Z19" s="264">
        <f>IF(Z20&gt;0,Z20,0)</f>
        <v>85399558483.667786</v>
      </c>
      <c r="AA19" s="264">
        <f t="shared" si="17"/>
        <v>87877871544.508316</v>
      </c>
      <c r="AB19" s="264">
        <f t="shared" si="17"/>
        <v>90424515559.123459</v>
      </c>
      <c r="AC19" s="264">
        <f t="shared" si="17"/>
        <v>93041463090.798096</v>
      </c>
      <c r="AD19" s="264">
        <f t="shared" si="17"/>
        <v>95730745291.478531</v>
      </c>
      <c r="AE19" s="264">
        <f t="shared" si="17"/>
        <v>98494453679.439789</v>
      </c>
      <c r="AF19" s="264">
        <f t="shared" si="17"/>
        <v>101334731971.6907</v>
      </c>
      <c r="AG19" s="264">
        <f t="shared" si="17"/>
        <v>104253817972.81882</v>
      </c>
      <c r="AH19" s="264">
        <f t="shared" si="17"/>
        <v>107253985522.03056</v>
      </c>
      <c r="AI19" s="264">
        <f t="shared" si="17"/>
        <v>110337586500.19742</v>
      </c>
      <c r="AJ19" s="264">
        <f t="shared" si="17"/>
        <v>113507042898.77515</v>
      </c>
      <c r="AK19" s="264">
        <f t="shared" si="17"/>
        <v>116764848952.52206</v>
      </c>
      <c r="AL19" s="264">
        <f t="shared" si="17"/>
        <v>120113573338.00188</v>
      </c>
      <c r="AM19" s="264">
        <f t="shared" si="17"/>
        <v>123555861439.91936</v>
      </c>
      <c r="AN19" s="264">
        <f t="shared" si="17"/>
        <v>127094437687.40192</v>
      </c>
      <c r="AO19" s="264">
        <f t="shared" si="17"/>
        <v>130732107962.40465</v>
      </c>
      <c r="AP19" s="264">
        <f t="shared" si="17"/>
        <v>134471762082.48624</v>
      </c>
      <c r="AQ19" s="264">
        <f t="shared" si="17"/>
        <v>138316376360.27267</v>
      </c>
      <c r="AR19" s="264">
        <f>IF(AR20&gt;0,AR20,0)</f>
        <v>142269006241.99921</v>
      </c>
      <c r="AS19" s="264">
        <f t="shared" si="17"/>
        <v>146332829027.59412</v>
      </c>
      <c r="AT19" s="264">
        <f t="shared" si="17"/>
        <v>150511086674.84772</v>
      </c>
      <c r="AU19" s="264">
        <f t="shared" si="17"/>
        <v>154807128690.28711</v>
      </c>
      <c r="AV19" s="264">
        <f>IF(AV20&gt;0,AV20,0)</f>
        <v>159224405109.46161</v>
      </c>
      <c r="AW19" s="264">
        <f t="shared" si="17"/>
        <v>163766469569.42657</v>
      </c>
      <c r="AX19" s="264">
        <f t="shared" si="17"/>
        <v>168436982476.30289</v>
      </c>
      <c r="AY19" s="264">
        <f t="shared" si="17"/>
        <v>173239714270.87756</v>
      </c>
      <c r="AZ19" s="264">
        <f t="shared" si="17"/>
        <v>178178548795.3053</v>
      </c>
      <c r="BA19" s="264">
        <f t="shared" si="17"/>
        <v>183257486764.06677</v>
      </c>
      <c r="BB19" s="264">
        <f t="shared" si="17"/>
        <v>188480649342.43738</v>
      </c>
      <c r="BC19" s="264">
        <f t="shared" si="17"/>
        <v>193852281835.82358</v>
      </c>
      <c r="BD19" s="264">
        <f t="shared" si="17"/>
        <v>199376747493.42834</v>
      </c>
      <c r="BE19" s="264">
        <f t="shared" si="17"/>
        <v>205058571429.81683</v>
      </c>
      <c r="BF19" s="264">
        <f t="shared" si="17"/>
        <v>210902384668.06433</v>
      </c>
      <c r="BG19" s="264">
        <f t="shared" si="17"/>
        <v>216912968308.28461</v>
      </c>
      <c r="BH19" s="264">
        <f t="shared" si="17"/>
        <v>223095247825.45746</v>
      </c>
      <c r="BI19" s="264">
        <f t="shared" si="17"/>
        <v>229454297500.59381</v>
      </c>
      <c r="BJ19" s="264">
        <f>IF(BJ20&gt;0,BJ20,0)</f>
        <v>235995344989.40787</v>
      </c>
      <c r="BK19" s="264">
        <f t="shared" si="17"/>
        <v>242723776032.79297</v>
      </c>
      <c r="BL19" s="264">
        <f t="shared" si="17"/>
        <v>249645139313.53568</v>
      </c>
      <c r="BM19" s="264">
        <f t="shared" si="17"/>
        <v>256765151463.83923</v>
      </c>
      <c r="BN19" s="264">
        <f t="shared" si="17"/>
        <v>264089702228.3736</v>
      </c>
      <c r="BO19" s="264">
        <f t="shared" si="17"/>
        <v>271624859787.71664</v>
      </c>
      <c r="BP19" s="264">
        <f t="shared" si="17"/>
        <v>279376866247.20166</v>
      </c>
      <c r="BQ19" s="264">
        <f t="shared" si="17"/>
        <v>287352183296.34851</v>
      </c>
      <c r="BR19" s="264">
        <f t="shared" si="17"/>
        <v>295557438044.21387</v>
      </c>
      <c r="BS19" s="264">
        <f t="shared" si="17"/>
        <v>303999469036.16669</v>
      </c>
      <c r="BT19" s="264">
        <f t="shared" si="17"/>
        <v>312685322457.76721</v>
      </c>
      <c r="BU19" s="264">
        <f t="shared" ref="BU19:CA19" si="18">IF(BU20&gt;0,BU20,0)</f>
        <v>321622258531.60474</v>
      </c>
      <c r="BV19" s="264">
        <f t="shared" si="18"/>
        <v>330817758113.13684</v>
      </c>
      <c r="BW19" s="264">
        <f t="shared" si="18"/>
        <v>340279529491.75964</v>
      </c>
      <c r="BX19" s="264">
        <f t="shared" si="18"/>
        <v>350015515403.53503</v>
      </c>
      <c r="BY19" s="264">
        <f t="shared" si="18"/>
        <v>360033900262.20557</v>
      </c>
      <c r="BZ19" s="264">
        <f t="shared" si="18"/>
        <v>370343117615.33142</v>
      </c>
      <c r="CA19" s="264">
        <f t="shared" si="18"/>
        <v>380951857832.60413</v>
      </c>
      <c r="CB19" s="264">
        <f>IF(CB20&gt;0,CB20,0)</f>
        <v>391869066033.60907</v>
      </c>
      <c r="CC19" s="264">
        <f t="shared" ref="CC19:DK19" si="19">IF(CC20&gt;0,CC20,0)</f>
        <v>403103990262.53967</v>
      </c>
      <c r="CD19" s="264">
        <f t="shared" si="19"/>
        <v>414666129917.6037</v>
      </c>
      <c r="CE19" s="264">
        <f t="shared" si="19"/>
        <v>426565284443.10107</v>
      </c>
      <c r="CF19" s="264">
        <f>IF(CF20&gt;0,CF20,0)</f>
        <v>438811552292.40881</v>
      </c>
      <c r="CG19" s="264">
        <f t="shared" si="19"/>
        <v>451415340170.36401</v>
      </c>
      <c r="CH19" s="264">
        <f t="shared" si="19"/>
        <v>464387372563.80481</v>
      </c>
      <c r="CI19" s="264">
        <f t="shared" si="19"/>
        <v>477738701569.30414</v>
      </c>
      <c r="CJ19" s="264">
        <f t="shared" si="19"/>
        <v>491480717027.41748</v>
      </c>
      <c r="CK19" s="264">
        <f t="shared" si="19"/>
        <v>505625156973.05365</v>
      </c>
      <c r="CL19" s="264">
        <f t="shared" si="19"/>
        <v>520184118411.88953</v>
      </c>
      <c r="CM19" s="264">
        <f t="shared" si="19"/>
        <v>535170068433.04883</v>
      </c>
      <c r="CN19" s="264">
        <f t="shared" si="19"/>
        <v>550595845668.60315</v>
      </c>
      <c r="CO19" s="264">
        <f t="shared" si="19"/>
        <v>566474712110.76819</v>
      </c>
      <c r="CP19" s="264">
        <f t="shared" si="19"/>
        <v>582820305298.02588</v>
      </c>
      <c r="CQ19" s="264">
        <f t="shared" si="19"/>
        <v>599646690881.74512</v>
      </c>
      <c r="CR19" s="264">
        <f t="shared" si="19"/>
        <v>616968365585.24878</v>
      </c>
      <c r="CS19" s="264">
        <f t="shared" si="19"/>
        <v>634800270567.6355</v>
      </c>
      <c r="CT19" s="264">
        <f>IF(CT20&gt;0,CT20,0)</f>
        <v>653157805205.07593</v>
      </c>
      <c r="CU19" s="264">
        <f t="shared" si="19"/>
        <v>672056841302.67529</v>
      </c>
      <c r="CV19" s="264">
        <f t="shared" si="19"/>
        <v>691513737750.43286</v>
      </c>
      <c r="CW19" s="264">
        <f t="shared" si="19"/>
        <v>711545355637.23486</v>
      </c>
      <c r="CX19" s="264">
        <f t="shared" si="19"/>
        <v>732169073837.27026</v>
      </c>
      <c r="CY19" s="264">
        <f t="shared" si="19"/>
        <v>753402805083.70398</v>
      </c>
      <c r="CZ19" s="264">
        <f t="shared" si="19"/>
        <v>775265002544.9126</v>
      </c>
      <c r="DA19" s="264">
        <f t="shared" si="19"/>
        <v>797774716919.06848</v>
      </c>
      <c r="DB19" s="264">
        <f t="shared" si="19"/>
        <v>820951554063.35938</v>
      </c>
      <c r="DC19" s="264">
        <f t="shared" si="19"/>
        <v>844815733174.63745</v>
      </c>
      <c r="DD19" s="264">
        <f t="shared" si="19"/>
        <v>869388095538.82483</v>
      </c>
      <c r="DE19" s="264">
        <f t="shared" si="19"/>
        <v>894690123866.95142</v>
      </c>
      <c r="DF19" s="264">
        <f t="shared" si="19"/>
        <v>920743962236.25562</v>
      </c>
      <c r="DG19" s="264">
        <f t="shared" si="19"/>
        <v>947572436655.37036</v>
      </c>
      <c r="DH19" s="264">
        <f t="shared" si="19"/>
        <v>975199076273.20532</v>
      </c>
      <c r="DI19" s="264">
        <f t="shared" si="19"/>
        <v>1003648135251.762</v>
      </c>
      <c r="DJ19" s="264">
        <f t="shared" si="19"/>
        <v>1032944615323.7606</v>
      </c>
      <c r="DK19" s="264">
        <f t="shared" si="19"/>
        <v>1063114289056.5928</v>
      </c>
      <c r="DL19" s="264">
        <f>IF(DL20&gt;0,DL20,0)</f>
        <v>1094183713844.8281</v>
      </c>
      <c r="DM19" s="264">
        <f t="shared" ref="DM19:DW19" si="20">IF(DM20&gt;0,DM20,0)</f>
        <v>1126180296654.1704</v>
      </c>
      <c r="DN19" s="264">
        <f t="shared" si="20"/>
        <v>1159132259540.5</v>
      </c>
      <c r="DO19" s="264">
        <f t="shared" si="20"/>
        <v>1193068705968.3813</v>
      </c>
      <c r="DP19" s="264">
        <f>IF(DP20&gt;0,DP20,0)</f>
        <v>1228019637954.1743</v>
      </c>
      <c r="DQ19" s="264">
        <f t="shared" si="20"/>
        <v>1264015984059.6934</v>
      </c>
      <c r="DR19" s="264">
        <f t="shared" si="20"/>
        <v>1301089628263.1714</v>
      </c>
      <c r="DS19" s="264">
        <f t="shared" si="20"/>
        <v>1339273439735.1187</v>
      </c>
      <c r="DT19" s="264">
        <f t="shared" si="20"/>
        <v>1378601303547.5615</v>
      </c>
      <c r="DU19" s="264">
        <f t="shared" si="20"/>
        <v>1419108152346.0173</v>
      </c>
      <c r="DV19" s="264">
        <f t="shared" si="20"/>
        <v>1460829999014.5049</v>
      </c>
      <c r="DW19" s="264">
        <f t="shared" si="20"/>
        <v>1503803970364.8447</v>
      </c>
    </row>
    <row r="20" spans="1:128" ht="10">
      <c r="B20" s="399" t="s">
        <v>179</v>
      </c>
      <c r="C20" s="399"/>
      <c r="D20" s="399"/>
      <c r="E20" s="399"/>
      <c r="F20" s="256" t="s">
        <v>35</v>
      </c>
      <c r="G20" s="253"/>
      <c r="H20" s="264">
        <f>H26-H24-H25-H27</f>
        <v>51632780200.9683</v>
      </c>
      <c r="I20" s="264">
        <f t="shared" ref="I20:AQ20" si="21">I26-I24-I25-I27</f>
        <v>53164066096.479599</v>
      </c>
      <c r="J20" s="264">
        <f t="shared" si="21"/>
        <v>54736511160.932144</v>
      </c>
      <c r="K20" s="264">
        <f t="shared" si="21"/>
        <v>56351284940.670074</v>
      </c>
      <c r="L20" s="264">
        <f t="shared" si="21"/>
        <v>58009591293.494827</v>
      </c>
      <c r="M20" s="264">
        <f t="shared" si="21"/>
        <v>59712669420.639961</v>
      </c>
      <c r="N20" s="264">
        <f t="shared" si="21"/>
        <v>61461794930.331673</v>
      </c>
      <c r="O20" s="264">
        <f t="shared" si="21"/>
        <v>63258280933.912811</v>
      </c>
      <c r="P20" s="264">
        <f t="shared" si="21"/>
        <v>65103479175.539948</v>
      </c>
      <c r="Q20" s="264">
        <f t="shared" si="21"/>
        <v>66998781196.493057</v>
      </c>
      <c r="R20" s="264">
        <f t="shared" si="21"/>
        <v>68945619535.171234</v>
      </c>
      <c r="S20" s="264">
        <f t="shared" si="21"/>
        <v>70945468963.880875</v>
      </c>
      <c r="T20" s="264">
        <f t="shared" si="21"/>
        <v>71861124808.985413</v>
      </c>
      <c r="U20" s="264">
        <f t="shared" si="21"/>
        <v>73967805949.668121</v>
      </c>
      <c r="V20" s="264">
        <f t="shared" si="21"/>
        <v>76132119968.24054</v>
      </c>
      <c r="W20" s="264">
        <f t="shared" si="21"/>
        <v>78355722363.52594</v>
      </c>
      <c r="X20" s="264">
        <f t="shared" si="21"/>
        <v>80640317617.48053</v>
      </c>
      <c r="Y20" s="264">
        <f t="shared" si="21"/>
        <v>82987660677.397644</v>
      </c>
      <c r="Z20" s="264">
        <f>Z26-Z24-Z25-Z27</f>
        <v>85399558483.667786</v>
      </c>
      <c r="AA20" s="264">
        <f t="shared" si="21"/>
        <v>87877871544.508316</v>
      </c>
      <c r="AB20" s="264">
        <f t="shared" si="21"/>
        <v>90424515559.123459</v>
      </c>
      <c r="AC20" s="264">
        <f t="shared" si="21"/>
        <v>93041463090.798096</v>
      </c>
      <c r="AD20" s="264">
        <f t="shared" si="21"/>
        <v>95730745291.478531</v>
      </c>
      <c r="AE20" s="264">
        <f t="shared" si="21"/>
        <v>98494453679.439789</v>
      </c>
      <c r="AF20" s="264">
        <f t="shared" si="21"/>
        <v>101334731971.6907</v>
      </c>
      <c r="AG20" s="264">
        <f t="shared" si="21"/>
        <v>104253817972.81882</v>
      </c>
      <c r="AH20" s="264">
        <f t="shared" si="21"/>
        <v>107253985522.03056</v>
      </c>
      <c r="AI20" s="264">
        <f t="shared" si="21"/>
        <v>110337586500.19742</v>
      </c>
      <c r="AJ20" s="264">
        <f t="shared" si="21"/>
        <v>113507042898.77515</v>
      </c>
      <c r="AK20" s="264">
        <f t="shared" si="21"/>
        <v>116764848952.52206</v>
      </c>
      <c r="AL20" s="264">
        <f t="shared" si="21"/>
        <v>120113573338.00188</v>
      </c>
      <c r="AM20" s="264">
        <f t="shared" si="21"/>
        <v>123555861439.91936</v>
      </c>
      <c r="AN20" s="264">
        <f t="shared" si="21"/>
        <v>127094437687.40192</v>
      </c>
      <c r="AO20" s="264">
        <f t="shared" si="21"/>
        <v>130732107962.40465</v>
      </c>
      <c r="AP20" s="264">
        <f t="shared" si="21"/>
        <v>134471762082.48624</v>
      </c>
      <c r="AQ20" s="264">
        <f t="shared" si="21"/>
        <v>138316376360.27267</v>
      </c>
      <c r="AR20" s="264">
        <f>AR26-AR24-AR25-AR27</f>
        <v>142269006241.99921</v>
      </c>
      <c r="AS20" s="264">
        <f t="shared" ref="AS20:BI20" si="22">AS26-AS24-AS25-AS27</f>
        <v>146332829027.59412</v>
      </c>
      <c r="AT20" s="264">
        <f t="shared" si="22"/>
        <v>150511086674.84772</v>
      </c>
      <c r="AU20" s="264">
        <f t="shared" si="22"/>
        <v>154807128690.28711</v>
      </c>
      <c r="AV20" s="264">
        <f t="shared" si="22"/>
        <v>159224405109.46161</v>
      </c>
      <c r="AW20" s="264">
        <f t="shared" si="22"/>
        <v>163766469569.42657</v>
      </c>
      <c r="AX20" s="264">
        <f t="shared" si="22"/>
        <v>168436982476.30289</v>
      </c>
      <c r="AY20" s="264">
        <f t="shared" si="22"/>
        <v>173239714270.87756</v>
      </c>
      <c r="AZ20" s="264">
        <f t="shared" si="22"/>
        <v>178178548795.3053</v>
      </c>
      <c r="BA20" s="264">
        <f t="shared" si="22"/>
        <v>183257486764.06677</v>
      </c>
      <c r="BB20" s="264">
        <f t="shared" si="22"/>
        <v>188480649342.43738</v>
      </c>
      <c r="BC20" s="264">
        <f t="shared" si="22"/>
        <v>193852281835.82358</v>
      </c>
      <c r="BD20" s="264">
        <f t="shared" si="22"/>
        <v>199376747493.42834</v>
      </c>
      <c r="BE20" s="264">
        <f t="shared" si="22"/>
        <v>205058571429.81683</v>
      </c>
      <c r="BF20" s="264">
        <f t="shared" si="22"/>
        <v>210902384668.06433</v>
      </c>
      <c r="BG20" s="264">
        <f t="shared" si="22"/>
        <v>216912968308.28461</v>
      </c>
      <c r="BH20" s="264">
        <f t="shared" si="22"/>
        <v>223095247825.45746</v>
      </c>
      <c r="BI20" s="264">
        <f t="shared" si="22"/>
        <v>229454297500.59381</v>
      </c>
      <c r="BJ20" s="264">
        <f>BJ26-BJ24-BJ25-BJ27</f>
        <v>235995344989.40787</v>
      </c>
      <c r="BK20" s="264">
        <f t="shared" ref="BK20:CA20" si="23">BK26-BK24-BK25-BK27</f>
        <v>242723776032.79297</v>
      </c>
      <c r="BL20" s="264">
        <f t="shared" si="23"/>
        <v>249645139313.53568</v>
      </c>
      <c r="BM20" s="264">
        <f t="shared" si="23"/>
        <v>256765151463.83923</v>
      </c>
      <c r="BN20" s="264">
        <f t="shared" si="23"/>
        <v>264089702228.3736</v>
      </c>
      <c r="BO20" s="264">
        <f t="shared" si="23"/>
        <v>271624859787.71664</v>
      </c>
      <c r="BP20" s="264">
        <f t="shared" si="23"/>
        <v>279376866247.20166</v>
      </c>
      <c r="BQ20" s="264">
        <f t="shared" si="23"/>
        <v>287352183296.34851</v>
      </c>
      <c r="BR20" s="264">
        <f t="shared" si="23"/>
        <v>295557438044.21387</v>
      </c>
      <c r="BS20" s="264">
        <f t="shared" si="23"/>
        <v>303999469036.16669</v>
      </c>
      <c r="BT20" s="264">
        <f t="shared" si="23"/>
        <v>312685322457.76721</v>
      </c>
      <c r="BU20" s="264">
        <f t="shared" si="23"/>
        <v>321622258531.60474</v>
      </c>
      <c r="BV20" s="264">
        <f t="shared" si="23"/>
        <v>330817758113.13684</v>
      </c>
      <c r="BW20" s="264">
        <f t="shared" si="23"/>
        <v>340279529491.75964</v>
      </c>
      <c r="BX20" s="264">
        <f t="shared" si="23"/>
        <v>350015515403.53503</v>
      </c>
      <c r="BY20" s="264">
        <f t="shared" si="23"/>
        <v>360033900262.20557</v>
      </c>
      <c r="BZ20" s="264">
        <f t="shared" si="23"/>
        <v>370343117615.33142</v>
      </c>
      <c r="CA20" s="264">
        <f t="shared" si="23"/>
        <v>380951857832.60413</v>
      </c>
      <c r="CB20" s="264">
        <f>CB26-CB24-CB25-CB27</f>
        <v>391869066033.60907</v>
      </c>
      <c r="CC20" s="264">
        <f t="shared" ref="CC20:CS20" si="24">CC26-CC24-CC25-CC27</f>
        <v>403103990262.53967</v>
      </c>
      <c r="CD20" s="264">
        <f t="shared" si="24"/>
        <v>414666129917.6037</v>
      </c>
      <c r="CE20" s="264">
        <f t="shared" si="24"/>
        <v>426565284443.10107</v>
      </c>
      <c r="CF20" s="264">
        <f t="shared" si="24"/>
        <v>438811552292.40881</v>
      </c>
      <c r="CG20" s="264">
        <f t="shared" si="24"/>
        <v>451415340170.36401</v>
      </c>
      <c r="CH20" s="264">
        <f t="shared" si="24"/>
        <v>464387372563.80481</v>
      </c>
      <c r="CI20" s="264">
        <f t="shared" si="24"/>
        <v>477738701569.30414</v>
      </c>
      <c r="CJ20" s="264">
        <f t="shared" si="24"/>
        <v>491480717027.41748</v>
      </c>
      <c r="CK20" s="264">
        <f t="shared" si="24"/>
        <v>505625156973.05365</v>
      </c>
      <c r="CL20" s="264">
        <f t="shared" si="24"/>
        <v>520184118411.88953</v>
      </c>
      <c r="CM20" s="264">
        <f t="shared" si="24"/>
        <v>535170068433.04883</v>
      </c>
      <c r="CN20" s="264">
        <f t="shared" si="24"/>
        <v>550595845668.60315</v>
      </c>
      <c r="CO20" s="264">
        <f t="shared" si="24"/>
        <v>566474712110.76819</v>
      </c>
      <c r="CP20" s="264">
        <f t="shared" si="24"/>
        <v>582820305298.02588</v>
      </c>
      <c r="CQ20" s="264">
        <f t="shared" si="24"/>
        <v>599646690881.74512</v>
      </c>
      <c r="CR20" s="264">
        <f t="shared" si="24"/>
        <v>616968365585.24878</v>
      </c>
      <c r="CS20" s="264">
        <f t="shared" si="24"/>
        <v>634800270567.6355</v>
      </c>
      <c r="CT20" s="264">
        <f>CT26-CT24-CT25-CT27</f>
        <v>653157805205.07593</v>
      </c>
      <c r="CU20" s="264">
        <f t="shared" ref="CU20:DK20" si="25">CU26-CU24-CU25-CU27</f>
        <v>672056841302.67529</v>
      </c>
      <c r="CV20" s="264">
        <f t="shared" si="25"/>
        <v>691513737750.43286</v>
      </c>
      <c r="CW20" s="264">
        <f t="shared" si="25"/>
        <v>711545355637.23486</v>
      </c>
      <c r="CX20" s="264">
        <f t="shared" si="25"/>
        <v>732169073837.27026</v>
      </c>
      <c r="CY20" s="264">
        <f t="shared" si="25"/>
        <v>753402805083.70398</v>
      </c>
      <c r="CZ20" s="264">
        <f t="shared" si="25"/>
        <v>775265002544.9126</v>
      </c>
      <c r="DA20" s="264">
        <f t="shared" si="25"/>
        <v>797774716919.06848</v>
      </c>
      <c r="DB20" s="264">
        <f t="shared" si="25"/>
        <v>820951554063.35938</v>
      </c>
      <c r="DC20" s="264">
        <f t="shared" si="25"/>
        <v>844815733174.63745</v>
      </c>
      <c r="DD20" s="264">
        <f t="shared" si="25"/>
        <v>869388095538.82483</v>
      </c>
      <c r="DE20" s="264">
        <f t="shared" si="25"/>
        <v>894690123866.95142</v>
      </c>
      <c r="DF20" s="264">
        <f t="shared" si="25"/>
        <v>920743962236.25562</v>
      </c>
      <c r="DG20" s="264">
        <f t="shared" si="25"/>
        <v>947572436655.37036</v>
      </c>
      <c r="DH20" s="264">
        <f t="shared" si="25"/>
        <v>975199076273.20532</v>
      </c>
      <c r="DI20" s="264">
        <f t="shared" si="25"/>
        <v>1003648135251.762</v>
      </c>
      <c r="DJ20" s="264">
        <f t="shared" si="25"/>
        <v>1032944615323.7606</v>
      </c>
      <c r="DK20" s="264">
        <f t="shared" si="25"/>
        <v>1063114289056.5928</v>
      </c>
      <c r="DL20" s="264">
        <f>DL26-DL24-DL25-DL27</f>
        <v>1094183713844.8281</v>
      </c>
      <c r="DM20" s="264">
        <f t="shared" ref="DM20:DW20" si="26">DM26-DM24-DM25-DM27</f>
        <v>1126180296654.1704</v>
      </c>
      <c r="DN20" s="264">
        <f t="shared" si="26"/>
        <v>1159132259540.5</v>
      </c>
      <c r="DO20" s="264">
        <f t="shared" si="26"/>
        <v>1193068705968.3813</v>
      </c>
      <c r="DP20" s="264">
        <f t="shared" si="26"/>
        <v>1228019637954.1743</v>
      </c>
      <c r="DQ20" s="264">
        <f t="shared" si="26"/>
        <v>1264015984059.6934</v>
      </c>
      <c r="DR20" s="264">
        <f t="shared" si="26"/>
        <v>1301089628263.1714</v>
      </c>
      <c r="DS20" s="264">
        <f t="shared" si="26"/>
        <v>1339273439735.1187</v>
      </c>
      <c r="DT20" s="264">
        <f t="shared" si="26"/>
        <v>1378601303547.5615</v>
      </c>
      <c r="DU20" s="264">
        <f t="shared" si="26"/>
        <v>1419108152346.0173</v>
      </c>
      <c r="DV20" s="264">
        <f t="shared" si="26"/>
        <v>1460829999014.5049</v>
      </c>
      <c r="DW20" s="264">
        <f t="shared" si="26"/>
        <v>1503803970364.8447</v>
      </c>
    </row>
    <row r="21" spans="1:128" ht="10">
      <c r="B21" s="384" t="s">
        <v>180</v>
      </c>
      <c r="C21" s="384"/>
      <c r="D21" s="384"/>
      <c r="E21" s="384"/>
      <c r="F21" s="256" t="s">
        <v>35</v>
      </c>
      <c r="G21" s="253"/>
      <c r="H21" s="264">
        <f>H26-H27-H25-H24</f>
        <v>51632780200.9683</v>
      </c>
      <c r="I21" s="264">
        <f t="shared" ref="I21:BT21" si="27">I26-I27-I25-I24</f>
        <v>53164066096.479599</v>
      </c>
      <c r="J21" s="264">
        <f t="shared" si="27"/>
        <v>54736511160.932144</v>
      </c>
      <c r="K21" s="264">
        <f t="shared" si="27"/>
        <v>56351284940.670074</v>
      </c>
      <c r="L21" s="264">
        <f t="shared" si="27"/>
        <v>58009591293.494827</v>
      </c>
      <c r="M21" s="264">
        <f t="shared" si="27"/>
        <v>59712669420.639961</v>
      </c>
      <c r="N21" s="264">
        <f t="shared" si="27"/>
        <v>61461794930.331673</v>
      </c>
      <c r="O21" s="264">
        <f t="shared" si="27"/>
        <v>63258280933.912811</v>
      </c>
      <c r="P21" s="264">
        <f t="shared" si="27"/>
        <v>65103479175.539948</v>
      </c>
      <c r="Q21" s="264">
        <f t="shared" si="27"/>
        <v>66998781196.493057</v>
      </c>
      <c r="R21" s="264">
        <f t="shared" si="27"/>
        <v>68945619535.171234</v>
      </c>
      <c r="S21" s="264">
        <f t="shared" si="27"/>
        <v>70945468963.880875</v>
      </c>
      <c r="T21" s="264">
        <f t="shared" si="27"/>
        <v>71861124808.985413</v>
      </c>
      <c r="U21" s="264">
        <f t="shared" si="27"/>
        <v>73967805949.668121</v>
      </c>
      <c r="V21" s="264">
        <f t="shared" si="27"/>
        <v>76132119968.24054</v>
      </c>
      <c r="W21" s="264">
        <f t="shared" si="27"/>
        <v>78355722363.525955</v>
      </c>
      <c r="X21" s="264">
        <f t="shared" si="27"/>
        <v>80640317617.480515</v>
      </c>
      <c r="Y21" s="264">
        <f t="shared" si="27"/>
        <v>82987660677.397659</v>
      </c>
      <c r="Z21" s="264">
        <f t="shared" si="27"/>
        <v>85399558483.667786</v>
      </c>
      <c r="AA21" s="264">
        <f t="shared" si="27"/>
        <v>87877871544.508316</v>
      </c>
      <c r="AB21" s="264">
        <f t="shared" si="27"/>
        <v>90424515559.123459</v>
      </c>
      <c r="AC21" s="264">
        <f t="shared" si="27"/>
        <v>93041463090.798111</v>
      </c>
      <c r="AD21" s="264">
        <f t="shared" si="27"/>
        <v>95730745291.478516</v>
      </c>
      <c r="AE21" s="264">
        <f t="shared" si="27"/>
        <v>98494453679.439774</v>
      </c>
      <c r="AF21" s="264">
        <f t="shared" si="27"/>
        <v>101334731971.6907</v>
      </c>
      <c r="AG21" s="264">
        <f t="shared" si="27"/>
        <v>104253817972.81883</v>
      </c>
      <c r="AH21" s="264">
        <f t="shared" si="27"/>
        <v>107253985522.03055</v>
      </c>
      <c r="AI21" s="264">
        <f t="shared" si="27"/>
        <v>110337586500.1974</v>
      </c>
      <c r="AJ21" s="264">
        <f t="shared" si="27"/>
        <v>113507042898.77515</v>
      </c>
      <c r="AK21" s="264">
        <f t="shared" si="27"/>
        <v>116764848952.52208</v>
      </c>
      <c r="AL21" s="264">
        <f t="shared" si="27"/>
        <v>120113573338.00188</v>
      </c>
      <c r="AM21" s="264">
        <f t="shared" si="27"/>
        <v>123555861439.91934</v>
      </c>
      <c r="AN21" s="264">
        <f t="shared" si="27"/>
        <v>127094437687.40192</v>
      </c>
      <c r="AO21" s="264">
        <f t="shared" si="27"/>
        <v>130732107962.40465</v>
      </c>
      <c r="AP21" s="264">
        <f t="shared" si="27"/>
        <v>134471762082.48624</v>
      </c>
      <c r="AQ21" s="264">
        <f t="shared" si="27"/>
        <v>138316376360.27267</v>
      </c>
      <c r="AR21" s="264">
        <f t="shared" si="27"/>
        <v>142269006241.99921</v>
      </c>
      <c r="AS21" s="264">
        <f t="shared" si="27"/>
        <v>146332829027.59412</v>
      </c>
      <c r="AT21" s="264">
        <f t="shared" si="27"/>
        <v>150511086674.84772</v>
      </c>
      <c r="AU21" s="264">
        <f t="shared" si="27"/>
        <v>154807128690.28711</v>
      </c>
      <c r="AV21" s="264">
        <f t="shared" si="27"/>
        <v>159224405109.46161</v>
      </c>
      <c r="AW21" s="264">
        <f t="shared" si="27"/>
        <v>163766469569.42657</v>
      </c>
      <c r="AX21" s="264">
        <f t="shared" si="27"/>
        <v>168436982476.30289</v>
      </c>
      <c r="AY21" s="264">
        <f t="shared" si="27"/>
        <v>173239714270.87753</v>
      </c>
      <c r="AZ21" s="264">
        <f t="shared" si="27"/>
        <v>178178548795.3053</v>
      </c>
      <c r="BA21" s="264">
        <f t="shared" si="27"/>
        <v>183257486764.06677</v>
      </c>
      <c r="BB21" s="264">
        <f t="shared" si="27"/>
        <v>188480649342.43738</v>
      </c>
      <c r="BC21" s="264">
        <f t="shared" si="27"/>
        <v>193852281835.82358</v>
      </c>
      <c r="BD21" s="264">
        <f t="shared" si="27"/>
        <v>199376747493.42834</v>
      </c>
      <c r="BE21" s="264">
        <f t="shared" si="27"/>
        <v>205058571429.81683</v>
      </c>
      <c r="BF21" s="264">
        <f t="shared" si="27"/>
        <v>210902384668.06436</v>
      </c>
      <c r="BG21" s="264">
        <f t="shared" si="27"/>
        <v>216912968308.28461</v>
      </c>
      <c r="BH21" s="264">
        <f t="shared" si="27"/>
        <v>223095247825.45749</v>
      </c>
      <c r="BI21" s="264">
        <f t="shared" si="27"/>
        <v>229454297500.59381</v>
      </c>
      <c r="BJ21" s="264">
        <f t="shared" si="27"/>
        <v>235995344989.4079</v>
      </c>
      <c r="BK21" s="264">
        <f t="shared" si="27"/>
        <v>242723776032.79297</v>
      </c>
      <c r="BL21" s="264">
        <f t="shared" si="27"/>
        <v>249645139313.53568</v>
      </c>
      <c r="BM21" s="264">
        <f t="shared" si="27"/>
        <v>256765151463.8392</v>
      </c>
      <c r="BN21" s="264">
        <f t="shared" si="27"/>
        <v>264089702228.37363</v>
      </c>
      <c r="BO21" s="264">
        <f t="shared" si="27"/>
        <v>271624859787.71667</v>
      </c>
      <c r="BP21" s="264">
        <f t="shared" si="27"/>
        <v>279376866247.20166</v>
      </c>
      <c r="BQ21" s="264">
        <f t="shared" si="27"/>
        <v>287352183296.34851</v>
      </c>
      <c r="BR21" s="264">
        <f t="shared" si="27"/>
        <v>295557438044.21387</v>
      </c>
      <c r="BS21" s="264">
        <f t="shared" si="27"/>
        <v>303999469036.16669</v>
      </c>
      <c r="BT21" s="264">
        <f t="shared" si="27"/>
        <v>312685322457.76721</v>
      </c>
      <c r="BU21" s="264">
        <f t="shared" ref="BU21:DW21" si="28">BU26-BU27-BU25-BU24</f>
        <v>321622258531.60474</v>
      </c>
      <c r="BV21" s="264">
        <f t="shared" si="28"/>
        <v>330817758113.13684</v>
      </c>
      <c r="BW21" s="264">
        <f t="shared" si="28"/>
        <v>340279529491.75964</v>
      </c>
      <c r="BX21" s="264">
        <f t="shared" si="28"/>
        <v>350015515403.5351</v>
      </c>
      <c r="BY21" s="264">
        <f t="shared" si="28"/>
        <v>360033900262.20551</v>
      </c>
      <c r="BZ21" s="264">
        <f t="shared" si="28"/>
        <v>370343117615.33142</v>
      </c>
      <c r="CA21" s="264">
        <f t="shared" si="28"/>
        <v>380951857832.60406</v>
      </c>
      <c r="CB21" s="264">
        <f t="shared" si="28"/>
        <v>391869066033.60901</v>
      </c>
      <c r="CC21" s="264">
        <f t="shared" si="28"/>
        <v>403103990262.53961</v>
      </c>
      <c r="CD21" s="264">
        <f t="shared" si="28"/>
        <v>414666129917.60376</v>
      </c>
      <c r="CE21" s="264">
        <f t="shared" si="28"/>
        <v>426565284443.10107</v>
      </c>
      <c r="CF21" s="264">
        <f t="shared" si="28"/>
        <v>438811552292.40887</v>
      </c>
      <c r="CG21" s="264">
        <f t="shared" si="28"/>
        <v>451415340170.36407</v>
      </c>
      <c r="CH21" s="264">
        <f t="shared" si="28"/>
        <v>464387372563.80487</v>
      </c>
      <c r="CI21" s="264">
        <f t="shared" si="28"/>
        <v>477738701569.30414</v>
      </c>
      <c r="CJ21" s="264">
        <f t="shared" si="28"/>
        <v>491480717027.41742</v>
      </c>
      <c r="CK21" s="264">
        <f t="shared" si="28"/>
        <v>505625156973.05371</v>
      </c>
      <c r="CL21" s="264">
        <f t="shared" si="28"/>
        <v>520184118411.88959</v>
      </c>
      <c r="CM21" s="264">
        <f t="shared" si="28"/>
        <v>535170068433.04889</v>
      </c>
      <c r="CN21" s="264">
        <f t="shared" si="28"/>
        <v>550595845668.60315</v>
      </c>
      <c r="CO21" s="264">
        <f t="shared" si="28"/>
        <v>566474712110.76819</v>
      </c>
      <c r="CP21" s="264">
        <f t="shared" si="28"/>
        <v>582820305298.02588</v>
      </c>
      <c r="CQ21" s="264">
        <f t="shared" si="28"/>
        <v>599646690881.74512</v>
      </c>
      <c r="CR21" s="264">
        <f t="shared" si="28"/>
        <v>616968365585.24866</v>
      </c>
      <c r="CS21" s="264">
        <f t="shared" si="28"/>
        <v>634800270567.6355</v>
      </c>
      <c r="CT21" s="264">
        <f t="shared" si="28"/>
        <v>653157805205.07605</v>
      </c>
      <c r="CU21" s="264">
        <f t="shared" si="28"/>
        <v>672056841302.67517</v>
      </c>
      <c r="CV21" s="264">
        <f t="shared" si="28"/>
        <v>691513737750.43286</v>
      </c>
      <c r="CW21" s="264">
        <f t="shared" si="28"/>
        <v>711545355637.23474</v>
      </c>
      <c r="CX21" s="264">
        <f t="shared" si="28"/>
        <v>732169073837.27026</v>
      </c>
      <c r="CY21" s="264">
        <f t="shared" si="28"/>
        <v>753402805083.7041</v>
      </c>
      <c r="CZ21" s="264">
        <f t="shared" si="28"/>
        <v>775265002544.91248</v>
      </c>
      <c r="DA21" s="264">
        <f t="shared" si="28"/>
        <v>797774716919.06848</v>
      </c>
      <c r="DB21" s="264">
        <f t="shared" si="28"/>
        <v>820951554063.3595</v>
      </c>
      <c r="DC21" s="264">
        <f t="shared" si="28"/>
        <v>844815733174.63745</v>
      </c>
      <c r="DD21" s="264">
        <f t="shared" si="28"/>
        <v>869388095538.82471</v>
      </c>
      <c r="DE21" s="264">
        <f t="shared" si="28"/>
        <v>894690123866.95142</v>
      </c>
      <c r="DF21" s="264">
        <f t="shared" si="28"/>
        <v>920743962236.25574</v>
      </c>
      <c r="DG21" s="264">
        <f t="shared" si="28"/>
        <v>947572436655.37036</v>
      </c>
      <c r="DH21" s="264">
        <f t="shared" si="28"/>
        <v>975199076273.2052</v>
      </c>
      <c r="DI21" s="264">
        <f t="shared" si="28"/>
        <v>1003648135251.762</v>
      </c>
      <c r="DJ21" s="264">
        <f t="shared" si="28"/>
        <v>1032944615323.7606</v>
      </c>
      <c r="DK21" s="264">
        <f t="shared" si="28"/>
        <v>1063114289056.5928</v>
      </c>
      <c r="DL21" s="264">
        <f t="shared" si="28"/>
        <v>1094183713844.8281</v>
      </c>
      <c r="DM21" s="264">
        <f t="shared" si="28"/>
        <v>1126180296654.1704</v>
      </c>
      <c r="DN21" s="264">
        <f t="shared" si="28"/>
        <v>1159132259540.5</v>
      </c>
      <c r="DO21" s="264">
        <f t="shared" si="28"/>
        <v>1193068705968.3813</v>
      </c>
      <c r="DP21" s="264">
        <f t="shared" si="28"/>
        <v>1228019637954.1743</v>
      </c>
      <c r="DQ21" s="264">
        <f t="shared" si="28"/>
        <v>1264015984059.6934</v>
      </c>
      <c r="DR21" s="264">
        <f t="shared" si="28"/>
        <v>1301089628263.1714</v>
      </c>
      <c r="DS21" s="264">
        <f t="shared" si="28"/>
        <v>1339273439735.1187</v>
      </c>
      <c r="DT21" s="264">
        <f t="shared" si="28"/>
        <v>1378601303547.5615</v>
      </c>
      <c r="DU21" s="264">
        <f t="shared" si="28"/>
        <v>1419108152346.0171</v>
      </c>
      <c r="DV21" s="264">
        <f t="shared" si="28"/>
        <v>1460829999014.5051</v>
      </c>
      <c r="DW21" s="264">
        <f t="shared" si="28"/>
        <v>1503803970364.845</v>
      </c>
    </row>
    <row r="22" spans="1:128" ht="10">
      <c r="B22" s="384" t="s">
        <v>181</v>
      </c>
      <c r="C22" s="384"/>
      <c r="D22" s="384"/>
      <c r="E22" s="384"/>
      <c r="F22" s="256" t="s">
        <v>35</v>
      </c>
      <c r="G22" s="25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3"/>
      <c r="W22" s="263"/>
      <c r="X22" s="263"/>
      <c r="Y22" s="263"/>
      <c r="Z22" s="263"/>
      <c r="AA22" s="263"/>
      <c r="AB22" s="263"/>
      <c r="AC22" s="263"/>
      <c r="AD22" s="263"/>
      <c r="AE22" s="263"/>
      <c r="AF22" s="263"/>
      <c r="AG22" s="263"/>
      <c r="AH22" s="263"/>
      <c r="AI22" s="263"/>
      <c r="AJ22" s="263"/>
      <c r="AK22" s="263"/>
      <c r="AL22" s="263"/>
      <c r="AM22" s="263"/>
      <c r="AN22" s="263"/>
      <c r="AO22" s="263"/>
      <c r="AP22" s="263"/>
      <c r="AQ22" s="263"/>
      <c r="AR22" s="263"/>
      <c r="AS22" s="263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3"/>
      <c r="BH22" s="263"/>
      <c r="BI22" s="263"/>
      <c r="BJ22" s="263"/>
      <c r="BK22" s="263"/>
      <c r="BL22" s="263"/>
      <c r="BM22" s="263"/>
      <c r="BN22" s="263"/>
      <c r="BO22" s="263"/>
      <c r="BP22" s="263"/>
      <c r="BQ22" s="263"/>
      <c r="BR22" s="263"/>
      <c r="BS22" s="263"/>
      <c r="BT22" s="263"/>
      <c r="BU22" s="263"/>
      <c r="BV22" s="263"/>
      <c r="BW22" s="263"/>
      <c r="BX22" s="263"/>
      <c r="BY22" s="263"/>
      <c r="BZ22" s="263"/>
      <c r="CA22" s="263"/>
      <c r="CB22" s="263"/>
      <c r="CC22" s="263"/>
      <c r="CD22" s="263"/>
      <c r="CE22" s="263"/>
      <c r="CF22" s="263"/>
      <c r="CG22" s="263"/>
      <c r="CH22" s="263"/>
      <c r="CI22" s="263"/>
      <c r="CJ22" s="263"/>
      <c r="CK22" s="263"/>
      <c r="CL22" s="263"/>
      <c r="CM22" s="263"/>
      <c r="CN22" s="263"/>
      <c r="CO22" s="263"/>
      <c r="CP22" s="263"/>
      <c r="CQ22" s="263"/>
      <c r="CR22" s="263"/>
      <c r="CS22" s="263"/>
      <c r="CT22" s="263"/>
      <c r="CU22" s="263"/>
      <c r="CV22" s="263"/>
      <c r="CW22" s="263"/>
      <c r="CX22" s="263"/>
      <c r="CY22" s="263"/>
      <c r="CZ22" s="263"/>
      <c r="DA22" s="263"/>
      <c r="DB22" s="263"/>
      <c r="DC22" s="263"/>
      <c r="DD22" s="263"/>
      <c r="DE22" s="263"/>
      <c r="DF22" s="263"/>
      <c r="DG22" s="263"/>
      <c r="DH22" s="263"/>
      <c r="DI22" s="263"/>
      <c r="DJ22" s="263"/>
      <c r="DK22" s="263"/>
      <c r="DL22" s="263"/>
      <c r="DM22" s="263"/>
      <c r="DN22" s="263"/>
      <c r="DO22" s="263"/>
      <c r="DP22" s="263"/>
      <c r="DQ22" s="263"/>
      <c r="DR22" s="263"/>
      <c r="DS22" s="263"/>
      <c r="DT22" s="263"/>
      <c r="DU22" s="263"/>
      <c r="DV22" s="263"/>
      <c r="DW22" s="263"/>
    </row>
    <row r="23" spans="1:128" ht="10">
      <c r="B23" s="387" t="s">
        <v>182</v>
      </c>
      <c r="C23" s="388"/>
      <c r="D23" s="388"/>
      <c r="E23" s="389"/>
      <c r="F23" s="256" t="s">
        <v>35</v>
      </c>
      <c r="G23" s="253"/>
      <c r="H23" s="263"/>
      <c r="I23" s="263"/>
      <c r="J23" s="263"/>
      <c r="K23" s="263"/>
      <c r="L23" s="263"/>
      <c r="M23" s="263"/>
      <c r="N23" s="263"/>
      <c r="O23" s="263"/>
      <c r="P23" s="263"/>
      <c r="Q23" s="263"/>
      <c r="R23" s="263"/>
      <c r="S23" s="263"/>
      <c r="T23" s="263"/>
      <c r="U23" s="263"/>
      <c r="V23" s="263"/>
      <c r="W23" s="263"/>
      <c r="X23" s="263"/>
      <c r="Y23" s="263"/>
      <c r="Z23" s="263"/>
      <c r="AA23" s="263"/>
      <c r="AB23" s="263"/>
      <c r="AC23" s="263"/>
      <c r="AD23" s="263"/>
      <c r="AE23" s="263"/>
      <c r="AF23" s="263"/>
      <c r="AG23" s="263"/>
      <c r="AH23" s="263"/>
      <c r="AI23" s="263"/>
      <c r="AJ23" s="263"/>
      <c r="AK23" s="263"/>
      <c r="AL23" s="263"/>
      <c r="AM23" s="263"/>
      <c r="AN23" s="263"/>
      <c r="AO23" s="263"/>
      <c r="AP23" s="263"/>
      <c r="AQ23" s="263"/>
      <c r="AR23" s="263"/>
      <c r="AS23" s="263"/>
      <c r="AT23" s="263"/>
      <c r="AU23" s="263"/>
      <c r="AV23" s="263"/>
      <c r="AW23" s="263"/>
      <c r="AX23" s="263"/>
      <c r="AY23" s="263"/>
      <c r="AZ23" s="263"/>
      <c r="BA23" s="263"/>
      <c r="BB23" s="263"/>
      <c r="BC23" s="263"/>
      <c r="BD23" s="263"/>
      <c r="BE23" s="263"/>
      <c r="BF23" s="263"/>
      <c r="BG23" s="263"/>
      <c r="BH23" s="263"/>
      <c r="BI23" s="263"/>
      <c r="BJ23" s="263"/>
      <c r="BK23" s="263"/>
      <c r="BL23" s="263"/>
      <c r="BM23" s="263"/>
      <c r="BN23" s="263"/>
      <c r="BO23" s="263"/>
      <c r="BP23" s="263"/>
      <c r="BQ23" s="263"/>
      <c r="BR23" s="263"/>
      <c r="BS23" s="263"/>
      <c r="BT23" s="263"/>
      <c r="BU23" s="263"/>
      <c r="BV23" s="263"/>
      <c r="BW23" s="263"/>
      <c r="BX23" s="263"/>
      <c r="BY23" s="263"/>
      <c r="BZ23" s="263"/>
      <c r="CA23" s="263"/>
      <c r="CB23" s="263"/>
      <c r="CC23" s="263"/>
      <c r="CD23" s="263"/>
      <c r="CE23" s="263"/>
      <c r="CF23" s="263"/>
      <c r="CG23" s="263"/>
      <c r="CH23" s="263"/>
      <c r="CI23" s="263"/>
      <c r="CJ23" s="263"/>
      <c r="CK23" s="263"/>
      <c r="CL23" s="263"/>
      <c r="CM23" s="263"/>
      <c r="CN23" s="263"/>
      <c r="CO23" s="263"/>
      <c r="CP23" s="263"/>
      <c r="CQ23" s="263"/>
      <c r="CR23" s="263"/>
      <c r="CS23" s="263"/>
      <c r="CT23" s="263"/>
      <c r="CU23" s="263"/>
      <c r="CV23" s="263"/>
      <c r="CW23" s="263"/>
      <c r="CX23" s="263"/>
      <c r="CY23" s="263"/>
      <c r="CZ23" s="263"/>
      <c r="DA23" s="263"/>
      <c r="DB23" s="263"/>
      <c r="DC23" s="263"/>
      <c r="DD23" s="263"/>
      <c r="DE23" s="263"/>
      <c r="DF23" s="263"/>
      <c r="DG23" s="263"/>
      <c r="DH23" s="263"/>
      <c r="DI23" s="263"/>
      <c r="DJ23" s="263"/>
      <c r="DK23" s="263"/>
      <c r="DL23" s="263"/>
      <c r="DM23" s="263"/>
      <c r="DN23" s="263"/>
      <c r="DO23" s="263"/>
      <c r="DP23" s="263"/>
      <c r="DQ23" s="263"/>
      <c r="DR23" s="263"/>
      <c r="DS23" s="263"/>
      <c r="DT23" s="263"/>
      <c r="DU23" s="263"/>
      <c r="DV23" s="263"/>
      <c r="DW23" s="263"/>
    </row>
    <row r="24" spans="1:128" ht="10">
      <c r="B24" s="384" t="s">
        <v>183</v>
      </c>
      <c r="C24" s="384"/>
      <c r="D24" s="384"/>
      <c r="E24" s="384"/>
      <c r="F24" s="256" t="s">
        <v>35</v>
      </c>
      <c r="G24" s="253">
        <f>SUM(H24:DW24)</f>
        <v>0</v>
      </c>
      <c r="H24" s="264">
        <f>'Исходные данные'!F30</f>
        <v>0</v>
      </c>
      <c r="I24" s="264">
        <f>'Исходные данные'!G30</f>
        <v>0</v>
      </c>
      <c r="J24" s="264">
        <f>'Исходные данные'!H30</f>
        <v>0</v>
      </c>
      <c r="K24" s="264">
        <f>'Исходные данные'!I30</f>
        <v>0</v>
      </c>
      <c r="L24" s="264">
        <f>'Исходные данные'!J30</f>
        <v>0</v>
      </c>
      <c r="M24" s="264">
        <f>'Исходные данные'!K30</f>
        <v>0</v>
      </c>
      <c r="N24" s="264">
        <f>'Исходные данные'!L30</f>
        <v>0</v>
      </c>
      <c r="O24" s="264">
        <f>'Исходные данные'!M30</f>
        <v>0</v>
      </c>
      <c r="P24" s="264">
        <f>'Исходные данные'!N30</f>
        <v>0</v>
      </c>
      <c r="Q24" s="264">
        <f>'Исходные данные'!O30</f>
        <v>0</v>
      </c>
      <c r="R24" s="264">
        <f>'Исходные данные'!P30</f>
        <v>0</v>
      </c>
      <c r="S24" s="264">
        <f>'Исходные данные'!Q30</f>
        <v>0</v>
      </c>
      <c r="T24" s="264">
        <f>'Исходные данные'!R30</f>
        <v>0</v>
      </c>
      <c r="U24" s="264">
        <f>'Исходные данные'!S30</f>
        <v>0</v>
      </c>
      <c r="V24" s="264">
        <f>'Исходные данные'!T30</f>
        <v>0</v>
      </c>
      <c r="W24" s="264">
        <f>'Исходные данные'!U30</f>
        <v>0</v>
      </c>
      <c r="X24" s="264">
        <f>'Исходные данные'!V30</f>
        <v>0</v>
      </c>
      <c r="Y24" s="264">
        <f>'Исходные данные'!W30</f>
        <v>0</v>
      </c>
      <c r="Z24" s="264">
        <f>'Исходные данные'!X30</f>
        <v>0</v>
      </c>
      <c r="AA24" s="264">
        <f>'Исходные данные'!Y30</f>
        <v>0</v>
      </c>
      <c r="AB24" s="264">
        <f>'Исходные данные'!Z30</f>
        <v>0</v>
      </c>
      <c r="AC24" s="264">
        <f>'Исходные данные'!AA30</f>
        <v>0</v>
      </c>
      <c r="AD24" s="264">
        <f>'Исходные данные'!AB30</f>
        <v>0</v>
      </c>
      <c r="AE24" s="264">
        <f>'Исходные данные'!AC30</f>
        <v>0</v>
      </c>
      <c r="AF24" s="264">
        <f>'Исходные данные'!AD30</f>
        <v>0</v>
      </c>
      <c r="AG24" s="264">
        <f>'Исходные данные'!AE30</f>
        <v>0</v>
      </c>
      <c r="AH24" s="264">
        <f>'Исходные данные'!AF30</f>
        <v>0</v>
      </c>
      <c r="AI24" s="264">
        <f>'Исходные данные'!AG30</f>
        <v>0</v>
      </c>
      <c r="AJ24" s="264">
        <f>'Исходные данные'!AH30</f>
        <v>0</v>
      </c>
      <c r="AK24" s="264">
        <f>'Исходные данные'!AI30</f>
        <v>0</v>
      </c>
      <c r="AL24" s="264">
        <f>'Исходные данные'!AJ30</f>
        <v>0</v>
      </c>
      <c r="AM24" s="264">
        <f>'Исходные данные'!AK30</f>
        <v>0</v>
      </c>
      <c r="AN24" s="264">
        <f>'Исходные данные'!AL30</f>
        <v>0</v>
      </c>
      <c r="AO24" s="264">
        <f>'Исходные данные'!AM30</f>
        <v>0</v>
      </c>
      <c r="AP24" s="264">
        <f>'Исходные данные'!AN30</f>
        <v>0</v>
      </c>
      <c r="AQ24" s="264">
        <f>'Исходные данные'!AO30</f>
        <v>0</v>
      </c>
      <c r="AR24" s="264">
        <f>'Исходные данные'!AP30</f>
        <v>0</v>
      </c>
      <c r="AS24" s="264">
        <f>'Исходные данные'!AQ30</f>
        <v>0</v>
      </c>
      <c r="AT24" s="264">
        <f>'Исходные данные'!AR30</f>
        <v>0</v>
      </c>
      <c r="AU24" s="264">
        <f>'Исходные данные'!AS30</f>
        <v>0</v>
      </c>
      <c r="AV24" s="264">
        <f>'Исходные данные'!AT30</f>
        <v>0</v>
      </c>
      <c r="AW24" s="264">
        <f>'Исходные данные'!AU30</f>
        <v>0</v>
      </c>
      <c r="AX24" s="264">
        <f>'Исходные данные'!AV30</f>
        <v>0</v>
      </c>
      <c r="AY24" s="264">
        <f>'Исходные данные'!AW30</f>
        <v>0</v>
      </c>
      <c r="AZ24" s="264">
        <f>'Исходные данные'!AX30</f>
        <v>0</v>
      </c>
      <c r="BA24" s="264">
        <f>'Исходные данные'!AY30</f>
        <v>0</v>
      </c>
      <c r="BB24" s="264">
        <f>'Исходные данные'!AZ30</f>
        <v>0</v>
      </c>
      <c r="BC24" s="264">
        <f>'Исходные данные'!BA30</f>
        <v>0</v>
      </c>
      <c r="BD24" s="264">
        <f>'Исходные данные'!BB30</f>
        <v>0</v>
      </c>
      <c r="BE24" s="264">
        <f>'Исходные данные'!BC30</f>
        <v>0</v>
      </c>
      <c r="BF24" s="264">
        <f>'Исходные данные'!BD30</f>
        <v>0</v>
      </c>
      <c r="BG24" s="264">
        <f>'Исходные данные'!BE30</f>
        <v>0</v>
      </c>
      <c r="BH24" s="264">
        <f>'Исходные данные'!BF30</f>
        <v>0</v>
      </c>
      <c r="BI24" s="264">
        <f>'Исходные данные'!BG30</f>
        <v>0</v>
      </c>
      <c r="BJ24" s="264">
        <f>'Исходные данные'!BH30</f>
        <v>0</v>
      </c>
      <c r="BK24" s="264">
        <f>'Исходные данные'!BI30</f>
        <v>0</v>
      </c>
      <c r="BL24" s="264">
        <f>'Исходные данные'!BJ30</f>
        <v>0</v>
      </c>
      <c r="BM24" s="264">
        <f>'Исходные данные'!BK30</f>
        <v>0</v>
      </c>
      <c r="BN24" s="264">
        <f>'Исходные данные'!BL30</f>
        <v>0</v>
      </c>
      <c r="BO24" s="264">
        <f>'Исходные данные'!BM30</f>
        <v>0</v>
      </c>
      <c r="BP24" s="264">
        <f>'Исходные данные'!BN30</f>
        <v>0</v>
      </c>
      <c r="BQ24" s="264">
        <f>'Исходные данные'!BO30</f>
        <v>0</v>
      </c>
      <c r="BR24" s="264">
        <f>'Исходные данные'!BP30</f>
        <v>0</v>
      </c>
      <c r="BS24" s="264">
        <f>'Исходные данные'!BQ30</f>
        <v>0</v>
      </c>
      <c r="BT24" s="264">
        <f>'Исходные данные'!BR30</f>
        <v>0</v>
      </c>
      <c r="BU24" s="264">
        <f>'Исходные данные'!BS30</f>
        <v>0</v>
      </c>
      <c r="BV24" s="264">
        <f>'Исходные данные'!BT30</f>
        <v>0</v>
      </c>
      <c r="BW24" s="264">
        <f>'Исходные данные'!BU30</f>
        <v>0</v>
      </c>
      <c r="BX24" s="264">
        <f>'Исходные данные'!BV30</f>
        <v>0</v>
      </c>
      <c r="BY24" s="264">
        <f>'Исходные данные'!BW30</f>
        <v>0</v>
      </c>
      <c r="BZ24" s="264">
        <f>'Исходные данные'!BX30</f>
        <v>0</v>
      </c>
      <c r="CA24" s="264">
        <f>'Исходные данные'!BY30</f>
        <v>0</v>
      </c>
      <c r="CB24" s="264">
        <f>'Исходные данные'!BZ30</f>
        <v>0</v>
      </c>
      <c r="CC24" s="264">
        <f>'Исходные данные'!CA30</f>
        <v>0</v>
      </c>
      <c r="CD24" s="264">
        <f>'Исходные данные'!CB30</f>
        <v>0</v>
      </c>
      <c r="CE24" s="264">
        <f>'Исходные данные'!CC30</f>
        <v>0</v>
      </c>
      <c r="CF24" s="264">
        <f>'Исходные данные'!CD30</f>
        <v>0</v>
      </c>
      <c r="CG24" s="264">
        <f>'Исходные данные'!CE30</f>
        <v>0</v>
      </c>
      <c r="CH24" s="264">
        <f>'Исходные данные'!CF30</f>
        <v>0</v>
      </c>
      <c r="CI24" s="264">
        <f>'Исходные данные'!CG30</f>
        <v>0</v>
      </c>
      <c r="CJ24" s="264">
        <f>'Исходные данные'!CH30</f>
        <v>0</v>
      </c>
      <c r="CK24" s="264">
        <f>'Исходные данные'!CI30</f>
        <v>0</v>
      </c>
      <c r="CL24" s="264">
        <f>'Исходные данные'!CJ30</f>
        <v>0</v>
      </c>
      <c r="CM24" s="264">
        <f>'Исходные данные'!CK30</f>
        <v>0</v>
      </c>
      <c r="CN24" s="264">
        <f>'Исходные данные'!CL30</f>
        <v>0</v>
      </c>
      <c r="CO24" s="264">
        <f>'Исходные данные'!CM30</f>
        <v>0</v>
      </c>
      <c r="CP24" s="264">
        <f>'Исходные данные'!CN30</f>
        <v>0</v>
      </c>
      <c r="CQ24" s="264">
        <f>'Исходные данные'!CO30</f>
        <v>0</v>
      </c>
      <c r="CR24" s="264">
        <f>'Исходные данные'!CP30</f>
        <v>0</v>
      </c>
      <c r="CS24" s="264">
        <f>'Исходные данные'!CQ30</f>
        <v>0</v>
      </c>
      <c r="CT24" s="264">
        <f>'Исходные данные'!CR30</f>
        <v>0</v>
      </c>
      <c r="CU24" s="264">
        <f>'Исходные данные'!CS30</f>
        <v>0</v>
      </c>
      <c r="CV24" s="264">
        <f>'Исходные данные'!CT30</f>
        <v>0</v>
      </c>
      <c r="CW24" s="264">
        <f>'Исходные данные'!CU30</f>
        <v>0</v>
      </c>
      <c r="CX24" s="264">
        <f>'Исходные данные'!CV30</f>
        <v>0</v>
      </c>
      <c r="CY24" s="264">
        <f>'Исходные данные'!CW30</f>
        <v>0</v>
      </c>
      <c r="CZ24" s="264">
        <f>'Исходные данные'!CX30</f>
        <v>0</v>
      </c>
      <c r="DA24" s="264">
        <f>'Исходные данные'!CY30</f>
        <v>0</v>
      </c>
      <c r="DB24" s="264">
        <f>'Исходные данные'!CZ30</f>
        <v>0</v>
      </c>
      <c r="DC24" s="264">
        <f>'Исходные данные'!DA30</f>
        <v>0</v>
      </c>
      <c r="DD24" s="264">
        <f>'Исходные данные'!DB30</f>
        <v>0</v>
      </c>
      <c r="DE24" s="264">
        <f>'Исходные данные'!DC30</f>
        <v>0</v>
      </c>
      <c r="DF24" s="264">
        <f>'Исходные данные'!DD30</f>
        <v>0</v>
      </c>
      <c r="DG24" s="264">
        <f>'Исходные данные'!DE30</f>
        <v>0</v>
      </c>
      <c r="DH24" s="264">
        <f>'Исходные данные'!DF30</f>
        <v>0</v>
      </c>
      <c r="DI24" s="264">
        <f>'Исходные данные'!DG30</f>
        <v>0</v>
      </c>
      <c r="DJ24" s="264">
        <f>'Исходные данные'!DH30</f>
        <v>0</v>
      </c>
      <c r="DK24" s="264">
        <f>'Исходные данные'!DI30</f>
        <v>0</v>
      </c>
      <c r="DL24" s="264">
        <f>'Исходные данные'!DJ30</f>
        <v>0</v>
      </c>
      <c r="DM24" s="264">
        <f>'Исходные данные'!DK30</f>
        <v>0</v>
      </c>
      <c r="DN24" s="264">
        <f>'Исходные данные'!DL30</f>
        <v>0</v>
      </c>
      <c r="DO24" s="264">
        <f>'Исходные данные'!DM30</f>
        <v>0</v>
      </c>
      <c r="DP24" s="264">
        <f>'Исходные данные'!DN30</f>
        <v>0</v>
      </c>
      <c r="DQ24" s="264">
        <f>'Исходные данные'!DO30</f>
        <v>0</v>
      </c>
      <c r="DR24" s="264">
        <f>'Исходные данные'!DP30</f>
        <v>0</v>
      </c>
      <c r="DS24" s="264">
        <f>'Исходные данные'!DQ30</f>
        <v>0</v>
      </c>
      <c r="DT24" s="264">
        <f>'Исходные данные'!DR30</f>
        <v>0</v>
      </c>
      <c r="DU24" s="264">
        <f>'Исходные данные'!DS30</f>
        <v>0</v>
      </c>
      <c r="DV24" s="264">
        <f>'Исходные данные'!DT30</f>
        <v>0</v>
      </c>
      <c r="DW24" s="264">
        <f>'Исходные данные'!DU30</f>
        <v>0</v>
      </c>
    </row>
    <row r="25" spans="1:128" ht="10">
      <c r="B25" s="384" t="s">
        <v>63</v>
      </c>
      <c r="C25" s="384"/>
      <c r="D25" s="384"/>
      <c r="E25" s="384"/>
      <c r="F25" s="256" t="s">
        <v>35</v>
      </c>
      <c r="G25" s="253">
        <f>SUM(H25:DW25)</f>
        <v>242907389691.28488</v>
      </c>
      <c r="H25" s="264">
        <f>SUM('Операционные затраты'!E9,'Операционные затраты'!E22,'Операционные затраты'!E24)</f>
        <v>600171666</v>
      </c>
      <c r="I25" s="264">
        <f>SUM('Операционные затраты'!F9,'Операционные затраты'!F22,'Операционные затраты'!F24)</f>
        <v>600171666</v>
      </c>
      <c r="J25" s="264">
        <f>SUM('Операционные затраты'!G9,'Операционные затраты'!G22,'Операционные затраты'!G24)</f>
        <v>600171666</v>
      </c>
      <c r="K25" s="264">
        <f>SUM('Операционные затраты'!H9,'Операционные затраты'!H22,'Операционные затраты'!H24)</f>
        <v>600171666</v>
      </c>
      <c r="L25" s="264">
        <f>SUM('Операционные затраты'!I9,'Операционные затраты'!I22,'Операционные затраты'!I24)</f>
        <v>600171666</v>
      </c>
      <c r="M25" s="264">
        <f>SUM('Операционные затраты'!J9,'Операционные затраты'!J22,'Операционные затраты'!J24)</f>
        <v>600171666</v>
      </c>
      <c r="N25" s="264">
        <f>SUM('Операционные затраты'!K9,'Операционные затраты'!K22,'Операционные затраты'!K24)</f>
        <v>600171666</v>
      </c>
      <c r="O25" s="264">
        <f>SUM('Операционные затраты'!L9,'Операционные затраты'!L22,'Операционные затраты'!L24)</f>
        <v>600171666</v>
      </c>
      <c r="P25" s="264">
        <f>SUM('Операционные затраты'!M9,'Операционные затраты'!M22,'Операционные затраты'!M24)</f>
        <v>600171666</v>
      </c>
      <c r="Q25" s="264">
        <f>SUM('Операционные затраты'!N9,'Операционные затраты'!N22,'Операционные затраты'!N24)</f>
        <v>600171666</v>
      </c>
      <c r="R25" s="264">
        <f>SUM('Операционные затраты'!O9,'Операционные затраты'!O22,'Операционные затраты'!O24)</f>
        <v>600171666</v>
      </c>
      <c r="S25" s="264">
        <f>SUM('Операционные затраты'!P9,'Операционные затраты'!P22,'Операционные затраты'!P24)</f>
        <v>600171666</v>
      </c>
      <c r="T25" s="264">
        <f>SUM('Операционные затраты'!Q9,'Операционные затраты'!Q22,'Операционные затраты'!Q24)</f>
        <v>1738907667.1871402</v>
      </c>
      <c r="U25" s="264">
        <f>SUM('Операционные затраты'!R9,'Операционные затраты'!R22,'Операционные затраты'!R24)</f>
        <v>1742697800.5400155</v>
      </c>
      <c r="V25" s="264">
        <f>SUM('Операционные затраты'!S9,'Операционные затраты'!S22,'Операционные затраты'!S24)</f>
        <v>1746556810.3701036</v>
      </c>
      <c r="W25" s="264">
        <f>SUM('Операционные затраты'!T9,'Операционные затраты'!T22,'Операционные затраты'!T24)</f>
        <v>1750486050.2027478</v>
      </c>
      <c r="X25" s="264">
        <f>SUM('Операционные затраты'!U9,'Операционные затраты'!U22,'Операционные затраты'!U24)</f>
        <v>1754486901.3650362</v>
      </c>
      <c r="Y25" s="264">
        <f>SUM('Операционные затраты'!V9,'Операционные затраты'!V22,'Операционные затраты'!V24)</f>
        <v>1758560773.5699925</v>
      </c>
      <c r="Z25" s="264">
        <f>SUM('Операционные затраты'!W9,'Операционные затраты'!W22,'Операционные затраты'!W24)</f>
        <v>1762709105.5131831</v>
      </c>
      <c r="AA25" s="264">
        <f>SUM('Операционные затраты'!X9,'Операционные затраты'!X22,'Операционные затраты'!X24)</f>
        <v>1766933365.4819977</v>
      </c>
      <c r="AB25" s="264">
        <f>SUM('Операционные затраты'!Y9,'Операционные затраты'!Y22,'Операционные затраты'!Y24)</f>
        <v>1771235051.9778821</v>
      </c>
      <c r="AC25" s="264">
        <f>SUM('Операционные затраты'!Z9,'Операционные затраты'!Z22,'Операционные затраты'!Z24)</f>
        <v>1775615694.351794</v>
      </c>
      <c r="AD25" s="264">
        <f>SUM('Операционные затраты'!AA9,'Операционные затраты'!AA22,'Операционные затраты'!AA24)</f>
        <v>1780076853.4531679</v>
      </c>
      <c r="AE25" s="264">
        <f>SUM('Операционные затраты'!AB9,'Операционные затраты'!AB22,'Операционные затраты'!AB24)</f>
        <v>1784620122.2926772</v>
      </c>
      <c r="AF25" s="264">
        <f>SUM('Операционные затраты'!AC9,'Операционные затраты'!AC22,'Операционные затраты'!AC24)</f>
        <v>1789257126.7190847</v>
      </c>
      <c r="AG25" s="264">
        <f>SUM('Операционные затраты'!AD9,'Операционные затраты'!AD22,'Операционные затраты'!AD24)</f>
        <v>1793969526.1104891</v>
      </c>
      <c r="AH25" s="264">
        <f>SUM('Операционные затраты'!AE9,'Операционные затраты'!AE22,'Операционные затраты'!AE24)</f>
        <v>1798769014.0802696</v>
      </c>
      <c r="AI25" s="264">
        <f>SUM('Операционные затраты'!AF9,'Операционные затраты'!AF22,'Операционные затраты'!AF24)</f>
        <v>1803657319.1980429</v>
      </c>
      <c r="AJ25" s="264">
        <f>SUM('Операционные затраты'!AG9,'Операционные затраты'!AG22,'Операционные затраты'!AG24)</f>
        <v>1808636205.7259593</v>
      </c>
      <c r="AK25" s="264">
        <f>SUM('Операционные затраты'!AH9,'Операционные затраты'!AH22,'Операционные затраты'!AH24)</f>
        <v>1813707474.3706567</v>
      </c>
      <c r="AL25" s="264">
        <f>SUM('Операционные затраты'!AI9,'Операционные затраты'!AI22,'Операционные затраты'!AI24)</f>
        <v>1818872963.0512159</v>
      </c>
      <c r="AM25" s="264">
        <f>SUM('Операционные затраты'!AJ9,'Операционные затраты'!AJ22,'Операционные затраты'!AJ24)</f>
        <v>1824134547.6834517</v>
      </c>
      <c r="AN25" s="264">
        <f>SUM('Операционные затраты'!AK9,'Операционные затраты'!AK22,'Операционные затраты'!AK24)</f>
        <v>1829494142.9808967</v>
      </c>
      <c r="AO25" s="264">
        <f>SUM('Операционные затраты'!AL9,'Операционные затраты'!AL22,'Операционные затраты'!AL24)</f>
        <v>1834953703.272825</v>
      </c>
      <c r="AP25" s="264">
        <f>SUM('Операционные затраты'!AM9,'Операционные затраты'!AM22,'Операционные затраты'!AM24)</f>
        <v>1840515223.3396912</v>
      </c>
      <c r="AQ25" s="264">
        <f>SUM('Операционные затраты'!AN9,'Операционные затраты'!AN22,'Операционные затраты'!AN24)</f>
        <v>1846180739.2663457</v>
      </c>
      <c r="AR25" s="264">
        <f>SUM('Операционные затраты'!AO9,'Операционные затраты'!AO22,'Операционные затраты'!AO24)</f>
        <v>1851962329.3134174</v>
      </c>
      <c r="AS25" s="264">
        <f>SUM('Операционные затраты'!AP9,'Операционные затраты'!AP22,'Операционные затраты'!AP24)</f>
        <v>1857842114.8072412</v>
      </c>
      <c r="AT25" s="264">
        <f>SUM('Операционные затраты'!AQ9,'Операционные затраты'!AQ22,'Операционные затраты'!AQ24)</f>
        <v>1863832261.0487368</v>
      </c>
      <c r="AU25" s="264">
        <f>SUM('Операционные затраты'!AR9,'Операционные затраты'!AR22,'Операционные затраты'!AR24)</f>
        <v>1869934978.241636</v>
      </c>
      <c r="AV25" s="264">
        <f>SUM('Операционные затраты'!AS9,'Операционные затраты'!AS22,'Операционные затраты'!AS24)</f>
        <v>1876152522.4404781</v>
      </c>
      <c r="AW25" s="264">
        <f>SUM('Операционные затраты'!AT9,'Операционные затраты'!AT22,'Операционные затраты'!AT24)</f>
        <v>1882487196.5187922</v>
      </c>
      <c r="AX25" s="264">
        <f>SUM('Операционные затраты'!AU9,'Операционные затраты'!AU22,'Операционные затраты'!AU24)</f>
        <v>1888941351.1579003</v>
      </c>
      <c r="AY25" s="264">
        <f>SUM('Операционные затраты'!AV9,'Операционные затраты'!AV22,'Операционные затраты'!AV24)</f>
        <v>1895517385.8567805</v>
      </c>
      <c r="AZ25" s="264">
        <f>SUM('Операционные затраты'!AW9,'Операционные затраты'!AW22,'Операционные затраты'!AW24)</f>
        <v>1902217749.9634418</v>
      </c>
      <c r="BA25" s="264">
        <f>SUM('Операционные затраты'!AX9,'Операционные затраты'!AX22,'Операционные затраты'!AX24)</f>
        <v>1909044943.7282722</v>
      </c>
      <c r="BB25" s="264">
        <f>SUM('Операционные затраты'!AY9,'Операционные затраты'!AY22,'Операционные затраты'!AY24)</f>
        <v>1916001519.3798242</v>
      </c>
      <c r="BC25" s="264">
        <f>SUM('Операционные затраты'!AZ9,'Операционные затраты'!AZ22,'Операционные затраты'!AZ24)</f>
        <v>1923090082.2235241</v>
      </c>
      <c r="BD25" s="264">
        <f>SUM('Операционные затраты'!BA9,'Операционные затраты'!BA22,'Операционные затраты'!BA24)</f>
        <v>1930323291.7637949</v>
      </c>
      <c r="BE25" s="264">
        <f>SUM('Операционные затраты'!BB9,'Операционные затраты'!BB22,'Операционные затраты'!BB24)</f>
        <v>1937683862.8500857</v>
      </c>
      <c r="BF25" s="264">
        <f>SUM('Операционные затраты'!BC9,'Операционные затраты'!BC22,'Операционные затраты'!BC24)</f>
        <v>1945184566.8473306</v>
      </c>
      <c r="BG25" s="264">
        <f>SUM('Операционные затраты'!BD9,'Операционные затраты'!BD22,'Операционные затраты'!BD24)</f>
        <v>1952828232.8313494</v>
      </c>
      <c r="BH25" s="264">
        <f>SUM('Операционные затраты'!BE9,'Операционные затраты'!BE22,'Операционные затраты'!BE24)</f>
        <v>1960617748.809732</v>
      </c>
      <c r="BI25" s="264">
        <f>SUM('Операционные затраты'!BF9,'Операционные затраты'!BF22,'Операционные затраты'!BF24)</f>
        <v>1968556062.9687443</v>
      </c>
      <c r="BJ25" s="264">
        <f>SUM('Операционные затраты'!BG9,'Операционные затраты'!BG22,'Операционные затраты'!BG24)</f>
        <v>1976646184.9468186</v>
      </c>
      <c r="BK25" s="264">
        <f>SUM('Операционные затраты'!BH9,'Операционные затраты'!BH22,'Операционные затраты'!BH24)</f>
        <v>1984891187.1351914</v>
      </c>
      <c r="BL25" s="264">
        <f>SUM('Операционные затраты'!BI9,'Операционные затраты'!BI22,'Операционные затраты'!BI24)</f>
        <v>1993294206.0062761</v>
      </c>
      <c r="BM25" s="264">
        <f>SUM('Операционные затраты'!BJ9,'Операционные затраты'!BJ22,'Операционные затраты'!BJ24)</f>
        <v>2001858443.4703565</v>
      </c>
      <c r="BN25" s="264">
        <f>SUM('Операционные затраты'!BK9,'Операционные затраты'!BK22,'Операционные затраты'!BK24)</f>
        <v>2010587168.2612128</v>
      </c>
      <c r="BO25" s="264">
        <f>SUM('Операционные затраты'!BL9,'Операционные затраты'!BL22,'Операционные затраты'!BL24)</f>
        <v>2019483717.3512988</v>
      </c>
      <c r="BP25" s="264">
        <f>SUM('Операционные затраты'!BM9,'Операционные затраты'!BM22,'Операционные затраты'!BM24)</f>
        <v>2028561497.3970969</v>
      </c>
      <c r="BQ25" s="264">
        <f>SUM('Операционные затраты'!BN9,'Операционные затраты'!BN22,'Операционные затраты'!BN24)</f>
        <v>2037803986.2153049</v>
      </c>
      <c r="BR25" s="264">
        <f>SUM('Операционные затраты'!BO9,'Операционные затраты'!BO22,'Операционные затраты'!BO24)</f>
        <v>2047224734.2905078</v>
      </c>
      <c r="BS25" s="264">
        <f>SUM('Операционные затраты'!BP9,'Операционные затраты'!BP22,'Операционные затраты'!BP24)</f>
        <v>2056827366.3150115</v>
      </c>
      <c r="BT25" s="264">
        <f>SUM('Операционные затраты'!BQ9,'Операционные затраты'!BQ22,'Операционные затраты'!BQ24)</f>
        <v>2066615582.7615275</v>
      </c>
      <c r="BU25" s="264">
        <f>SUM('Операционные затраты'!BR9,'Операционные затраты'!BR22,'Операционные затраты'!BR24)</f>
        <v>2076593161.4894075</v>
      </c>
      <c r="BV25" s="264">
        <f>SUM('Операционные затраты'!BS9,'Операционные затраты'!BS22,'Операционные затраты'!BS24)</f>
        <v>2086763959.3851497</v>
      </c>
      <c r="BW25" s="264">
        <f>SUM('Операционные затраты'!BT9,'Операционные затраты'!BT22,'Операционные затраты'!BT24)</f>
        <v>2097131914.0379109</v>
      </c>
      <c r="BX25" s="264">
        <f>SUM('Операционные затраты'!BU9,'Операционные затраты'!BU22,'Операционные затраты'!BU24)</f>
        <v>2107701045.4507694</v>
      </c>
      <c r="BY25" s="264">
        <f>SUM('Операционные затраты'!BV9,'Операционные затраты'!BV22,'Операционные затраты'!BV24)</f>
        <v>2118475457.7885079</v>
      </c>
      <c r="BZ25" s="264">
        <f>SUM('Операционные затраты'!BW9,'Операционные затраты'!BW22,'Операционные затраты'!BW24)</f>
        <v>2129459341.1626968</v>
      </c>
      <c r="CA25" s="264">
        <f>SUM('Операционные затраты'!BX9,'Операционные затраты'!BX22,'Операционные затраты'!BX24)</f>
        <v>2140656973.4548745</v>
      </c>
      <c r="CB25" s="264">
        <f>SUM('Операционные затраты'!BY9,'Операционные затраты'!BY22,'Операционные затраты'!BY24)</f>
        <v>2152082722.1786447</v>
      </c>
      <c r="CC25" s="264">
        <f>SUM('Операционные затраты'!BZ9,'Операционные затраты'!BZ22,'Операционные затраты'!BZ24)</f>
        <v>2163721046.3815169</v>
      </c>
      <c r="CD25" s="264">
        <f>SUM('Операционные затраты'!CA9,'Операционные затраты'!CA22,'Операционные затраты'!CA24)</f>
        <v>2175586498.5873489</v>
      </c>
      <c r="CE25" s="264">
        <f>SUM('Операционные затраты'!CB9,'Операционные затраты'!CB22,'Операционные затраты'!CB24)</f>
        <v>2187683726.7802544</v>
      </c>
      <c r="CF25" s="264">
        <f>SUM('Операционные затраты'!CC9,'Операционные затраты'!CC22,'Операционные затраты'!CC24)</f>
        <v>2200017476.4308667</v>
      </c>
      <c r="CG25" s="264">
        <f>SUM('Операционные затраты'!CD9,'Операционные затраты'!CD22,'Операционные затраты'!CD24)</f>
        <v>2212592592.5658598</v>
      </c>
      <c r="CH25" s="264">
        <f>SUM('Операционные затраты'!CE9,'Операционные затраты'!CE22,'Операционные затраты'!CE24)</f>
        <v>2225414021.8816652</v>
      </c>
      <c r="CI25" s="264">
        <f>SUM('Операционные затраты'!CF9,'Операционные затраты'!CF22,'Операционные затраты'!CF24)</f>
        <v>2238486814.9033151</v>
      </c>
      <c r="CJ25" s="264">
        <f>SUM('Операционные затраты'!CG9,'Операционные затраты'!CG22,'Операционные затраты'!CG24)</f>
        <v>2251816128.1893902</v>
      </c>
      <c r="CK25" s="264">
        <f>SUM('Операционные затраты'!CH9,'Операционные затраты'!CH22,'Операционные затраты'!CH24)</f>
        <v>2265407226.5840511</v>
      </c>
      <c r="CL25" s="264">
        <f>SUM('Операционные затраты'!CI9,'Операционные затраты'!CI22,'Операционные затраты'!CI24)</f>
        <v>2279265485.5171714</v>
      </c>
      <c r="CM25" s="264">
        <f>SUM('Операционные затраты'!CJ9,'Операционные затраты'!CJ22,'Операционные затраты'!CJ24)</f>
        <v>2293396393.3535881</v>
      </c>
      <c r="CN25" s="264">
        <f>SUM('Операционные затраты'!CK9,'Операционные затраты'!CK22,'Операционные затраты'!CK24)</f>
        <v>2307815553.7925367</v>
      </c>
      <c r="CO25" s="264">
        <f>SUM('Операционные затраты'!CL9,'Операционные затраты'!CL22,'Операционные затраты'!CL24)</f>
        <v>2322508688.3183322</v>
      </c>
      <c r="CP25" s="264">
        <f>SUM('Операционные затраты'!CM9,'Операционные затраты'!CM22,'Операционные затраты'!CM24)</f>
        <v>2337491638.7034016</v>
      </c>
      <c r="CQ25" s="264">
        <f>SUM('Операционные затраты'!CN9,'Операционные затраты'!CN22,'Операционные затраты'!CN24)</f>
        <v>2352770369.5647893</v>
      </c>
      <c r="CR25" s="264">
        <f>SUM('Операционные затраты'!CO9,'Операционные затраты'!CO22,'Операционные затраты'!CO24)</f>
        <v>2368350970.9752712</v>
      </c>
      <c r="CS25" s="264">
        <f>SUM('Операционные затраты'!CP9,'Операционные затраты'!CP22,'Операционные затраты'!CP24)</f>
        <v>2384239661.1302609</v>
      </c>
      <c r="CT25" s="264">
        <f>SUM('Операционные затраты'!CQ9,'Операционные затраты'!CQ22,'Операционные затраты'!CQ24)</f>
        <v>2400442789.0716901</v>
      </c>
      <c r="CU25" s="264">
        <f>SUM('Операционные затраты'!CR9,'Операционные затраты'!CR22,'Операционные затраты'!CR24)</f>
        <v>2416966837.4700899</v>
      </c>
      <c r="CV25" s="264">
        <f>SUM('Операционные затраты'!CS9,'Операционные затраты'!CS22,'Операционные затраты'!CS24)</f>
        <v>2433818425.4661222</v>
      </c>
      <c r="CW25" s="264">
        <f>SUM('Операционные затраты'!CT9,'Операционные затраты'!CT22,'Операционные затраты'!CT24)</f>
        <v>2451004311.572825</v>
      </c>
      <c r="CX25" s="264">
        <f>SUM('Операционные затраты'!CU9,'Операционные затраты'!CU22,'Операционные затраты'!CU24)</f>
        <v>2468531396.6398792</v>
      </c>
      <c r="CY25" s="264">
        <f>SUM('Операционные затраты'!CV9,'Операционные затраты'!CV22,'Операционные затраты'!CV24)</f>
        <v>2486406726.8812275</v>
      </c>
      <c r="CZ25" s="264">
        <f>SUM('Операционные затраты'!CW9,'Операционные затраты'!CW22,'Операционные затраты'!CW24)</f>
        <v>2504647496.9673944</v>
      </c>
      <c r="DA25" s="264">
        <f>SUM('Операционные затраты'!CX9,'Операционные затраты'!CX22,'Операционные затраты'!CX24)</f>
        <v>2523241053.1838961</v>
      </c>
      <c r="DB25" s="264">
        <f>SUM('Операционные затраты'!CY9,'Операционные затраты'!CY22,'Операционные затраты'!CY24)</f>
        <v>2542204896.6571631</v>
      </c>
      <c r="DC25" s="264">
        <f>SUM('Операционные затраты'!CZ9,'Операционные затраты'!CZ22,'Операционные затраты'!CZ24)</f>
        <v>2561546686.6494079</v>
      </c>
      <c r="DD25" s="264">
        <f>SUM('Операционные затраты'!DA9,'Операционные затраты'!DA22,'Операционные затраты'!DA24)</f>
        <v>2581274243.9239292</v>
      </c>
      <c r="DE25" s="264">
        <f>SUM('Операционные затраты'!DB9,'Операционные затраты'!DB22,'Операционные затраты'!DB24)</f>
        <v>2601395554.1823506</v>
      </c>
      <c r="DF25" s="264">
        <f>SUM('Операционные затраты'!DC9,'Операционные затраты'!DC22,'Операционные затраты'!DC24)</f>
        <v>2621918771.5753388</v>
      </c>
      <c r="DG25" s="264">
        <f>SUM('Операционные затраты'!DD9,'Операционные затраты'!DD22,'Операционные затраты'!DD24)</f>
        <v>2642852222.2883768</v>
      </c>
      <c r="DH25" s="264">
        <f>SUM('Операционные затраты'!DE9,'Операционные затраты'!DE22,'Операционные затраты'!DE24)</f>
        <v>2664204408.2041979</v>
      </c>
      <c r="DI25" s="264">
        <f>SUM('Операционные затраты'!DF9,'Операционные затраты'!DF22,'Операционные затраты'!DF24)</f>
        <v>2685984010.6435237</v>
      </c>
      <c r="DJ25" s="264">
        <f>SUM('Операционные затраты'!DG9,'Операционные затраты'!DG22,'Операционные затраты'!DG24)</f>
        <v>2708199894.185782</v>
      </c>
      <c r="DK25" s="264">
        <f>SUM('Операционные затраты'!DH9,'Операционные затраты'!DH22,'Операционные затраты'!DH24)</f>
        <v>2730861110.5715189</v>
      </c>
      <c r="DL25" s="264">
        <f>SUM('Операционные затраты'!DI9,'Операционные затраты'!DI22,'Операционные затраты'!DI24)</f>
        <v>2753986902.6882606</v>
      </c>
      <c r="DM25" s="264">
        <f>SUM('Операционные затраты'!DJ9,'Операционные затраты'!DJ22,'Операционные затраты'!DJ24)</f>
        <v>2777566708.6415997</v>
      </c>
      <c r="DN25" s="264">
        <f>SUM('Операционные затраты'!DK9,'Операционные затраты'!DK22,'Операционные затраты'!DK24)</f>
        <v>2801620165.9133492</v>
      </c>
      <c r="DO25" s="264">
        <f>SUM('Операционные затраты'!DL9,'Операционные затраты'!DL22,'Операционные затраты'!DL24)</f>
        <v>2826157115.6086121</v>
      </c>
      <c r="DP25" s="264">
        <f>SUM('Операционные затраты'!DM9,'Операционные затраты'!DM22,'Операционные затраты'!DM24)</f>
        <v>2851187606.7936869</v>
      </c>
      <c r="DQ25" s="264">
        <f>SUM('Операционные затраты'!DN9,'Операционные затраты'!DN22,'Операционные затраты'!DN24)</f>
        <v>2876721900.9267449</v>
      </c>
      <c r="DR25" s="264">
        <f>SUM('Операционные затраты'!DO9,'Операционные затраты'!DO22,'Операционные затраты'!DO24)</f>
        <v>2902770476.3832722</v>
      </c>
      <c r="DS25" s="264">
        <f>SUM('Операционные затраты'!DP9,'Операционные затраты'!DP22,'Операционные затраты'!DP24)</f>
        <v>2929344033.0783029</v>
      </c>
      <c r="DT25" s="264">
        <f>SUM('Операционные затраты'!DQ9,'Операционные затраты'!DQ22,'Операционные затраты'!DQ24)</f>
        <v>2956453497.1875257</v>
      </c>
      <c r="DU25" s="264">
        <f>SUM('Операционные затраты'!DR9,'Операционные затраты'!DR22,'Операционные затраты'!DR24)</f>
        <v>2984110025.9693689</v>
      </c>
      <c r="DV25" s="264">
        <f>SUM('Операционные затраты'!DS9,'Операционные затраты'!DS22,'Операционные затраты'!DS24)</f>
        <v>3012325012.6902437</v>
      </c>
      <c r="DW25" s="264">
        <f>SUM('Операционные затраты'!DT9,'Операционные затраты'!DT22,'Операционные затраты'!DT24)</f>
        <v>3041110091.6551414</v>
      </c>
    </row>
    <row r="26" spans="1:128" ht="10">
      <c r="B26" s="384" t="s">
        <v>184</v>
      </c>
      <c r="C26" s="384"/>
      <c r="D26" s="384"/>
      <c r="E26" s="384"/>
      <c r="F26" s="256" t="s">
        <v>35</v>
      </c>
      <c r="G26" s="253">
        <f>SUM(H26:DW26)</f>
        <v>82014455400623.422</v>
      </c>
      <c r="H26" s="264">
        <f>'Выручка, до'!D9</f>
        <v>91278535241.475464</v>
      </c>
      <c r="I26" s="264">
        <f>'Выручка, до'!E9</f>
        <v>93644521246.794586</v>
      </c>
      <c r="J26" s="264">
        <f>'Выручка, до'!F9</f>
        <v>96074892476.972198</v>
      </c>
      <c r="K26" s="264">
        <f>'Выручка, до'!G9</f>
        <v>98571476142.548843</v>
      </c>
      <c r="L26" s="264">
        <f>'Выручка, до'!H9</f>
        <v>101136153066.28827</v>
      </c>
      <c r="M26" s="264">
        <f>'Выручка, до'!I9</f>
        <v>103770859295.63654</v>
      </c>
      <c r="N26" s="264">
        <f>'Выручка, до'!J9</f>
        <v>106477587764.53366</v>
      </c>
      <c r="O26" s="264">
        <f>'Выручка, до'!K9</f>
        <v>109258390006.10591</v>
      </c>
      <c r="P26" s="264">
        <f>'Выручка, до'!L9</f>
        <v>112115377917.8158</v>
      </c>
      <c r="Q26" s="264">
        <f>'Выручка, до'!M9</f>
        <v>115050725580.69447</v>
      </c>
      <c r="R26" s="264">
        <f>'Выручка, до'!N9</f>
        <v>118066671134.33347</v>
      </c>
      <c r="S26" s="264">
        <f>'Выручка, до'!O9</f>
        <v>121165518709.36453</v>
      </c>
      <c r="T26" s="264">
        <f>'Выручка, до'!P9</f>
        <v>124349640419.20969</v>
      </c>
      <c r="U26" s="264">
        <f>'Выручка, до'!Q9</f>
        <v>127621478412.94052</v>
      </c>
      <c r="V26" s="264">
        <f>'Выручка, до'!R9</f>
        <v>130983546991.14232</v>
      </c>
      <c r="W26" s="264">
        <f>'Выручка, до'!S9</f>
        <v>134438434786.73795</v>
      </c>
      <c r="X26" s="264">
        <f>'Выручка, до'!T9</f>
        <v>137988807012.78815</v>
      </c>
      <c r="Y26" s="264">
        <f>'Выручка, до'!U9</f>
        <v>141637407779.34702</v>
      </c>
      <c r="Z26" s="264">
        <f>'Выручка, до'!V9</f>
        <v>145387062481.51724</v>
      </c>
      <c r="AA26" s="264">
        <f>'Выручка, до'!W9</f>
        <v>149240680260.91635</v>
      </c>
      <c r="AB26" s="264">
        <f>'Выручка, до'!X9</f>
        <v>153201256542.83444</v>
      </c>
      <c r="AC26" s="264">
        <f>'Выручка, до'!Y9</f>
        <v>157271875651.43488</v>
      </c>
      <c r="AD26" s="264">
        <f>'Выручка, до'!Z9</f>
        <v>161455713505.42404</v>
      </c>
      <c r="AE26" s="264">
        <f>'Выручка, до'!AA9</f>
        <v>165756040396.6908</v>
      </c>
      <c r="AF26" s="264">
        <f>'Выручка, до'!AB9</f>
        <v>170176223854.4953</v>
      </c>
      <c r="AG26" s="264">
        <f>'Выручка, до'!AC9</f>
        <v>174719731597.86774</v>
      </c>
      <c r="AH26" s="264">
        <f>'Выручка, до'!AD9</f>
        <v>179390134578.96024</v>
      </c>
      <c r="AI26" s="264">
        <f>'Выручка, до'!AE9</f>
        <v>184191110120.18152</v>
      </c>
      <c r="AJ26" s="264">
        <f>'Выручка, до'!AF9</f>
        <v>189126445148.03214</v>
      </c>
      <c r="AK26" s="264">
        <f>'Выручка, до'!AG9</f>
        <v>194200039526.65012</v>
      </c>
      <c r="AL26" s="264">
        <f>'Выручка, до'!AH9</f>
        <v>199415909494.17014</v>
      </c>
      <c r="AM26" s="264">
        <f>'Выручка, до'!AI9</f>
        <v>204778191205.0972</v>
      </c>
      <c r="AN26" s="264">
        <f>'Выручка, до'!AJ9</f>
        <v>210291144381.9964</v>
      </c>
      <c r="AO26" s="264">
        <f>'Выручка, до'!AK9</f>
        <v>215959156079.90256</v>
      </c>
      <c r="AP26" s="264">
        <f>'Выручка, до'!AL9</f>
        <v>221786744566.96155</v>
      </c>
      <c r="AQ26" s="264">
        <f>'Выручка, до'!AM9</f>
        <v>227778563324.92413</v>
      </c>
      <c r="AR26" s="264">
        <f>'Выручка, до'!AN9</f>
        <v>233939405173.22748</v>
      </c>
      <c r="AS26" s="264">
        <f>'Выручка, до'!AO9</f>
        <v>240274206520.51562</v>
      </c>
      <c r="AT26" s="264">
        <f>'Выручка, до'!AP9</f>
        <v>246788051747.57178</v>
      </c>
      <c r="AU26" s="264">
        <f>'Выручка, до'!AQ9</f>
        <v>253486177725.75928</v>
      </c>
      <c r="AV26" s="264">
        <f>'Выручка, до'!AR9</f>
        <v>260373978475.19733</v>
      </c>
      <c r="AW26" s="264">
        <f>'Выручка, до'!AS9</f>
        <v>267457009967.02826</v>
      </c>
      <c r="AX26" s="264">
        <f>'Выручка, до'!AT9</f>
        <v>274740995074.27289</v>
      </c>
      <c r="AY26" s="264">
        <f>'Выручка, до'!AU9</f>
        <v>282231828675.90784</v>
      </c>
      <c r="AZ26" s="264">
        <f>'Выручка, до'!AV9</f>
        <v>289935582918.94702</v>
      </c>
      <c r="BA26" s="264">
        <f>'Выручка, до'!AW9</f>
        <v>297858512643.45813</v>
      </c>
      <c r="BB26" s="264">
        <f>'Выручка, до'!AX9</f>
        <v>306007060975.59979</v>
      </c>
      <c r="BC26" s="264">
        <f>'Выручка, до'!AY9</f>
        <v>314387865093.92462</v>
      </c>
      <c r="BD26" s="264">
        <f>'Выручка, до'!AZ9</f>
        <v>323007762174.35895</v>
      </c>
      <c r="BE26" s="264">
        <f>'Выручка, до'!BA9</f>
        <v>331873795519.43768</v>
      </c>
      <c r="BF26" s="264">
        <f>'Выручка, до'!BB9</f>
        <v>340993220877.55115</v>
      </c>
      <c r="BG26" s="264">
        <f>'Выручка, до'!BC9</f>
        <v>350373512958.1366</v>
      </c>
      <c r="BH26" s="264">
        <f>'Выручка, до'!BD9</f>
        <v>360022372148.94019</v>
      </c>
      <c r="BI26" s="264">
        <f>'Выручка, до'!BE9</f>
        <v>369947731441.65918</v>
      </c>
      <c r="BJ26" s="264">
        <f>'Выручка, до'!BF9</f>
        <v>380157763572.48083</v>
      </c>
      <c r="BK26" s="264">
        <f>'Выручка, до'!BG9</f>
        <v>390660888384.23169</v>
      </c>
      <c r="BL26" s="264">
        <f>'Выручка, до'!BH9</f>
        <v>401465780417.0675</v>
      </c>
      <c r="BM26" s="264">
        <f>'Выручка, до'!BI9</f>
        <v>412581376734.84717</v>
      </c>
      <c r="BN26" s="264">
        <f>'Выручка, до'!BJ9</f>
        <v>424016884994.56213</v>
      </c>
      <c r="BO26" s="264">
        <f>'Выручка, до'!BK9</f>
        <v>435781791766.42285</v>
      </c>
      <c r="BP26" s="264">
        <f>'Выручка, до'!BL9</f>
        <v>447885871112.44031</v>
      </c>
      <c r="BQ26" s="264">
        <f>'Выручка, до'!BM9</f>
        <v>460339193431.59229</v>
      </c>
      <c r="BR26" s="264">
        <f>'Выручка, до'!BN9</f>
        <v>473152134579.91248</v>
      </c>
      <c r="BS26" s="264">
        <f>'Выручка, до'!BO9</f>
        <v>486335385274.10681</v>
      </c>
      <c r="BT26" s="264">
        <f>'Выручка, до'!BP9</f>
        <v>499899960787.57031</v>
      </c>
      <c r="BU26" s="264">
        <f>'Выручка, до'!BQ9</f>
        <v>513857210947.95453</v>
      </c>
      <c r="BV26" s="264">
        <f>'Выручка, до'!BR9</f>
        <v>528218830445.72852</v>
      </c>
      <c r="BW26" s="264">
        <f>'Выручка, до'!BS9</f>
        <v>542996869463.46735</v>
      </c>
      <c r="BX26" s="264">
        <f>'Выручка, до'!BT9</f>
        <v>558203744635.91125</v>
      </c>
      <c r="BY26" s="264">
        <f>'Выручка, до'!BU9</f>
        <v>573852250351.15564</v>
      </c>
      <c r="BZ26" s="264">
        <f>'Выручка, до'!BV9</f>
        <v>589955570403.65381</v>
      </c>
      <c r="CA26" s="264">
        <f>'Выручка, до'!BW9</f>
        <v>606527290010.0531</v>
      </c>
      <c r="CB26" s="264">
        <f>'Выручка, до'!BX9</f>
        <v>623581408199.2334</v>
      </c>
      <c r="CC26" s="264">
        <f>'Выручка, до'!BY9</f>
        <v>641132350588.26782</v>
      </c>
      <c r="CD26" s="264">
        <f>'Выручка, до'!BZ9</f>
        <v>659194982556.40344</v>
      </c>
      <c r="CE26" s="264">
        <f>'Выручка, до'!CA9</f>
        <v>677784622829.53198</v>
      </c>
      <c r="CF26" s="264">
        <f>'Выручка, до'!CB9</f>
        <v>696917057488.01843</v>
      </c>
      <c r="CG26" s="264">
        <f>'Выручка, до'!CC9</f>
        <v>716608554411.15637</v>
      </c>
      <c r="CH26" s="264">
        <f>'Выручка, до'!CD9</f>
        <v>736875878171.94031</v>
      </c>
      <c r="CI26" s="264">
        <f>'Выручка, до'!CE9</f>
        <v>757736305396.271</v>
      </c>
      <c r="CJ26" s="264">
        <f>'Выручка, до'!CF9</f>
        <v>779207640601.16162</v>
      </c>
      <c r="CK26" s="264">
        <f>'Выручка, до'!CG9</f>
        <v>801308232526.96008</v>
      </c>
      <c r="CL26" s="264">
        <f>'Выручка, до'!CH9</f>
        <v>824056990979.08838</v>
      </c>
      <c r="CM26" s="264">
        <f>'Выручка, до'!CI9</f>
        <v>847473404195.27466</v>
      </c>
      <c r="CN26" s="264">
        <f>'Выручка, до'!CJ9</f>
        <v>871577556754.76978</v>
      </c>
      <c r="CO26" s="264">
        <f>'Выручка, до'!CK9</f>
        <v>896390148046.54517</v>
      </c>
      <c r="CP26" s="264">
        <f>'Выручка, до'!CL9</f>
        <v>921932511314.0177</v>
      </c>
      <c r="CQ26" s="264">
        <f>'Выручка, до'!CM9</f>
        <v>948226633294.38904</v>
      </c>
      <c r="CR26" s="264">
        <f>'Выручка, до'!CN9</f>
        <v>975295174471.26428</v>
      </c>
      <c r="CS26" s="264">
        <f>'Выручка, до'!CO9</f>
        <v>1003161489959.7925</v>
      </c>
      <c r="CT26" s="264">
        <f>'Выручка, до'!CP9</f>
        <v>1031849651044.1936</v>
      </c>
      <c r="CU26" s="264">
        <f>'Выручка, до'!CQ9</f>
        <v>1061384467388.1416</v>
      </c>
      <c r="CV26" s="264">
        <f>'Выручка, до'!CR9</f>
        <v>1091791509939.1392</v>
      </c>
      <c r="CW26" s="264">
        <f>'Выручка, до'!CS9</f>
        <v>1123097134548.6646</v>
      </c>
      <c r="CX26" s="264">
        <f>'Выручка, до'!CT9</f>
        <v>1155328506330.5784</v>
      </c>
      <c r="CY26" s="264">
        <f>'Выручка, до'!CU9</f>
        <v>1188513624780.9651</v>
      </c>
      <c r="CZ26" s="264">
        <f>'Выручка, до'!CV9</f>
        <v>1222681349683.333</v>
      </c>
      <c r="DA26" s="264">
        <f>'Выручка, до'!CW9</f>
        <v>1257861427823.8369</v>
      </c>
      <c r="DB26" s="264">
        <f>'Выручка, до'!CX9</f>
        <v>1294084520541.9709</v>
      </c>
      <c r="DC26" s="264">
        <f>'Выручка, до'!CY9</f>
        <v>1331382232142.9805</v>
      </c>
      <c r="DD26" s="264">
        <f>'Выручка, до'!CZ9</f>
        <v>1369787139199.0657</v>
      </c>
      <c r="DE26" s="264">
        <f>'Выручка, до'!DA9</f>
        <v>1409332820767.3103</v>
      </c>
      <c r="DF26" s="264">
        <f>'Выручка, до'!DB9</f>
        <v>1450053889553.135</v>
      </c>
      <c r="DG26" s="264">
        <f>'Выручка, до'!DC9</f>
        <v>1491986024049.002</v>
      </c>
      <c r="DH26" s="264">
        <f>'Выручка, до'!DD9</f>
        <v>1535166001679.0156</v>
      </c>
      <c r="DI26" s="264">
        <f>'Выручка, до'!DE9</f>
        <v>1579631732981.0408</v>
      </c>
      <c r="DJ26" s="264">
        <f>'Выручка, до'!DF9</f>
        <v>1625422296858.9597</v>
      </c>
      <c r="DK26" s="264">
        <f>'Выручка, до'!DG9</f>
        <v>1672577976938.6987</v>
      </c>
      <c r="DL26" s="264">
        <f>'Выручка, до'!DH9</f>
        <v>1721140299062.7432</v>
      </c>
      <c r="DM26" s="264">
        <f>'Выручка, до'!DI9</f>
        <v>1771152069958.9316</v>
      </c>
      <c r="DN26" s="264">
        <f>'Выручка, до'!DJ9</f>
        <v>1822657417120.4541</v>
      </c>
      <c r="DO26" s="264">
        <f>'Выручка, до'!DK9</f>
        <v>1875701829935.1536</v>
      </c>
      <c r="DP26" s="264">
        <f>'Выручка, до'!DL9</f>
        <v>1930332202103.417</v>
      </c>
      <c r="DQ26" s="264">
        <f>'Выручка, до'!DM9</f>
        <v>1986596875385.1885</v>
      </c>
      <c r="DR26" s="264">
        <f>'Выручка, до'!DN9</f>
        <v>2044545684717.9182</v>
      </c>
      <c r="DS26" s="264">
        <f>'Выручка, до'!DO9</f>
        <v>2104230004748.5667</v>
      </c>
      <c r="DT26" s="264">
        <f>'Выручка, до'!DP9</f>
        <v>2165702797824.1626</v>
      </c>
      <c r="DU26" s="264">
        <f>'Выручка, до'!DQ9</f>
        <v>2229018663486.7983</v>
      </c>
      <c r="DV26" s="264">
        <f>'Выручка, до'!DR9</f>
        <v>2294233889520.4053</v>
      </c>
      <c r="DW26" s="264">
        <f>'Выручка, до'!DS9</f>
        <v>2361406504598.1382</v>
      </c>
      <c r="DX26" s="264"/>
    </row>
    <row r="27" spans="1:128" ht="10">
      <c r="B27" s="384" t="s">
        <v>185</v>
      </c>
      <c r="C27" s="384"/>
      <c r="D27" s="384"/>
      <c r="E27" s="384"/>
      <c r="F27" s="256" t="s">
        <v>35</v>
      </c>
      <c r="G27" s="253">
        <f>SUM(H27:DW27)</f>
        <v>30157958055964.957</v>
      </c>
      <c r="H27" s="264">
        <f>'Налоги и сборы до'!E10</f>
        <v>39045583374.507164</v>
      </c>
      <c r="I27" s="264">
        <f>'Налоги и сборы до'!F10</f>
        <v>39880283484.314987</v>
      </c>
      <c r="J27" s="264">
        <f>'Налоги и сборы до'!G10</f>
        <v>40738209650.040054</v>
      </c>
      <c r="K27" s="264">
        <f>'Налоги и сборы до'!H10</f>
        <v>41620019535.878769</v>
      </c>
      <c r="L27" s="264">
        <f>'Налоги и сборы до'!I10</f>
        <v>42526390106.793442</v>
      </c>
      <c r="M27" s="264">
        <f>'Налоги и сборы до'!J10</f>
        <v>43458018208.996574</v>
      </c>
      <c r="N27" s="264">
        <f>'Налоги и сборы до'!K10</f>
        <v>44415621168.201988</v>
      </c>
      <c r="O27" s="264">
        <f>'Налоги и сборы до'!L10</f>
        <v>45399937406.1931</v>
      </c>
      <c r="P27" s="264">
        <f>'Налоги и сборы до'!M10</f>
        <v>46411727076.275848</v>
      </c>
      <c r="Q27" s="264">
        <f>'Налоги и сборы до'!N10</f>
        <v>47451772718.201416</v>
      </c>
      <c r="R27" s="264">
        <f>'Налоги и сборы до'!O10</f>
        <v>48520879933.162224</v>
      </c>
      <c r="S27" s="264">
        <f>'Налоги и сборы до'!P10</f>
        <v>49619878079.483658</v>
      </c>
      <c r="T27" s="264">
        <f>'Налоги и сборы до'!Q10</f>
        <v>50749607943.037132</v>
      </c>
      <c r="U27" s="264">
        <f>'Налоги и сборы до'!R10</f>
        <v>51910974662.732391</v>
      </c>
      <c r="V27" s="264">
        <f>'Налоги и сборы до'!S10</f>
        <v>53104870212.531677</v>
      </c>
      <c r="W27" s="264">
        <f>'Налоги и сборы до'!T10</f>
        <v>54332226373.009254</v>
      </c>
      <c r="X27" s="264">
        <f>'Налоги и сборы до'!U10</f>
        <v>55594002493.942589</v>
      </c>
      <c r="Y27" s="264">
        <f>'Налоги и сборы до'!V10</f>
        <v>56891186328.379356</v>
      </c>
      <c r="Z27" s="264">
        <f>'Налоги и сборы до'!W10</f>
        <v>58224794892.336273</v>
      </c>
      <c r="AA27" s="264">
        <f>'Налоги и сборы до'!X10</f>
        <v>59595875350.926041</v>
      </c>
      <c r="AB27" s="264">
        <f>'Налоги и сборы до'!Y10</f>
        <v>61005505931.733109</v>
      </c>
      <c r="AC27" s="264">
        <f>'Налоги и сборы до'!Z10</f>
        <v>62454796866.284981</v>
      </c>
      <c r="AD27" s="264">
        <f>'Налоги и сборы до'!AA10</f>
        <v>63944891360.492355</v>
      </c>
      <c r="AE27" s="264">
        <f>'Налоги и сборы до'!AB10</f>
        <v>65476966594.958344</v>
      </c>
      <c r="AF27" s="264">
        <f>'Налоги и сборы до'!AC10</f>
        <v>67052234756.08551</v>
      </c>
      <c r="AG27" s="264">
        <f>'Налоги и сборы до'!AD10</f>
        <v>68671944098.938416</v>
      </c>
      <c r="AH27" s="264">
        <f>'Налоги и сборы до'!AE10</f>
        <v>70337380042.849411</v>
      </c>
      <c r="AI27" s="264">
        <f>'Налоги и сборы до'!AF10</f>
        <v>72049866300.786072</v>
      </c>
      <c r="AJ27" s="264">
        <f>'Налоги и сборы до'!AG10</f>
        <v>73810766043.531036</v>
      </c>
      <c r="AK27" s="264">
        <f>'Налоги и сборы до'!AH10</f>
        <v>75621483099.757385</v>
      </c>
      <c r="AL27" s="264">
        <f>'Налоги и сборы до'!AI10</f>
        <v>77483463193.11705</v>
      </c>
      <c r="AM27" s="264">
        <f>'Налоги и сборы до'!AJ10</f>
        <v>79398195217.4944</v>
      </c>
      <c r="AN27" s="264">
        <f>'Налоги и сборы до'!AK10</f>
        <v>81367212551.613586</v>
      </c>
      <c r="AO27" s="264">
        <f>'Налоги и сборы до'!AL10</f>
        <v>83392094414.225082</v>
      </c>
      <c r="AP27" s="264">
        <f>'Налоги и сборы до'!AM10</f>
        <v>85474467261.13562</v>
      </c>
      <c r="AQ27" s="264">
        <f>'Налоги и сборы до'!AN10</f>
        <v>87616006225.385101</v>
      </c>
      <c r="AR27" s="264">
        <f>'Налоги и сборы до'!AO10</f>
        <v>89818436601.914856</v>
      </c>
      <c r="AS27" s="264">
        <f>'Налоги и сборы до'!AP10</f>
        <v>92083535378.114258</v>
      </c>
      <c r="AT27" s="264">
        <f>'Налоги и сборы до'!AQ10</f>
        <v>94413132811.675323</v>
      </c>
      <c r="AU27" s="264">
        <f>'Налоги и сборы до'!AR10</f>
        <v>96809114057.23053</v>
      </c>
      <c r="AV27" s="264">
        <f>'Налоги и сборы до'!AS10</f>
        <v>99273420843.295242</v>
      </c>
      <c r="AW27" s="264">
        <f>'Налоги и сборы до'!AT10</f>
        <v>101808053201.0829</v>
      </c>
      <c r="AX27" s="264">
        <f>'Налоги и сборы до'!AU10</f>
        <v>104415071246.8121</v>
      </c>
      <c r="AY27" s="264">
        <f>'Налоги и сборы до'!AV10</f>
        <v>107096597019.17351</v>
      </c>
      <c r="AZ27" s="264">
        <f>'Налоги и сборы до'!AW10</f>
        <v>109854816373.6783</v>
      </c>
      <c r="BA27" s="264">
        <f>'Налоги и сборы до'!AX10</f>
        <v>112691980935.6631</v>
      </c>
      <c r="BB27" s="264">
        <f>'Налоги и сборы до'!AY10</f>
        <v>115610410113.78258</v>
      </c>
      <c r="BC27" s="264">
        <f>'Налоги и сборы до'!AZ10</f>
        <v>118612493175.87753</v>
      </c>
      <c r="BD27" s="264">
        <f>'Налоги и сборы до'!BA10</f>
        <v>121700691389.16679</v>
      </c>
      <c r="BE27" s="264">
        <f>'Налоги и сборы до'!BB10</f>
        <v>124877540226.77075</v>
      </c>
      <c r="BF27" s="264">
        <f>'Налоги и сборы до'!BC10</f>
        <v>128145651642.63948</v>
      </c>
      <c r="BG27" s="264">
        <f>'Налоги и сборы до'!BD10</f>
        <v>131507716417.02063</v>
      </c>
      <c r="BH27" s="264">
        <f>'Налоги и сборы до'!BE10</f>
        <v>134966506574.67297</v>
      </c>
      <c r="BI27" s="264">
        <f>'Налоги и сборы до'!BF10</f>
        <v>138524877878.09662</v>
      </c>
      <c r="BJ27" s="264">
        <f>'Налоги и сборы до'!BG10</f>
        <v>142185772398.12613</v>
      </c>
      <c r="BK27" s="264">
        <f>'Налоги и сборы до'!BH10</f>
        <v>145952221164.30353</v>
      </c>
      <c r="BL27" s="264">
        <f>'Налоги и сборы до'!BI10</f>
        <v>149827346897.52554</v>
      </c>
      <c r="BM27" s="264">
        <f>'Налоги и сборы до'!BJ10</f>
        <v>153814366827.5376</v>
      </c>
      <c r="BN27" s="264">
        <f>'Налоги и сборы до'!BK10</f>
        <v>157916595597.92731</v>
      </c>
      <c r="BO27" s="264">
        <f>'Налоги и сборы до'!BL10</f>
        <v>162137448261.35489</v>
      </c>
      <c r="BP27" s="264">
        <f>'Налоги и сборы до'!BM10</f>
        <v>166480443367.84152</v>
      </c>
      <c r="BQ27" s="264">
        <f>'Налоги и сборы до'!BN10</f>
        <v>170949206149.02847</v>
      </c>
      <c r="BR27" s="264">
        <f>'Налоги и сборы до'!BO10</f>
        <v>175547471801.40811</v>
      </c>
      <c r="BS27" s="264">
        <f>'Налоги и сборы до'!BP10</f>
        <v>180279088871.62512</v>
      </c>
      <c r="BT27" s="264">
        <f>'Налоги и сборы до'!BQ10</f>
        <v>185148022747.04156</v>
      </c>
      <c r="BU27" s="264">
        <f>'Налоги и сборы до'!BR10</f>
        <v>190158359254.86038</v>
      </c>
      <c r="BV27" s="264">
        <f>'Налоги и сборы до'!BS10</f>
        <v>195314308373.20654</v>
      </c>
      <c r="BW27" s="264">
        <f>'Налоги и сборы до'!BT10</f>
        <v>200620208057.6698</v>
      </c>
      <c r="BX27" s="264">
        <f>'Налоги и сборы до'!BU10</f>
        <v>206080528186.92538</v>
      </c>
      <c r="BY27" s="264">
        <f>'Налоги и сборы до'!BV10</f>
        <v>211699874631.16159</v>
      </c>
      <c r="BZ27" s="264">
        <f>'Налоги и сборы до'!BW10</f>
        <v>217482993447.15967</v>
      </c>
      <c r="CA27" s="264">
        <f>'Налоги и сборы до'!BX10</f>
        <v>223434775203.99411</v>
      </c>
      <c r="CB27" s="264">
        <f>'Налоги и сборы до'!BY10</f>
        <v>229560259443.44574</v>
      </c>
      <c r="CC27" s="264">
        <f>'Налоги и сборы до'!BZ10</f>
        <v>235864639279.34665</v>
      </c>
      <c r="CD27" s="264">
        <f>'Налоги и сборы до'!CA10</f>
        <v>242353266140.21234</v>
      </c>
      <c r="CE27" s="264">
        <f>'Налоги и сборы до'!CB10</f>
        <v>249031654659.65063</v>
      </c>
      <c r="CF27" s="264">
        <f>'Налоги и сборы до'!CC10</f>
        <v>255905487719.17868</v>
      </c>
      <c r="CG27" s="264">
        <f>'Налоги и сборы до'!CD10</f>
        <v>262980621648.22647</v>
      </c>
      <c r="CH27" s="264">
        <f>'Налоги и сборы до'!CE10</f>
        <v>270263091586.25381</v>
      </c>
      <c r="CI27" s="264">
        <f>'Налоги и сборы до'!CF10</f>
        <v>277759117012.06354</v>
      </c>
      <c r="CJ27" s="264">
        <f>'Налоги и сборы до'!CG10</f>
        <v>285475107445.55481</v>
      </c>
      <c r="CK27" s="264">
        <f>'Налоги и сборы до'!CH10</f>
        <v>293417668327.32233</v>
      </c>
      <c r="CL27" s="264">
        <f>'Налоги и сборы до'!CI10</f>
        <v>301593607081.68164</v>
      </c>
      <c r="CM27" s="264">
        <f>'Налоги и сборы до'!CJ10</f>
        <v>310009939368.87219</v>
      </c>
      <c r="CN27" s="264">
        <f>'Налоги и сборы до'!CK10</f>
        <v>318673895532.37415</v>
      </c>
      <c r="CO27" s="264">
        <f>'Налоги и сборы до'!CL10</f>
        <v>327592927247.45862</v>
      </c>
      <c r="CP27" s="264">
        <f>'Налоги и сборы до'!CM10</f>
        <v>336774714377.28851</v>
      </c>
      <c r="CQ27" s="264">
        <f>'Налоги и сборы до'!CN10</f>
        <v>346227172043.0791</v>
      </c>
      <c r="CR27" s="264">
        <f>'Налоги и сборы до'!CO10</f>
        <v>355958457915.04034</v>
      </c>
      <c r="CS27" s="264">
        <f>'Налоги и сборы до'!CP10</f>
        <v>365976979731.02673</v>
      </c>
      <c r="CT27" s="264">
        <f>'Налоги и сборы до'!CQ10</f>
        <v>376291403050.04596</v>
      </c>
      <c r="CU27" s="264">
        <f>'Налоги и сборы до'!CR10</f>
        <v>386910659247.99628</v>
      </c>
      <c r="CV27" s="264">
        <f>'Налоги и сборы до'!CS10</f>
        <v>397843953763.24017</v>
      </c>
      <c r="CW27" s="264">
        <f>'Налоги и сборы до'!CT10</f>
        <v>409100774599.85699</v>
      </c>
      <c r="CX27" s="264">
        <f>'Налоги и сборы до'!CU10</f>
        <v>420690901096.66821</v>
      </c>
      <c r="CY27" s="264">
        <f>'Налоги и сборы до'!CV10</f>
        <v>432624412970.37976</v>
      </c>
      <c r="CZ27" s="264">
        <f>'Налоги и сборы до'!CW10</f>
        <v>444911699641.45306</v>
      </c>
      <c r="DA27" s="264">
        <f>'Налоги и сборы до'!CX10</f>
        <v>457563469851.58459</v>
      </c>
      <c r="DB27" s="264">
        <f>'Налоги и сборы до'!CY10</f>
        <v>470590761581.95435</v>
      </c>
      <c r="DC27" s="264">
        <f>'Налоги и сборы до'!CZ10</f>
        <v>484004952281.69354</v>
      </c>
      <c r="DD27" s="264">
        <f>'Налоги и сборы до'!DA10</f>
        <v>497817769416.31702</v>
      </c>
      <c r="DE27" s="264">
        <f>'Налоги и сборы до'!DB10</f>
        <v>512041301346.17657</v>
      </c>
      <c r="DF27" s="264">
        <f>'Налоги и сборы до'!DC10</f>
        <v>526688008545.30402</v>
      </c>
      <c r="DG27" s="264">
        <f>'Налоги и сборы до'!DD10</f>
        <v>541770735171.3432</v>
      </c>
      <c r="DH27" s="264">
        <f>'Налоги и сборы до'!DE10</f>
        <v>557302720997.6062</v>
      </c>
      <c r="DI27" s="264">
        <f>'Налоги и сборы до'!DF10</f>
        <v>573297613718.63525</v>
      </c>
      <c r="DJ27" s="264">
        <f>'Налоги и сборы до'!DG10</f>
        <v>589769481641.01331</v>
      </c>
      <c r="DK27" s="264">
        <f>'Налоги и сборы до'!DH10</f>
        <v>606732826771.53442</v>
      </c>
      <c r="DL27" s="264">
        <f>'Налоги и сборы до'!DI10</f>
        <v>624202598315.22681</v>
      </c>
      <c r="DM27" s="264">
        <f>'Налоги и сборы до'!DJ10</f>
        <v>642194206596.11975</v>
      </c>
      <c r="DN27" s="264">
        <f>'Налоги и сборы до'!DK10</f>
        <v>660723537414.04077</v>
      </c>
      <c r="DO27" s="264">
        <f>'Налоги и сборы до'!DL10</f>
        <v>679806966851.16357</v>
      </c>
      <c r="DP27" s="264">
        <f>'Налоги и сборы до'!DM10</f>
        <v>699461376542.44897</v>
      </c>
      <c r="DQ27" s="264">
        <f>'Налоги и сборы до'!DN10</f>
        <v>719704169424.56836</v>
      </c>
      <c r="DR27" s="264">
        <f>'Налоги и сборы до'!DO10</f>
        <v>740553285978.36353</v>
      </c>
      <c r="DS27" s="264">
        <f>'Налоги и сборы до'!DP10</f>
        <v>762027220980.36963</v>
      </c>
      <c r="DT27" s="264">
        <f>'Налоги и сборы до'!DQ10</f>
        <v>784145040779.41345</v>
      </c>
      <c r="DU27" s="264">
        <f>'Налоги и сборы до'!DR10</f>
        <v>806926401114.81177</v>
      </c>
      <c r="DV27" s="264">
        <f>'Налоги и сборы до'!DS10</f>
        <v>830391565493.20984</v>
      </c>
      <c r="DW27" s="264">
        <f>'Налоги и сборы до'!DT10</f>
        <v>854561424141.63818</v>
      </c>
    </row>
    <row r="28" spans="1:128" ht="10">
      <c r="B28" s="292"/>
      <c r="C28" s="292"/>
      <c r="D28" s="292"/>
      <c r="E28" s="292"/>
      <c r="F28" s="290"/>
      <c r="G28" s="290"/>
      <c r="H28" s="264"/>
      <c r="I28" s="264"/>
      <c r="J28" s="264"/>
      <c r="K28" s="264"/>
      <c r="L28" s="264"/>
      <c r="M28" s="264"/>
      <c r="N28" s="264"/>
      <c r="O28" s="264"/>
      <c r="P28" s="264"/>
      <c r="Q28" s="264"/>
      <c r="R28" s="264"/>
      <c r="S28" s="264"/>
      <c r="T28" s="264"/>
      <c r="U28" s="264"/>
      <c r="V28" s="264"/>
      <c r="W28" s="264"/>
      <c r="X28" s="264"/>
      <c r="Y28" s="264"/>
      <c r="Z28" s="264"/>
      <c r="AA28" s="264"/>
      <c r="AB28" s="264"/>
      <c r="AC28" s="264"/>
      <c r="AD28" s="264"/>
      <c r="AE28" s="264"/>
      <c r="AF28" s="264"/>
      <c r="AG28" s="264"/>
      <c r="AH28" s="264"/>
      <c r="AI28" s="264"/>
      <c r="AJ28" s="264"/>
      <c r="AK28" s="264"/>
      <c r="AL28" s="264"/>
      <c r="AM28" s="264"/>
      <c r="AN28" s="264"/>
      <c r="AO28" s="264"/>
      <c r="AP28" s="264"/>
      <c r="AQ28" s="264"/>
      <c r="AR28" s="264"/>
      <c r="AS28" s="264"/>
      <c r="AT28" s="264"/>
      <c r="AU28" s="264"/>
      <c r="AV28" s="264"/>
      <c r="AW28" s="264"/>
      <c r="AX28" s="264"/>
      <c r="AY28" s="264"/>
      <c r="AZ28" s="264"/>
      <c r="BA28" s="264"/>
      <c r="BB28" s="264"/>
      <c r="BC28" s="264"/>
      <c r="BD28" s="264"/>
      <c r="BE28" s="264"/>
      <c r="BF28" s="264"/>
      <c r="BG28" s="264"/>
      <c r="BH28" s="264"/>
      <c r="BI28" s="264"/>
      <c r="BJ28" s="264"/>
      <c r="BK28" s="264"/>
      <c r="BL28" s="264"/>
      <c r="BM28" s="264"/>
      <c r="BN28" s="264"/>
      <c r="BO28" s="264"/>
      <c r="BP28" s="264"/>
      <c r="BQ28" s="264"/>
      <c r="BR28" s="264"/>
      <c r="BS28" s="264"/>
      <c r="BT28" s="264"/>
      <c r="BU28" s="264"/>
      <c r="BV28" s="264"/>
      <c r="BW28" s="264"/>
      <c r="BX28" s="264"/>
      <c r="BY28" s="264"/>
      <c r="BZ28" s="264"/>
      <c r="CA28" s="264"/>
      <c r="CB28" s="264"/>
      <c r="CC28" s="264"/>
      <c r="CD28" s="264"/>
      <c r="CE28" s="264"/>
      <c r="CF28" s="264"/>
      <c r="CG28" s="264"/>
      <c r="CH28" s="264"/>
      <c r="CI28" s="264"/>
      <c r="CJ28" s="264"/>
      <c r="CK28" s="264"/>
      <c r="CL28" s="264"/>
      <c r="CM28" s="264"/>
      <c r="CN28" s="264"/>
      <c r="CO28" s="264"/>
      <c r="CP28" s="264"/>
      <c r="CQ28" s="264"/>
      <c r="CR28" s="264"/>
      <c r="CS28" s="264"/>
      <c r="CT28" s="264"/>
      <c r="CU28" s="264"/>
      <c r="CV28" s="264"/>
      <c r="CW28" s="264"/>
      <c r="CX28" s="264"/>
      <c r="CY28" s="264"/>
      <c r="CZ28" s="264"/>
      <c r="DA28" s="264"/>
      <c r="DB28" s="264"/>
      <c r="DC28" s="264"/>
      <c r="DD28" s="264"/>
      <c r="DE28" s="264"/>
      <c r="DF28" s="264"/>
      <c r="DG28" s="264"/>
      <c r="DH28" s="264"/>
      <c r="DI28" s="264"/>
      <c r="DJ28" s="264"/>
      <c r="DK28" s="264"/>
      <c r="DL28" s="264"/>
      <c r="DM28" s="264"/>
      <c r="DN28" s="264"/>
      <c r="DO28" s="264"/>
      <c r="DP28" s="264"/>
      <c r="DQ28" s="264"/>
      <c r="DR28" s="264"/>
      <c r="DS28" s="264"/>
      <c r="DT28" s="264"/>
      <c r="DU28" s="264"/>
      <c r="DV28" s="264"/>
      <c r="DW28" s="264"/>
    </row>
    <row r="29" spans="1:128" ht="10">
      <c r="B29" s="390" t="s">
        <v>186</v>
      </c>
      <c r="C29" s="391"/>
      <c r="D29" s="391"/>
      <c r="E29" s="392"/>
      <c r="F29" s="293" t="s">
        <v>35</v>
      </c>
      <c r="G29" s="287">
        <f t="shared" si="12"/>
        <v>0</v>
      </c>
      <c r="H29" s="288">
        <f>H31</f>
        <v>0</v>
      </c>
      <c r="I29" s="288">
        <f t="shared" ref="I29:AQ29" si="29">I31</f>
        <v>0</v>
      </c>
      <c r="J29" s="288">
        <f t="shared" si="29"/>
        <v>0</v>
      </c>
      <c r="K29" s="288">
        <f t="shared" si="29"/>
        <v>0</v>
      </c>
      <c r="L29" s="288">
        <f>L31</f>
        <v>0</v>
      </c>
      <c r="M29" s="288">
        <f t="shared" si="29"/>
        <v>0</v>
      </c>
      <c r="N29" s="288">
        <f t="shared" si="29"/>
        <v>0</v>
      </c>
      <c r="O29" s="288">
        <f t="shared" si="29"/>
        <v>0</v>
      </c>
      <c r="P29" s="288">
        <f t="shared" si="29"/>
        <v>0</v>
      </c>
      <c r="Q29" s="288">
        <f t="shared" si="29"/>
        <v>0</v>
      </c>
      <c r="R29" s="288">
        <f t="shared" si="29"/>
        <v>0</v>
      </c>
      <c r="S29" s="288">
        <f t="shared" si="29"/>
        <v>0</v>
      </c>
      <c r="T29" s="288">
        <f t="shared" si="29"/>
        <v>0</v>
      </c>
      <c r="U29" s="288">
        <f t="shared" si="29"/>
        <v>0</v>
      </c>
      <c r="V29" s="288">
        <f t="shared" si="29"/>
        <v>0</v>
      </c>
      <c r="W29" s="288">
        <f t="shared" si="29"/>
        <v>0</v>
      </c>
      <c r="X29" s="288">
        <f t="shared" si="29"/>
        <v>0</v>
      </c>
      <c r="Y29" s="288">
        <f t="shared" si="29"/>
        <v>0</v>
      </c>
      <c r="Z29" s="288">
        <f t="shared" si="29"/>
        <v>0</v>
      </c>
      <c r="AA29" s="288">
        <f t="shared" si="29"/>
        <v>0</v>
      </c>
      <c r="AB29" s="288">
        <f t="shared" si="29"/>
        <v>0</v>
      </c>
      <c r="AC29" s="288">
        <f t="shared" si="29"/>
        <v>0</v>
      </c>
      <c r="AD29" s="288">
        <f t="shared" si="29"/>
        <v>0</v>
      </c>
      <c r="AE29" s="288">
        <f t="shared" si="29"/>
        <v>0</v>
      </c>
      <c r="AF29" s="288">
        <f t="shared" si="29"/>
        <v>0</v>
      </c>
      <c r="AG29" s="288">
        <f t="shared" si="29"/>
        <v>0</v>
      </c>
      <c r="AH29" s="288">
        <f t="shared" si="29"/>
        <v>0</v>
      </c>
      <c r="AI29" s="288">
        <f t="shared" si="29"/>
        <v>0</v>
      </c>
      <c r="AJ29" s="288">
        <f t="shared" si="29"/>
        <v>0</v>
      </c>
      <c r="AK29" s="288">
        <f t="shared" si="29"/>
        <v>0</v>
      </c>
      <c r="AL29" s="288">
        <f t="shared" si="29"/>
        <v>0</v>
      </c>
      <c r="AM29" s="288">
        <f t="shared" si="29"/>
        <v>0</v>
      </c>
      <c r="AN29" s="288">
        <f t="shared" si="29"/>
        <v>0</v>
      </c>
      <c r="AO29" s="288">
        <f t="shared" si="29"/>
        <v>0</v>
      </c>
      <c r="AP29" s="288">
        <f t="shared" si="29"/>
        <v>0</v>
      </c>
      <c r="AQ29" s="288">
        <f t="shared" si="29"/>
        <v>0</v>
      </c>
      <c r="AR29" s="288">
        <f>AR31</f>
        <v>0</v>
      </c>
      <c r="AS29" s="288">
        <f t="shared" ref="AS29:AU29" si="30">AS31</f>
        <v>0</v>
      </c>
      <c r="AT29" s="288">
        <f t="shared" si="30"/>
        <v>0</v>
      </c>
      <c r="AU29" s="288">
        <f t="shared" si="30"/>
        <v>0</v>
      </c>
      <c r="AV29" s="288">
        <f>AV31</f>
        <v>0</v>
      </c>
      <c r="AW29" s="288">
        <f t="shared" ref="AW29:CA29" si="31">AW31</f>
        <v>0</v>
      </c>
      <c r="AX29" s="288">
        <f t="shared" si="31"/>
        <v>0</v>
      </c>
      <c r="AY29" s="288">
        <f t="shared" si="31"/>
        <v>0</v>
      </c>
      <c r="AZ29" s="288">
        <f t="shared" si="31"/>
        <v>0</v>
      </c>
      <c r="BA29" s="288">
        <f t="shared" si="31"/>
        <v>0</v>
      </c>
      <c r="BB29" s="288">
        <f t="shared" si="31"/>
        <v>0</v>
      </c>
      <c r="BC29" s="288">
        <f t="shared" si="31"/>
        <v>0</v>
      </c>
      <c r="BD29" s="288">
        <f t="shared" si="31"/>
        <v>0</v>
      </c>
      <c r="BE29" s="288">
        <f t="shared" si="31"/>
        <v>0</v>
      </c>
      <c r="BF29" s="288">
        <f t="shared" si="31"/>
        <v>0</v>
      </c>
      <c r="BG29" s="288">
        <f t="shared" si="31"/>
        <v>0</v>
      </c>
      <c r="BH29" s="288">
        <f t="shared" si="31"/>
        <v>0</v>
      </c>
      <c r="BI29" s="288">
        <f t="shared" si="31"/>
        <v>0</v>
      </c>
      <c r="BJ29" s="288">
        <f t="shared" si="31"/>
        <v>0</v>
      </c>
      <c r="BK29" s="288">
        <f t="shared" si="31"/>
        <v>0</v>
      </c>
      <c r="BL29" s="288">
        <f t="shared" si="31"/>
        <v>0</v>
      </c>
      <c r="BM29" s="288">
        <f t="shared" si="31"/>
        <v>0</v>
      </c>
      <c r="BN29" s="288">
        <f t="shared" si="31"/>
        <v>0</v>
      </c>
      <c r="BO29" s="288">
        <f t="shared" si="31"/>
        <v>0</v>
      </c>
      <c r="BP29" s="288">
        <f t="shared" si="31"/>
        <v>0</v>
      </c>
      <c r="BQ29" s="288">
        <f t="shared" si="31"/>
        <v>0</v>
      </c>
      <c r="BR29" s="288">
        <f t="shared" si="31"/>
        <v>0</v>
      </c>
      <c r="BS29" s="288">
        <f t="shared" si="31"/>
        <v>0</v>
      </c>
      <c r="BT29" s="288">
        <f t="shared" si="31"/>
        <v>0</v>
      </c>
      <c r="BU29" s="288">
        <f t="shared" si="31"/>
        <v>0</v>
      </c>
      <c r="BV29" s="288">
        <f t="shared" si="31"/>
        <v>0</v>
      </c>
      <c r="BW29" s="288">
        <f t="shared" si="31"/>
        <v>0</v>
      </c>
      <c r="BX29" s="288">
        <f t="shared" si="31"/>
        <v>0</v>
      </c>
      <c r="BY29" s="288">
        <f t="shared" si="31"/>
        <v>0</v>
      </c>
      <c r="BZ29" s="288">
        <f t="shared" si="31"/>
        <v>0</v>
      </c>
      <c r="CA29" s="288">
        <f t="shared" si="31"/>
        <v>0</v>
      </c>
      <c r="CB29" s="288">
        <f>CB31</f>
        <v>0</v>
      </c>
      <c r="CC29" s="288">
        <f t="shared" ref="CC29:CE29" si="32">CC31</f>
        <v>0</v>
      </c>
      <c r="CD29" s="288">
        <f t="shared" si="32"/>
        <v>0</v>
      </c>
      <c r="CE29" s="288">
        <f t="shared" si="32"/>
        <v>0</v>
      </c>
      <c r="CF29" s="288">
        <f>CF31</f>
        <v>0</v>
      </c>
      <c r="CG29" s="288">
        <f t="shared" ref="CG29:DK29" si="33">CG31</f>
        <v>0</v>
      </c>
      <c r="CH29" s="288">
        <f t="shared" si="33"/>
        <v>0</v>
      </c>
      <c r="CI29" s="288">
        <f t="shared" si="33"/>
        <v>0</v>
      </c>
      <c r="CJ29" s="288">
        <f t="shared" si="33"/>
        <v>0</v>
      </c>
      <c r="CK29" s="288">
        <f t="shared" si="33"/>
        <v>0</v>
      </c>
      <c r="CL29" s="288">
        <f t="shared" si="33"/>
        <v>0</v>
      </c>
      <c r="CM29" s="288">
        <f t="shared" si="33"/>
        <v>0</v>
      </c>
      <c r="CN29" s="288">
        <f t="shared" si="33"/>
        <v>0</v>
      </c>
      <c r="CO29" s="288">
        <f t="shared" si="33"/>
        <v>0</v>
      </c>
      <c r="CP29" s="288">
        <f t="shared" si="33"/>
        <v>0</v>
      </c>
      <c r="CQ29" s="288">
        <f t="shared" si="33"/>
        <v>0</v>
      </c>
      <c r="CR29" s="288">
        <f t="shared" si="33"/>
        <v>0</v>
      </c>
      <c r="CS29" s="288">
        <f t="shared" si="33"/>
        <v>0</v>
      </c>
      <c r="CT29" s="288">
        <f t="shared" si="33"/>
        <v>0</v>
      </c>
      <c r="CU29" s="288">
        <f t="shared" si="33"/>
        <v>0</v>
      </c>
      <c r="CV29" s="288">
        <f t="shared" si="33"/>
        <v>0</v>
      </c>
      <c r="CW29" s="288">
        <f t="shared" si="33"/>
        <v>0</v>
      </c>
      <c r="CX29" s="288">
        <f t="shared" si="33"/>
        <v>0</v>
      </c>
      <c r="CY29" s="288">
        <f t="shared" si="33"/>
        <v>0</v>
      </c>
      <c r="CZ29" s="288">
        <f t="shared" si="33"/>
        <v>0</v>
      </c>
      <c r="DA29" s="288">
        <f t="shared" si="33"/>
        <v>0</v>
      </c>
      <c r="DB29" s="288">
        <f t="shared" si="33"/>
        <v>0</v>
      </c>
      <c r="DC29" s="288">
        <f t="shared" si="33"/>
        <v>0</v>
      </c>
      <c r="DD29" s="288">
        <f t="shared" si="33"/>
        <v>0</v>
      </c>
      <c r="DE29" s="288">
        <f t="shared" si="33"/>
        <v>0</v>
      </c>
      <c r="DF29" s="288">
        <f t="shared" si="33"/>
        <v>0</v>
      </c>
      <c r="DG29" s="288">
        <f t="shared" si="33"/>
        <v>0</v>
      </c>
      <c r="DH29" s="288">
        <f t="shared" si="33"/>
        <v>0</v>
      </c>
      <c r="DI29" s="288">
        <f t="shared" si="33"/>
        <v>0</v>
      </c>
      <c r="DJ29" s="288">
        <f t="shared" si="33"/>
        <v>0</v>
      </c>
      <c r="DK29" s="288">
        <f t="shared" si="33"/>
        <v>0</v>
      </c>
      <c r="DL29" s="288">
        <f>DL31</f>
        <v>0</v>
      </c>
      <c r="DM29" s="288">
        <f t="shared" ref="DM29:DO29" si="34">DM31</f>
        <v>0</v>
      </c>
      <c r="DN29" s="288">
        <f t="shared" si="34"/>
        <v>0</v>
      </c>
      <c r="DO29" s="288">
        <f t="shared" si="34"/>
        <v>0</v>
      </c>
      <c r="DP29" s="288">
        <f>DP31</f>
        <v>0</v>
      </c>
      <c r="DQ29" s="288">
        <f t="shared" ref="DQ29:DW29" si="35">DQ31</f>
        <v>0</v>
      </c>
      <c r="DR29" s="288">
        <f t="shared" si="35"/>
        <v>0</v>
      </c>
      <c r="DS29" s="288">
        <f t="shared" si="35"/>
        <v>0</v>
      </c>
      <c r="DT29" s="288">
        <f t="shared" si="35"/>
        <v>0</v>
      </c>
      <c r="DU29" s="288">
        <f t="shared" si="35"/>
        <v>0</v>
      </c>
      <c r="DV29" s="288">
        <f t="shared" si="35"/>
        <v>0</v>
      </c>
      <c r="DW29" s="288">
        <f t="shared" si="35"/>
        <v>0</v>
      </c>
    </row>
    <row r="30" spans="1:128" ht="10">
      <c r="B30" s="290"/>
      <c r="C30" s="290"/>
      <c r="D30" s="290"/>
      <c r="E30" s="290"/>
      <c r="F30" s="290"/>
      <c r="G30" s="290"/>
      <c r="H30" s="264"/>
      <c r="I30" s="264"/>
      <c r="J30" s="264"/>
      <c r="K30" s="264"/>
      <c r="L30" s="264"/>
      <c r="M30" s="264"/>
      <c r="N30" s="264"/>
      <c r="O30" s="264"/>
      <c r="P30" s="264"/>
      <c r="Q30" s="264"/>
      <c r="R30" s="264"/>
      <c r="S30" s="264"/>
      <c r="T30" s="264"/>
      <c r="U30" s="264"/>
      <c r="V30" s="264"/>
      <c r="W30" s="264"/>
      <c r="X30" s="264"/>
      <c r="Y30" s="264"/>
      <c r="Z30" s="264"/>
      <c r="AA30" s="264"/>
      <c r="AB30" s="264"/>
      <c r="AC30" s="264"/>
      <c r="AD30" s="264"/>
      <c r="AE30" s="264"/>
      <c r="AF30" s="264"/>
      <c r="AG30" s="264"/>
      <c r="AH30" s="264"/>
      <c r="AI30" s="264"/>
      <c r="AJ30" s="264"/>
      <c r="AK30" s="264"/>
      <c r="AL30" s="264"/>
      <c r="AM30" s="264"/>
      <c r="AN30" s="264"/>
      <c r="AO30" s="264"/>
      <c r="AP30" s="264"/>
      <c r="AQ30" s="264"/>
      <c r="AR30" s="264"/>
      <c r="AS30" s="264"/>
      <c r="AT30" s="264"/>
      <c r="AU30" s="264"/>
      <c r="AV30" s="264"/>
      <c r="AW30" s="264"/>
      <c r="AX30" s="264"/>
      <c r="AY30" s="264"/>
      <c r="AZ30" s="264"/>
      <c r="BA30" s="264"/>
      <c r="BB30" s="264"/>
      <c r="BC30" s="264"/>
      <c r="BD30" s="264"/>
      <c r="BE30" s="264"/>
      <c r="BF30" s="264"/>
      <c r="BG30" s="264"/>
      <c r="BH30" s="264"/>
      <c r="BI30" s="264"/>
      <c r="BJ30" s="264"/>
      <c r="BK30" s="264"/>
      <c r="BL30" s="264"/>
      <c r="BM30" s="264"/>
      <c r="BN30" s="264"/>
      <c r="BO30" s="264"/>
      <c r="BP30" s="264"/>
      <c r="BQ30" s="264"/>
      <c r="BR30" s="264"/>
      <c r="BS30" s="264"/>
      <c r="BT30" s="264"/>
      <c r="BU30" s="264"/>
      <c r="BV30" s="264"/>
      <c r="BW30" s="264"/>
      <c r="BX30" s="264"/>
      <c r="BY30" s="264"/>
      <c r="BZ30" s="264"/>
      <c r="CA30" s="264"/>
      <c r="CB30" s="264"/>
      <c r="CC30" s="264"/>
      <c r="CD30" s="264"/>
      <c r="CE30" s="264"/>
      <c r="CF30" s="264"/>
      <c r="CG30" s="264"/>
      <c r="CH30" s="264"/>
      <c r="CI30" s="264"/>
      <c r="CJ30" s="264"/>
      <c r="CK30" s="264"/>
      <c r="CL30" s="264"/>
      <c r="CM30" s="264"/>
      <c r="CN30" s="264"/>
      <c r="CO30" s="264"/>
      <c r="CP30" s="264"/>
      <c r="CQ30" s="264"/>
      <c r="CR30" s="264"/>
      <c r="CS30" s="264"/>
      <c r="CT30" s="264"/>
      <c r="CU30" s="264"/>
      <c r="CV30" s="264"/>
      <c r="CW30" s="264"/>
      <c r="CX30" s="264"/>
      <c r="CY30" s="264"/>
      <c r="CZ30" s="264"/>
      <c r="DA30" s="264"/>
      <c r="DB30" s="264"/>
      <c r="DC30" s="264"/>
      <c r="DD30" s="264"/>
      <c r="DE30" s="264"/>
      <c r="DF30" s="264"/>
      <c r="DG30" s="264"/>
      <c r="DH30" s="264"/>
      <c r="DI30" s="264"/>
      <c r="DJ30" s="264"/>
      <c r="DK30" s="264"/>
      <c r="DL30" s="264"/>
      <c r="DM30" s="264"/>
      <c r="DN30" s="264"/>
      <c r="DO30" s="264"/>
      <c r="DP30" s="264"/>
      <c r="DQ30" s="264"/>
      <c r="DR30" s="264"/>
      <c r="DS30" s="264"/>
      <c r="DT30" s="264"/>
      <c r="DU30" s="264"/>
      <c r="DV30" s="264"/>
      <c r="DW30" s="264"/>
    </row>
    <row r="31" spans="1:128" ht="10">
      <c r="A31" s="230">
        <v>1</v>
      </c>
      <c r="B31" s="386" t="s">
        <v>187</v>
      </c>
      <c r="C31" s="386"/>
      <c r="D31" s="386"/>
      <c r="E31" s="386"/>
      <c r="F31" s="256" t="s">
        <v>35</v>
      </c>
      <c r="G31" s="253"/>
      <c r="H31" s="264"/>
      <c r="I31" s="264">
        <f>IF(AND(I33&gt;0,H35-I33&gt;0),I33*$A$31,IF(AND(I33&gt;0,H35-I33&lt;0),H35*$A$31,0))</f>
        <v>0</v>
      </c>
      <c r="J31" s="264">
        <f t="shared" ref="J31:AQ31" si="36">IF(AND(J33&gt;0,I35-J33&gt;0),J33*$A$31,IF(AND(J33&gt;0,I35-J33&lt;0),I35*$A$31,0))</f>
        <v>0</v>
      </c>
      <c r="K31" s="264">
        <f>IF(AND(K33&gt;0,J35-K33&gt;0),K33*$A$31,IF(AND(K33&gt;0,J35-K33&lt;0),J35*$A$31,0))</f>
        <v>0</v>
      </c>
      <c r="L31" s="264">
        <f>IF(AND(L33&gt;0,K35-L33&gt;0),L33*$A$31,IF(AND(L33&gt;0,K35-L33&lt;0),K35*$A$31,0))</f>
        <v>0</v>
      </c>
      <c r="M31" s="264">
        <f t="shared" ref="M31:X31" si="37">IF(AND(M33&gt;0,L35-M33&gt;0),M33*$A$31,IF(AND(M33&gt;0,L35-M33&lt;0),L35*$A$31,0))</f>
        <v>0</v>
      </c>
      <c r="N31" s="264">
        <f t="shared" si="37"/>
        <v>0</v>
      </c>
      <c r="O31" s="264">
        <f t="shared" si="37"/>
        <v>0</v>
      </c>
      <c r="P31" s="264">
        <f t="shared" si="37"/>
        <v>0</v>
      </c>
      <c r="Q31" s="264">
        <f t="shared" si="37"/>
        <v>0</v>
      </c>
      <c r="R31" s="264">
        <f t="shared" si="37"/>
        <v>0</v>
      </c>
      <c r="S31" s="264">
        <f t="shared" si="37"/>
        <v>0</v>
      </c>
      <c r="T31" s="264">
        <f t="shared" si="37"/>
        <v>0</v>
      </c>
      <c r="U31" s="264">
        <f t="shared" si="37"/>
        <v>0</v>
      </c>
      <c r="V31" s="264">
        <f t="shared" si="37"/>
        <v>0</v>
      </c>
      <c r="W31" s="264">
        <f t="shared" si="37"/>
        <v>0</v>
      </c>
      <c r="X31" s="264">
        <f t="shared" si="37"/>
        <v>0</v>
      </c>
      <c r="Y31" s="264">
        <f t="shared" si="36"/>
        <v>0</v>
      </c>
      <c r="Z31" s="264">
        <f t="shared" si="36"/>
        <v>0</v>
      </c>
      <c r="AA31" s="264">
        <f t="shared" si="36"/>
        <v>0</v>
      </c>
      <c r="AB31" s="264">
        <f t="shared" si="36"/>
        <v>0</v>
      </c>
      <c r="AC31" s="264">
        <f t="shared" si="36"/>
        <v>0</v>
      </c>
      <c r="AD31" s="264">
        <f t="shared" si="36"/>
        <v>0</v>
      </c>
      <c r="AE31" s="264">
        <f t="shared" si="36"/>
        <v>0</v>
      </c>
      <c r="AF31" s="264">
        <f t="shared" si="36"/>
        <v>0</v>
      </c>
      <c r="AG31" s="264">
        <f t="shared" si="36"/>
        <v>0</v>
      </c>
      <c r="AH31" s="264">
        <f t="shared" si="36"/>
        <v>0</v>
      </c>
      <c r="AI31" s="264">
        <f t="shared" si="36"/>
        <v>0</v>
      </c>
      <c r="AJ31" s="264">
        <f t="shared" si="36"/>
        <v>0</v>
      </c>
      <c r="AK31" s="264">
        <f t="shared" si="36"/>
        <v>0</v>
      </c>
      <c r="AL31" s="264">
        <f t="shared" si="36"/>
        <v>0</v>
      </c>
      <c r="AM31" s="264">
        <f t="shared" si="36"/>
        <v>0</v>
      </c>
      <c r="AN31" s="264">
        <f t="shared" si="36"/>
        <v>0</v>
      </c>
      <c r="AO31" s="264">
        <f t="shared" si="36"/>
        <v>0</v>
      </c>
      <c r="AP31" s="264">
        <f t="shared" si="36"/>
        <v>0</v>
      </c>
      <c r="AQ31" s="264">
        <f t="shared" si="36"/>
        <v>0</v>
      </c>
      <c r="AR31" s="264"/>
      <c r="AS31" s="264">
        <f>IF(AND(AS33&gt;0,AR35-AS33&gt;0),AS33*$A$31,IF(AND(AS33&gt;0,AR35-AS33&lt;0),AR35*$A$31,0))</f>
        <v>0</v>
      </c>
      <c r="AT31" s="264">
        <f t="shared" ref="AT31" si="38">IF(AND(AT33&gt;0,AS35-AT33&gt;0),AT33*$A$31,IF(AND(AT33&gt;0,AS35-AT33&lt;0),AS35*$A$31,0))</f>
        <v>0</v>
      </c>
      <c r="AU31" s="264">
        <f>IF(AND(AU33&gt;0,AT35-AU33&gt;0),AU33*$A$31,IF(AND(AU33&gt;0,AT35-AU33&lt;0),AT35*$A$31,0))</f>
        <v>0</v>
      </c>
      <c r="AV31" s="264">
        <f>IF(AND(AV33&gt;0,AU35-AV33&gt;0),AV33*$A$31,IF(AND(AV33&gt;0,AU35-AV33&lt;0),AU35*$A$31,0))</f>
        <v>0</v>
      </c>
      <c r="AW31" s="264">
        <f t="shared" ref="AW31:CA31" si="39">IF(AND(AW33&gt;0,AV35-AW33&gt;0),AW33*$A$31,IF(AND(AW33&gt;0,AV35-AW33&lt;0),AV35*$A$31,0))</f>
        <v>0</v>
      </c>
      <c r="AX31" s="264">
        <f t="shared" si="39"/>
        <v>0</v>
      </c>
      <c r="AY31" s="264">
        <f t="shared" si="39"/>
        <v>0</v>
      </c>
      <c r="AZ31" s="264">
        <f t="shared" si="39"/>
        <v>0</v>
      </c>
      <c r="BA31" s="264">
        <f t="shared" si="39"/>
        <v>0</v>
      </c>
      <c r="BB31" s="264">
        <f t="shared" si="39"/>
        <v>0</v>
      </c>
      <c r="BC31" s="264">
        <f t="shared" si="39"/>
        <v>0</v>
      </c>
      <c r="BD31" s="264">
        <f t="shared" si="39"/>
        <v>0</v>
      </c>
      <c r="BE31" s="264">
        <f t="shared" si="39"/>
        <v>0</v>
      </c>
      <c r="BF31" s="264">
        <f t="shared" si="39"/>
        <v>0</v>
      </c>
      <c r="BG31" s="264">
        <f t="shared" si="39"/>
        <v>0</v>
      </c>
      <c r="BH31" s="264">
        <f t="shared" si="39"/>
        <v>0</v>
      </c>
      <c r="BI31" s="264">
        <f t="shared" si="39"/>
        <v>0</v>
      </c>
      <c r="BJ31" s="264">
        <f t="shared" si="39"/>
        <v>0</v>
      </c>
      <c r="BK31" s="264">
        <f t="shared" si="39"/>
        <v>0</v>
      </c>
      <c r="BL31" s="264">
        <f t="shared" si="39"/>
        <v>0</v>
      </c>
      <c r="BM31" s="264">
        <f t="shared" si="39"/>
        <v>0</v>
      </c>
      <c r="BN31" s="264">
        <f t="shared" si="39"/>
        <v>0</v>
      </c>
      <c r="BO31" s="264">
        <f t="shared" si="39"/>
        <v>0</v>
      </c>
      <c r="BP31" s="264">
        <f t="shared" si="39"/>
        <v>0</v>
      </c>
      <c r="BQ31" s="264">
        <f t="shared" si="39"/>
        <v>0</v>
      </c>
      <c r="BR31" s="264">
        <f t="shared" si="39"/>
        <v>0</v>
      </c>
      <c r="BS31" s="264">
        <f t="shared" si="39"/>
        <v>0</v>
      </c>
      <c r="BT31" s="264">
        <f t="shared" si="39"/>
        <v>0</v>
      </c>
      <c r="BU31" s="264">
        <f t="shared" si="39"/>
        <v>0</v>
      </c>
      <c r="BV31" s="264">
        <f t="shared" si="39"/>
        <v>0</v>
      </c>
      <c r="BW31" s="264">
        <f t="shared" si="39"/>
        <v>0</v>
      </c>
      <c r="BX31" s="264">
        <f t="shared" si="39"/>
        <v>0</v>
      </c>
      <c r="BY31" s="264">
        <f t="shared" si="39"/>
        <v>0</v>
      </c>
      <c r="BZ31" s="264">
        <f t="shared" si="39"/>
        <v>0</v>
      </c>
      <c r="CA31" s="264">
        <f t="shared" si="39"/>
        <v>0</v>
      </c>
      <c r="CB31" s="264"/>
      <c r="CC31" s="264">
        <f>IF(AND(CC33&gt;0,CB35-CC33&gt;0),CC33*$A$31,IF(AND(CC33&gt;0,CB35-CC33&lt;0),CB35*$A$31,0))</f>
        <v>0</v>
      </c>
      <c r="CD31" s="264">
        <f t="shared" ref="CD31" si="40">IF(AND(CD33&gt;0,CC35-CD33&gt;0),CD33*$A$31,IF(AND(CD33&gt;0,CC35-CD33&lt;0),CC35*$A$31,0))</f>
        <v>0</v>
      </c>
      <c r="CE31" s="264">
        <f>IF(AND(CE33&gt;0,CD35-CE33&gt;0),CE33*$A$31,IF(AND(CE33&gt;0,CD35-CE33&lt;0),CD35*$A$31,0))</f>
        <v>0</v>
      </c>
      <c r="CF31" s="264">
        <f>IF(AND(CF33&gt;0,CE35-CF33&gt;0),CF33*$A$31,IF(AND(CF33&gt;0,CE35-CF33&lt;0),CE35*$A$31,0))</f>
        <v>0</v>
      </c>
      <c r="CG31" s="264">
        <f t="shared" ref="CG31:DK31" si="41">IF(AND(CG33&gt;0,CF35-CG33&gt;0),CG33*$A$31,IF(AND(CG33&gt;0,CF35-CG33&lt;0),CF35*$A$31,0))</f>
        <v>0</v>
      </c>
      <c r="CH31" s="264">
        <f t="shared" si="41"/>
        <v>0</v>
      </c>
      <c r="CI31" s="264">
        <f t="shared" si="41"/>
        <v>0</v>
      </c>
      <c r="CJ31" s="264">
        <f t="shared" si="41"/>
        <v>0</v>
      </c>
      <c r="CK31" s="264">
        <f t="shared" si="41"/>
        <v>0</v>
      </c>
      <c r="CL31" s="264">
        <f t="shared" si="41"/>
        <v>0</v>
      </c>
      <c r="CM31" s="264">
        <f t="shared" si="41"/>
        <v>0</v>
      </c>
      <c r="CN31" s="264">
        <f t="shared" si="41"/>
        <v>0</v>
      </c>
      <c r="CO31" s="264">
        <f t="shared" si="41"/>
        <v>0</v>
      </c>
      <c r="CP31" s="264">
        <f t="shared" si="41"/>
        <v>0</v>
      </c>
      <c r="CQ31" s="264">
        <f t="shared" si="41"/>
        <v>0</v>
      </c>
      <c r="CR31" s="264">
        <f t="shared" si="41"/>
        <v>0</v>
      </c>
      <c r="CS31" s="264">
        <f t="shared" si="41"/>
        <v>0</v>
      </c>
      <c r="CT31" s="264">
        <f t="shared" si="41"/>
        <v>0</v>
      </c>
      <c r="CU31" s="264">
        <f t="shared" si="41"/>
        <v>0</v>
      </c>
      <c r="CV31" s="264">
        <f t="shared" si="41"/>
        <v>0</v>
      </c>
      <c r="CW31" s="264">
        <f t="shared" si="41"/>
        <v>0</v>
      </c>
      <c r="CX31" s="264">
        <f t="shared" si="41"/>
        <v>0</v>
      </c>
      <c r="CY31" s="264">
        <f t="shared" si="41"/>
        <v>0</v>
      </c>
      <c r="CZ31" s="264">
        <f t="shared" si="41"/>
        <v>0</v>
      </c>
      <c r="DA31" s="264">
        <f t="shared" si="41"/>
        <v>0</v>
      </c>
      <c r="DB31" s="264">
        <f t="shared" si="41"/>
        <v>0</v>
      </c>
      <c r="DC31" s="264">
        <f t="shared" si="41"/>
        <v>0</v>
      </c>
      <c r="DD31" s="264">
        <f t="shared" si="41"/>
        <v>0</v>
      </c>
      <c r="DE31" s="264">
        <f t="shared" si="41"/>
        <v>0</v>
      </c>
      <c r="DF31" s="264">
        <f t="shared" si="41"/>
        <v>0</v>
      </c>
      <c r="DG31" s="264">
        <f t="shared" si="41"/>
        <v>0</v>
      </c>
      <c r="DH31" s="264">
        <f t="shared" si="41"/>
        <v>0</v>
      </c>
      <c r="DI31" s="264">
        <f t="shared" si="41"/>
        <v>0</v>
      </c>
      <c r="DJ31" s="264">
        <f t="shared" si="41"/>
        <v>0</v>
      </c>
      <c r="DK31" s="264">
        <f t="shared" si="41"/>
        <v>0</v>
      </c>
      <c r="DL31" s="264"/>
      <c r="DM31" s="264">
        <f>IF(AND(DM33&gt;0,DL35-DM33&gt;0),DM33*$A$31,IF(AND(DM33&gt;0,DL35-DM33&lt;0),DL35*$A$31,0))</f>
        <v>0</v>
      </c>
      <c r="DN31" s="264">
        <f t="shared" ref="DN31" si="42">IF(AND(DN33&gt;0,DM35-DN33&gt;0),DN33*$A$31,IF(AND(DN33&gt;0,DM35-DN33&lt;0),DM35*$A$31,0))</f>
        <v>0</v>
      </c>
      <c r="DO31" s="264">
        <f>IF(AND(DO33&gt;0,DN35-DO33&gt;0),DO33*$A$31,IF(AND(DO33&gt;0,DN35-DO33&lt;0),DN35*$A$31,0))</f>
        <v>0</v>
      </c>
      <c r="DP31" s="264">
        <f>IF(AND(DP33&gt;0,DO35-DP33&gt;0),DP33*$A$31,IF(AND(DP33&gt;0,DO35-DP33&lt;0),DO35*$A$31,0))</f>
        <v>0</v>
      </c>
      <c r="DQ31" s="264">
        <f t="shared" ref="DQ31:DW31" si="43">IF(AND(DQ33&gt;0,DP35-DQ33&gt;0),DQ33*$A$31,IF(AND(DQ33&gt;0,DP35-DQ33&lt;0),DP35*$A$31,0))</f>
        <v>0</v>
      </c>
      <c r="DR31" s="264">
        <f t="shared" si="43"/>
        <v>0</v>
      </c>
      <c r="DS31" s="264">
        <f t="shared" si="43"/>
        <v>0</v>
      </c>
      <c r="DT31" s="264">
        <f t="shared" si="43"/>
        <v>0</v>
      </c>
      <c r="DU31" s="264">
        <f t="shared" si="43"/>
        <v>0</v>
      </c>
      <c r="DV31" s="264">
        <f t="shared" si="43"/>
        <v>0</v>
      </c>
      <c r="DW31" s="264">
        <f t="shared" si="43"/>
        <v>0</v>
      </c>
    </row>
    <row r="32" spans="1:128" ht="10">
      <c r="B32" s="384" t="s">
        <v>188</v>
      </c>
      <c r="C32" s="384"/>
      <c r="D32" s="384"/>
      <c r="E32" s="384"/>
      <c r="F32" s="256" t="s">
        <v>35</v>
      </c>
      <c r="G32" s="253">
        <f>SUM(H32:DW32)</f>
        <v>0</v>
      </c>
      <c r="H32" s="264"/>
      <c r="I32" s="264"/>
      <c r="J32" s="264"/>
      <c r="K32" s="264"/>
      <c r="L32" s="264"/>
      <c r="M32" s="264"/>
      <c r="N32" s="264"/>
      <c r="O32" s="264"/>
      <c r="P32" s="264"/>
      <c r="Q32" s="264"/>
      <c r="R32" s="264"/>
      <c r="S32" s="264"/>
      <c r="T32" s="264"/>
      <c r="U32" s="264"/>
      <c r="V32" s="264"/>
      <c r="W32" s="264"/>
      <c r="X32" s="264"/>
      <c r="Y32" s="264"/>
      <c r="Z32" s="264"/>
      <c r="AA32" s="264"/>
      <c r="AB32" s="264"/>
      <c r="AC32" s="264"/>
      <c r="AD32" s="264"/>
      <c r="AE32" s="264"/>
      <c r="AF32" s="264"/>
      <c r="AG32" s="264"/>
      <c r="AH32" s="264"/>
      <c r="AI32" s="264"/>
      <c r="AJ32" s="264"/>
      <c r="AK32" s="264"/>
      <c r="AL32" s="264"/>
      <c r="AM32" s="264"/>
      <c r="AN32" s="264"/>
      <c r="AO32" s="264"/>
      <c r="AP32" s="264"/>
      <c r="AQ32" s="264"/>
      <c r="AR32" s="264"/>
      <c r="AS32" s="264"/>
      <c r="AT32" s="264"/>
      <c r="AU32" s="264"/>
      <c r="AV32" s="264"/>
      <c r="AW32" s="264"/>
      <c r="AX32" s="264"/>
      <c r="AY32" s="264"/>
      <c r="AZ32" s="264"/>
      <c r="BA32" s="264"/>
      <c r="BB32" s="264"/>
      <c r="BC32" s="264"/>
      <c r="BD32" s="264"/>
      <c r="BE32" s="264"/>
      <c r="BF32" s="264"/>
      <c r="BG32" s="264"/>
      <c r="BH32" s="264"/>
      <c r="BI32" s="264"/>
      <c r="BJ32" s="264"/>
      <c r="BK32" s="264"/>
      <c r="BL32" s="264"/>
      <c r="BM32" s="264"/>
      <c r="BN32" s="264"/>
      <c r="BO32" s="264"/>
      <c r="BP32" s="264"/>
      <c r="BQ32" s="264"/>
      <c r="BR32" s="264"/>
      <c r="BS32" s="264"/>
      <c r="BT32" s="264"/>
      <c r="BU32" s="264"/>
      <c r="BV32" s="264"/>
      <c r="BW32" s="264"/>
      <c r="BX32" s="264"/>
      <c r="BY32" s="264"/>
      <c r="BZ32" s="264"/>
      <c r="CA32" s="264"/>
      <c r="CB32" s="264"/>
      <c r="CC32" s="264"/>
      <c r="CD32" s="264"/>
      <c r="CE32" s="264"/>
      <c r="CF32" s="264"/>
      <c r="CG32" s="264"/>
      <c r="CH32" s="264"/>
      <c r="CI32" s="264"/>
      <c r="CJ32" s="264"/>
      <c r="CK32" s="264"/>
      <c r="CL32" s="264"/>
      <c r="CM32" s="264"/>
      <c r="CN32" s="264"/>
      <c r="CO32" s="264"/>
      <c r="CP32" s="264"/>
      <c r="CQ32" s="264"/>
      <c r="CR32" s="264"/>
      <c r="CS32" s="264"/>
      <c r="CT32" s="264"/>
      <c r="CU32" s="264"/>
      <c r="CV32" s="264"/>
      <c r="CW32" s="264"/>
      <c r="CX32" s="264"/>
      <c r="CY32" s="264"/>
      <c r="CZ32" s="264"/>
      <c r="DA32" s="264"/>
      <c r="DB32" s="264"/>
      <c r="DC32" s="264"/>
      <c r="DD32" s="264"/>
      <c r="DE32" s="264"/>
      <c r="DF32" s="264"/>
      <c r="DG32" s="264"/>
      <c r="DH32" s="264"/>
      <c r="DI32" s="264"/>
      <c r="DJ32" s="264"/>
      <c r="DK32" s="264"/>
      <c r="DL32" s="264"/>
      <c r="DM32" s="264"/>
      <c r="DN32" s="264"/>
      <c r="DO32" s="264"/>
      <c r="DP32" s="264"/>
      <c r="DQ32" s="264"/>
      <c r="DR32" s="264"/>
      <c r="DS32" s="264"/>
      <c r="DT32" s="264"/>
      <c r="DU32" s="264"/>
      <c r="DV32" s="264"/>
      <c r="DW32" s="264"/>
    </row>
    <row r="33" spans="2:127" ht="10">
      <c r="B33" s="384" t="s">
        <v>189</v>
      </c>
      <c r="C33" s="384"/>
      <c r="D33" s="384"/>
      <c r="E33" s="384"/>
      <c r="F33" s="256" t="s">
        <v>35</v>
      </c>
      <c r="G33" s="253">
        <f>SUM(H33:DW33)</f>
        <v>51613589954967.203</v>
      </c>
      <c r="H33" s="264">
        <f t="shared" ref="H33:AR33" si="44">H19</f>
        <v>51632780200.9683</v>
      </c>
      <c r="I33" s="264">
        <f>I19</f>
        <v>53164066096.479599</v>
      </c>
      <c r="J33" s="264">
        <f>J19</f>
        <v>54736511160.932144</v>
      </c>
      <c r="K33" s="264">
        <f>K19</f>
        <v>56351284940.670074</v>
      </c>
      <c r="L33" s="264">
        <f>L19</f>
        <v>58009591293.494827</v>
      </c>
      <c r="M33" s="264">
        <f t="shared" si="44"/>
        <v>59712669420.639961</v>
      </c>
      <c r="N33" s="264">
        <f t="shared" si="44"/>
        <v>61461794930.331673</v>
      </c>
      <c r="O33" s="264">
        <f t="shared" si="44"/>
        <v>63258280933.912811</v>
      </c>
      <c r="P33" s="264">
        <f t="shared" si="44"/>
        <v>65103479175.539948</v>
      </c>
      <c r="Q33" s="264">
        <f t="shared" si="44"/>
        <v>66998781196.493057</v>
      </c>
      <c r="R33" s="264">
        <f t="shared" si="44"/>
        <v>68945619535.171234</v>
      </c>
      <c r="S33" s="264">
        <f t="shared" si="44"/>
        <v>70945468963.880875</v>
      </c>
      <c r="T33" s="264">
        <f t="shared" si="44"/>
        <v>71861124808.985413</v>
      </c>
      <c r="U33" s="264">
        <f t="shared" si="44"/>
        <v>73967805949.668121</v>
      </c>
      <c r="V33" s="264">
        <f t="shared" si="44"/>
        <v>76132119968.24054</v>
      </c>
      <c r="W33" s="264">
        <f t="shared" si="44"/>
        <v>78355722363.52594</v>
      </c>
      <c r="X33" s="264">
        <f t="shared" si="44"/>
        <v>80640317617.48053</v>
      </c>
      <c r="Y33" s="264">
        <f t="shared" si="44"/>
        <v>82987660677.397644</v>
      </c>
      <c r="Z33" s="264">
        <f t="shared" si="44"/>
        <v>85399558483.667786</v>
      </c>
      <c r="AA33" s="264">
        <f t="shared" si="44"/>
        <v>87877871544.508316</v>
      </c>
      <c r="AB33" s="264">
        <f>AB19</f>
        <v>90424515559.123459</v>
      </c>
      <c r="AC33" s="264">
        <f t="shared" si="44"/>
        <v>93041463090.798096</v>
      </c>
      <c r="AD33" s="264">
        <f t="shared" si="44"/>
        <v>95730745291.478531</v>
      </c>
      <c r="AE33" s="264">
        <f t="shared" si="44"/>
        <v>98494453679.439789</v>
      </c>
      <c r="AF33" s="264">
        <f t="shared" si="44"/>
        <v>101334731971.6907</v>
      </c>
      <c r="AG33" s="264">
        <f>AG19</f>
        <v>104253817972.81882</v>
      </c>
      <c r="AH33" s="264">
        <f t="shared" si="44"/>
        <v>107253985522.03056</v>
      </c>
      <c r="AI33" s="264">
        <f t="shared" si="44"/>
        <v>110337586500.19742</v>
      </c>
      <c r="AJ33" s="264">
        <f t="shared" si="44"/>
        <v>113507042898.77515</v>
      </c>
      <c r="AK33" s="264">
        <f t="shared" si="44"/>
        <v>116764848952.52206</v>
      </c>
      <c r="AL33" s="264">
        <f t="shared" si="44"/>
        <v>120113573338.00188</v>
      </c>
      <c r="AM33" s="264">
        <f t="shared" si="44"/>
        <v>123555861439.91936</v>
      </c>
      <c r="AN33" s="264">
        <f t="shared" si="44"/>
        <v>127094437687.40192</v>
      </c>
      <c r="AO33" s="264">
        <f t="shared" si="44"/>
        <v>130732107962.40465</v>
      </c>
      <c r="AP33" s="264">
        <f t="shared" si="44"/>
        <v>134471762082.48624</v>
      </c>
      <c r="AQ33" s="264">
        <f t="shared" si="44"/>
        <v>138316376360.27267</v>
      </c>
      <c r="AR33" s="264">
        <f t="shared" si="44"/>
        <v>142269006241.99921</v>
      </c>
      <c r="AS33" s="264">
        <f>AS19</f>
        <v>146332829027.59412</v>
      </c>
      <c r="AT33" s="264">
        <f>AT19</f>
        <v>150511086674.84772</v>
      </c>
      <c r="AU33" s="264">
        <f>AU19</f>
        <v>154807128690.28711</v>
      </c>
      <c r="AV33" s="264">
        <f>AV19</f>
        <v>159224405109.46161</v>
      </c>
      <c r="AW33" s="264">
        <f t="shared" ref="AW33:BK33" si="45">AW19</f>
        <v>163766469569.42657</v>
      </c>
      <c r="AX33" s="264">
        <f t="shared" si="45"/>
        <v>168436982476.30289</v>
      </c>
      <c r="AY33" s="264">
        <f t="shared" si="45"/>
        <v>173239714270.87756</v>
      </c>
      <c r="AZ33" s="264">
        <f t="shared" si="45"/>
        <v>178178548795.3053</v>
      </c>
      <c r="BA33" s="264">
        <f t="shared" si="45"/>
        <v>183257486764.06677</v>
      </c>
      <c r="BB33" s="264">
        <f t="shared" si="45"/>
        <v>188480649342.43738</v>
      </c>
      <c r="BC33" s="264">
        <f t="shared" si="45"/>
        <v>193852281835.82358</v>
      </c>
      <c r="BD33" s="264">
        <f t="shared" si="45"/>
        <v>199376747493.42834</v>
      </c>
      <c r="BE33" s="264">
        <f t="shared" si="45"/>
        <v>205058571429.81683</v>
      </c>
      <c r="BF33" s="264">
        <f t="shared" si="45"/>
        <v>210902384668.06433</v>
      </c>
      <c r="BG33" s="264">
        <f t="shared" si="45"/>
        <v>216912968308.28461</v>
      </c>
      <c r="BH33" s="264">
        <f t="shared" si="45"/>
        <v>223095247825.45746</v>
      </c>
      <c r="BI33" s="264">
        <f t="shared" si="45"/>
        <v>229454297500.59381</v>
      </c>
      <c r="BJ33" s="264">
        <f t="shared" si="45"/>
        <v>235995344989.40787</v>
      </c>
      <c r="BK33" s="264">
        <f t="shared" si="45"/>
        <v>242723776032.79297</v>
      </c>
      <c r="BL33" s="264">
        <f>BL19</f>
        <v>249645139313.53568</v>
      </c>
      <c r="BM33" s="264">
        <f t="shared" ref="BM33:BP33" si="46">BM19</f>
        <v>256765151463.83923</v>
      </c>
      <c r="BN33" s="264">
        <f t="shared" si="46"/>
        <v>264089702228.3736</v>
      </c>
      <c r="BO33" s="264">
        <f t="shared" si="46"/>
        <v>271624859787.71664</v>
      </c>
      <c r="BP33" s="264">
        <f t="shared" si="46"/>
        <v>279376866247.20166</v>
      </c>
      <c r="BQ33" s="264">
        <f>BQ19</f>
        <v>287352183296.34851</v>
      </c>
      <c r="BR33" s="264">
        <f t="shared" ref="BR33:CB33" si="47">BR19</f>
        <v>295557438044.21387</v>
      </c>
      <c r="BS33" s="264">
        <f t="shared" si="47"/>
        <v>303999469036.16669</v>
      </c>
      <c r="BT33" s="264">
        <f t="shared" si="47"/>
        <v>312685322457.76721</v>
      </c>
      <c r="BU33" s="264">
        <f t="shared" si="47"/>
        <v>321622258531.60474</v>
      </c>
      <c r="BV33" s="264">
        <f t="shared" si="47"/>
        <v>330817758113.13684</v>
      </c>
      <c r="BW33" s="264">
        <f t="shared" si="47"/>
        <v>340279529491.75964</v>
      </c>
      <c r="BX33" s="264">
        <f t="shared" si="47"/>
        <v>350015515403.53503</v>
      </c>
      <c r="BY33" s="264">
        <f t="shared" si="47"/>
        <v>360033900262.20557</v>
      </c>
      <c r="BZ33" s="264">
        <f t="shared" si="47"/>
        <v>370343117615.33142</v>
      </c>
      <c r="CA33" s="264">
        <f t="shared" si="47"/>
        <v>380951857832.60413</v>
      </c>
      <c r="CB33" s="264">
        <f t="shared" si="47"/>
        <v>391869066033.60907</v>
      </c>
      <c r="CC33" s="264">
        <f>CC19</f>
        <v>403103990262.53967</v>
      </c>
      <c r="CD33" s="264">
        <f>CD19</f>
        <v>414666129917.6037</v>
      </c>
      <c r="CE33" s="264">
        <f>CE19</f>
        <v>426565284443.10107</v>
      </c>
      <c r="CF33" s="264">
        <f>CF19</f>
        <v>438811552292.40881</v>
      </c>
      <c r="CG33" s="264">
        <f t="shared" ref="CG33:CU33" si="48">CG19</f>
        <v>451415340170.36401</v>
      </c>
      <c r="CH33" s="264">
        <f t="shared" si="48"/>
        <v>464387372563.80481</v>
      </c>
      <c r="CI33" s="264">
        <f t="shared" si="48"/>
        <v>477738701569.30414</v>
      </c>
      <c r="CJ33" s="264">
        <f t="shared" si="48"/>
        <v>491480717027.41748</v>
      </c>
      <c r="CK33" s="264">
        <f t="shared" si="48"/>
        <v>505625156973.05365</v>
      </c>
      <c r="CL33" s="264">
        <f t="shared" si="48"/>
        <v>520184118411.88953</v>
      </c>
      <c r="CM33" s="264">
        <f t="shared" si="48"/>
        <v>535170068433.04883</v>
      </c>
      <c r="CN33" s="264">
        <f t="shared" si="48"/>
        <v>550595845668.60315</v>
      </c>
      <c r="CO33" s="264">
        <f t="shared" si="48"/>
        <v>566474712110.76819</v>
      </c>
      <c r="CP33" s="264">
        <f t="shared" si="48"/>
        <v>582820305298.02588</v>
      </c>
      <c r="CQ33" s="264">
        <f t="shared" si="48"/>
        <v>599646690881.74512</v>
      </c>
      <c r="CR33" s="264">
        <f t="shared" si="48"/>
        <v>616968365585.24878</v>
      </c>
      <c r="CS33" s="264">
        <f t="shared" si="48"/>
        <v>634800270567.6355</v>
      </c>
      <c r="CT33" s="264">
        <f t="shared" si="48"/>
        <v>653157805205.07593</v>
      </c>
      <c r="CU33" s="264">
        <f t="shared" si="48"/>
        <v>672056841302.67529</v>
      </c>
      <c r="CV33" s="264">
        <f>CV19</f>
        <v>691513737750.43286</v>
      </c>
      <c r="CW33" s="264">
        <f t="shared" ref="CW33:CZ33" si="49">CW19</f>
        <v>711545355637.23486</v>
      </c>
      <c r="CX33" s="264">
        <f t="shared" si="49"/>
        <v>732169073837.27026</v>
      </c>
      <c r="CY33" s="264">
        <f t="shared" si="49"/>
        <v>753402805083.70398</v>
      </c>
      <c r="CZ33" s="264">
        <f t="shared" si="49"/>
        <v>775265002544.9126</v>
      </c>
      <c r="DA33" s="264">
        <f>DA19</f>
        <v>797774716919.06848</v>
      </c>
      <c r="DB33" s="264">
        <f t="shared" ref="DB33:DL33" si="50">DB19</f>
        <v>820951554063.35938</v>
      </c>
      <c r="DC33" s="264">
        <f t="shared" si="50"/>
        <v>844815733174.63745</v>
      </c>
      <c r="DD33" s="264">
        <f t="shared" si="50"/>
        <v>869388095538.82483</v>
      </c>
      <c r="DE33" s="264">
        <f t="shared" si="50"/>
        <v>894690123866.95142</v>
      </c>
      <c r="DF33" s="264">
        <f t="shared" si="50"/>
        <v>920743962236.25562</v>
      </c>
      <c r="DG33" s="264">
        <f t="shared" si="50"/>
        <v>947572436655.37036</v>
      </c>
      <c r="DH33" s="264">
        <f t="shared" si="50"/>
        <v>975199076273.20532</v>
      </c>
      <c r="DI33" s="264">
        <f t="shared" si="50"/>
        <v>1003648135251.762</v>
      </c>
      <c r="DJ33" s="264">
        <f t="shared" si="50"/>
        <v>1032944615323.7606</v>
      </c>
      <c r="DK33" s="264">
        <f t="shared" si="50"/>
        <v>1063114289056.5928</v>
      </c>
      <c r="DL33" s="264">
        <f t="shared" si="50"/>
        <v>1094183713844.8281</v>
      </c>
      <c r="DM33" s="264">
        <f>DM19</f>
        <v>1126180296654.1704</v>
      </c>
      <c r="DN33" s="264">
        <f>DN19</f>
        <v>1159132259540.5</v>
      </c>
      <c r="DO33" s="264">
        <f>DO19</f>
        <v>1193068705968.3813</v>
      </c>
      <c r="DP33" s="264">
        <f>DP19</f>
        <v>1228019637954.1743</v>
      </c>
      <c r="DQ33" s="264">
        <f t="shared" ref="DQ33:DW33" si="51">DQ19</f>
        <v>1264015984059.6934</v>
      </c>
      <c r="DR33" s="264">
        <f t="shared" si="51"/>
        <v>1301089628263.1714</v>
      </c>
      <c r="DS33" s="264">
        <f t="shared" si="51"/>
        <v>1339273439735.1187</v>
      </c>
      <c r="DT33" s="264">
        <f t="shared" si="51"/>
        <v>1378601303547.5615</v>
      </c>
      <c r="DU33" s="264">
        <f t="shared" si="51"/>
        <v>1419108152346.0173</v>
      </c>
      <c r="DV33" s="264">
        <f t="shared" si="51"/>
        <v>1460829999014.5049</v>
      </c>
      <c r="DW33" s="264">
        <f t="shared" si="51"/>
        <v>1503803970364.8447</v>
      </c>
    </row>
    <row r="34" spans="2:127" ht="10">
      <c r="B34" s="384" t="s">
        <v>190</v>
      </c>
      <c r="C34" s="384"/>
      <c r="D34" s="384"/>
      <c r="E34" s="384"/>
      <c r="F34" s="256" t="s">
        <v>35</v>
      </c>
      <c r="G34" s="253">
        <f>SUM(H34:DW34)</f>
        <v>0</v>
      </c>
      <c r="H34" s="264">
        <v>0</v>
      </c>
      <c r="I34" s="264">
        <f>H35</f>
        <v>0</v>
      </c>
      <c r="J34" s="264">
        <f t="shared" ref="J34:AQ34" si="52">I35</f>
        <v>0</v>
      </c>
      <c r="K34" s="264">
        <f t="shared" si="52"/>
        <v>0</v>
      </c>
      <c r="L34" s="264">
        <f t="shared" si="52"/>
        <v>0</v>
      </c>
      <c r="M34" s="264">
        <f t="shared" si="52"/>
        <v>0</v>
      </c>
      <c r="N34" s="264">
        <f t="shared" si="52"/>
        <v>0</v>
      </c>
      <c r="O34" s="264">
        <f t="shared" si="52"/>
        <v>0</v>
      </c>
      <c r="P34" s="264">
        <f t="shared" si="52"/>
        <v>0</v>
      </c>
      <c r="Q34" s="264">
        <f t="shared" si="52"/>
        <v>0</v>
      </c>
      <c r="R34" s="264">
        <f t="shared" si="52"/>
        <v>0</v>
      </c>
      <c r="S34" s="264">
        <f t="shared" si="52"/>
        <v>0</v>
      </c>
      <c r="T34" s="264">
        <f t="shared" si="52"/>
        <v>0</v>
      </c>
      <c r="U34" s="264">
        <f t="shared" si="52"/>
        <v>0</v>
      </c>
      <c r="V34" s="264">
        <f t="shared" si="52"/>
        <v>0</v>
      </c>
      <c r="W34" s="264">
        <f t="shared" si="52"/>
        <v>0</v>
      </c>
      <c r="X34" s="264">
        <f t="shared" si="52"/>
        <v>0</v>
      </c>
      <c r="Y34" s="264">
        <f t="shared" si="52"/>
        <v>0</v>
      </c>
      <c r="Z34" s="264">
        <f t="shared" si="52"/>
        <v>0</v>
      </c>
      <c r="AA34" s="264">
        <f t="shared" si="52"/>
        <v>0</v>
      </c>
      <c r="AB34" s="264">
        <f t="shared" si="52"/>
        <v>0</v>
      </c>
      <c r="AC34" s="264">
        <f t="shared" si="52"/>
        <v>0</v>
      </c>
      <c r="AD34" s="264">
        <f t="shared" si="52"/>
        <v>0</v>
      </c>
      <c r="AE34" s="264">
        <f t="shared" si="52"/>
        <v>0</v>
      </c>
      <c r="AF34" s="264">
        <f t="shared" si="52"/>
        <v>0</v>
      </c>
      <c r="AG34" s="264">
        <f t="shared" si="52"/>
        <v>0</v>
      </c>
      <c r="AH34" s="264">
        <f t="shared" si="52"/>
        <v>0</v>
      </c>
      <c r="AI34" s="264">
        <f t="shared" si="52"/>
        <v>0</v>
      </c>
      <c r="AJ34" s="264">
        <f t="shared" si="52"/>
        <v>0</v>
      </c>
      <c r="AK34" s="264">
        <f t="shared" si="52"/>
        <v>0</v>
      </c>
      <c r="AL34" s="264">
        <f t="shared" si="52"/>
        <v>0</v>
      </c>
      <c r="AM34" s="264">
        <f t="shared" si="52"/>
        <v>0</v>
      </c>
      <c r="AN34" s="264">
        <f t="shared" si="52"/>
        <v>0</v>
      </c>
      <c r="AO34" s="264">
        <f t="shared" si="52"/>
        <v>0</v>
      </c>
      <c r="AP34" s="264">
        <f t="shared" si="52"/>
        <v>0</v>
      </c>
      <c r="AQ34" s="264">
        <f t="shared" si="52"/>
        <v>0</v>
      </c>
      <c r="AR34" s="264">
        <v>0</v>
      </c>
      <c r="AS34" s="264">
        <f>AR35</f>
        <v>0</v>
      </c>
      <c r="AT34" s="264">
        <f t="shared" ref="AT34:CA34" si="53">AS35</f>
        <v>0</v>
      </c>
      <c r="AU34" s="264">
        <f t="shared" si="53"/>
        <v>0</v>
      </c>
      <c r="AV34" s="264">
        <f t="shared" si="53"/>
        <v>0</v>
      </c>
      <c r="AW34" s="264">
        <f t="shared" si="53"/>
        <v>0</v>
      </c>
      <c r="AX34" s="264">
        <f t="shared" si="53"/>
        <v>0</v>
      </c>
      <c r="AY34" s="264">
        <f t="shared" si="53"/>
        <v>0</v>
      </c>
      <c r="AZ34" s="264">
        <f t="shared" si="53"/>
        <v>0</v>
      </c>
      <c r="BA34" s="264">
        <f t="shared" si="53"/>
        <v>0</v>
      </c>
      <c r="BB34" s="264">
        <f t="shared" si="53"/>
        <v>0</v>
      </c>
      <c r="BC34" s="264">
        <f t="shared" si="53"/>
        <v>0</v>
      </c>
      <c r="BD34" s="264">
        <f t="shared" si="53"/>
        <v>0</v>
      </c>
      <c r="BE34" s="264">
        <f t="shared" si="53"/>
        <v>0</v>
      </c>
      <c r="BF34" s="264">
        <f t="shared" si="53"/>
        <v>0</v>
      </c>
      <c r="BG34" s="264">
        <f t="shared" si="53"/>
        <v>0</v>
      </c>
      <c r="BH34" s="264">
        <f t="shared" si="53"/>
        <v>0</v>
      </c>
      <c r="BI34" s="264">
        <f t="shared" si="53"/>
        <v>0</v>
      </c>
      <c r="BJ34" s="264">
        <f t="shared" si="53"/>
        <v>0</v>
      </c>
      <c r="BK34" s="264">
        <f t="shared" si="53"/>
        <v>0</v>
      </c>
      <c r="BL34" s="264">
        <f t="shared" si="53"/>
        <v>0</v>
      </c>
      <c r="BM34" s="264">
        <f t="shared" si="53"/>
        <v>0</v>
      </c>
      <c r="BN34" s="264">
        <f t="shared" si="53"/>
        <v>0</v>
      </c>
      <c r="BO34" s="264">
        <f t="shared" si="53"/>
        <v>0</v>
      </c>
      <c r="BP34" s="264">
        <f t="shared" si="53"/>
        <v>0</v>
      </c>
      <c r="BQ34" s="264">
        <f t="shared" si="53"/>
        <v>0</v>
      </c>
      <c r="BR34" s="264">
        <f t="shared" si="53"/>
        <v>0</v>
      </c>
      <c r="BS34" s="264">
        <f t="shared" si="53"/>
        <v>0</v>
      </c>
      <c r="BT34" s="264">
        <f t="shared" si="53"/>
        <v>0</v>
      </c>
      <c r="BU34" s="264">
        <f t="shared" si="53"/>
        <v>0</v>
      </c>
      <c r="BV34" s="264">
        <f t="shared" si="53"/>
        <v>0</v>
      </c>
      <c r="BW34" s="264">
        <f t="shared" si="53"/>
        <v>0</v>
      </c>
      <c r="BX34" s="264">
        <f t="shared" si="53"/>
        <v>0</v>
      </c>
      <c r="BY34" s="264">
        <f t="shared" si="53"/>
        <v>0</v>
      </c>
      <c r="BZ34" s="264">
        <f t="shared" si="53"/>
        <v>0</v>
      </c>
      <c r="CA34" s="264">
        <f t="shared" si="53"/>
        <v>0</v>
      </c>
      <c r="CB34" s="264">
        <v>0</v>
      </c>
      <c r="CC34" s="264">
        <f>CB35</f>
        <v>0</v>
      </c>
      <c r="CD34" s="264">
        <f t="shared" ref="CD34:DK34" si="54">CC35</f>
        <v>0</v>
      </c>
      <c r="CE34" s="264">
        <f t="shared" si="54"/>
        <v>0</v>
      </c>
      <c r="CF34" s="264">
        <f t="shared" si="54"/>
        <v>0</v>
      </c>
      <c r="CG34" s="264">
        <f t="shared" si="54"/>
        <v>0</v>
      </c>
      <c r="CH34" s="264">
        <f t="shared" si="54"/>
        <v>0</v>
      </c>
      <c r="CI34" s="264">
        <f t="shared" si="54"/>
        <v>0</v>
      </c>
      <c r="CJ34" s="264">
        <f t="shared" si="54"/>
        <v>0</v>
      </c>
      <c r="CK34" s="264">
        <f t="shared" si="54"/>
        <v>0</v>
      </c>
      <c r="CL34" s="264">
        <f t="shared" si="54"/>
        <v>0</v>
      </c>
      <c r="CM34" s="264">
        <f t="shared" si="54"/>
        <v>0</v>
      </c>
      <c r="CN34" s="264">
        <f t="shared" si="54"/>
        <v>0</v>
      </c>
      <c r="CO34" s="264">
        <f t="shared" si="54"/>
        <v>0</v>
      </c>
      <c r="CP34" s="264">
        <f t="shared" si="54"/>
        <v>0</v>
      </c>
      <c r="CQ34" s="264">
        <f t="shared" si="54"/>
        <v>0</v>
      </c>
      <c r="CR34" s="264">
        <f t="shared" si="54"/>
        <v>0</v>
      </c>
      <c r="CS34" s="264">
        <f t="shared" si="54"/>
        <v>0</v>
      </c>
      <c r="CT34" s="264">
        <f t="shared" si="54"/>
        <v>0</v>
      </c>
      <c r="CU34" s="264">
        <f t="shared" si="54"/>
        <v>0</v>
      </c>
      <c r="CV34" s="264">
        <f t="shared" si="54"/>
        <v>0</v>
      </c>
      <c r="CW34" s="264">
        <f t="shared" si="54"/>
        <v>0</v>
      </c>
      <c r="CX34" s="264">
        <f t="shared" si="54"/>
        <v>0</v>
      </c>
      <c r="CY34" s="264">
        <f t="shared" si="54"/>
        <v>0</v>
      </c>
      <c r="CZ34" s="264">
        <f t="shared" si="54"/>
        <v>0</v>
      </c>
      <c r="DA34" s="264">
        <f t="shared" si="54"/>
        <v>0</v>
      </c>
      <c r="DB34" s="264">
        <f t="shared" si="54"/>
        <v>0</v>
      </c>
      <c r="DC34" s="264">
        <f t="shared" si="54"/>
        <v>0</v>
      </c>
      <c r="DD34" s="264">
        <f t="shared" si="54"/>
        <v>0</v>
      </c>
      <c r="DE34" s="264">
        <f t="shared" si="54"/>
        <v>0</v>
      </c>
      <c r="DF34" s="264">
        <f t="shared" si="54"/>
        <v>0</v>
      </c>
      <c r="DG34" s="264">
        <f t="shared" si="54"/>
        <v>0</v>
      </c>
      <c r="DH34" s="264">
        <f t="shared" si="54"/>
        <v>0</v>
      </c>
      <c r="DI34" s="264">
        <f t="shared" si="54"/>
        <v>0</v>
      </c>
      <c r="DJ34" s="264">
        <f t="shared" si="54"/>
        <v>0</v>
      </c>
      <c r="DK34" s="264">
        <f t="shared" si="54"/>
        <v>0</v>
      </c>
      <c r="DL34" s="264">
        <v>0</v>
      </c>
      <c r="DM34" s="264">
        <f>DL35</f>
        <v>0</v>
      </c>
      <c r="DN34" s="264">
        <f t="shared" ref="DN34:DW34" si="55">DM35</f>
        <v>0</v>
      </c>
      <c r="DO34" s="264">
        <f t="shared" si="55"/>
        <v>0</v>
      </c>
      <c r="DP34" s="264">
        <f t="shared" si="55"/>
        <v>0</v>
      </c>
      <c r="DQ34" s="264">
        <f t="shared" si="55"/>
        <v>0</v>
      </c>
      <c r="DR34" s="264">
        <f t="shared" si="55"/>
        <v>0</v>
      </c>
      <c r="DS34" s="264">
        <f t="shared" si="55"/>
        <v>0</v>
      </c>
      <c r="DT34" s="264">
        <f t="shared" si="55"/>
        <v>0</v>
      </c>
      <c r="DU34" s="264">
        <f t="shared" si="55"/>
        <v>0</v>
      </c>
      <c r="DV34" s="264">
        <f t="shared" si="55"/>
        <v>0</v>
      </c>
      <c r="DW34" s="264">
        <f t="shared" si="55"/>
        <v>0</v>
      </c>
    </row>
    <row r="35" spans="2:127" ht="10">
      <c r="B35" s="384" t="s">
        <v>191</v>
      </c>
      <c r="C35" s="384"/>
      <c r="D35" s="384"/>
      <c r="E35" s="384"/>
      <c r="F35" s="256" t="s">
        <v>35</v>
      </c>
      <c r="G35" s="253">
        <f>SUM(H35:DW35)</f>
        <v>0</v>
      </c>
      <c r="H35" s="264">
        <f>H34+H18-H31</f>
        <v>0</v>
      </c>
      <c r="I35" s="264">
        <f t="shared" ref="I35:AQ35" si="56">I34+I18-I31</f>
        <v>0</v>
      </c>
      <c r="J35" s="264">
        <f t="shared" si="56"/>
        <v>0</v>
      </c>
      <c r="K35" s="264">
        <f>K34+K18-K31</f>
        <v>0</v>
      </c>
      <c r="L35" s="264">
        <f>L34+L18-L31</f>
        <v>0</v>
      </c>
      <c r="M35" s="264">
        <f t="shared" si="56"/>
        <v>0</v>
      </c>
      <c r="N35" s="264">
        <f t="shared" si="56"/>
        <v>0</v>
      </c>
      <c r="O35" s="264">
        <f t="shared" si="56"/>
        <v>0</v>
      </c>
      <c r="P35" s="264">
        <f t="shared" si="56"/>
        <v>0</v>
      </c>
      <c r="Q35" s="264">
        <f t="shared" si="56"/>
        <v>0</v>
      </c>
      <c r="R35" s="264">
        <f t="shared" si="56"/>
        <v>0</v>
      </c>
      <c r="S35" s="264">
        <f t="shared" si="56"/>
        <v>0</v>
      </c>
      <c r="T35" s="264">
        <f t="shared" si="56"/>
        <v>0</v>
      </c>
      <c r="U35" s="264">
        <f t="shared" si="56"/>
        <v>0</v>
      </c>
      <c r="V35" s="264">
        <f t="shared" si="56"/>
        <v>0</v>
      </c>
      <c r="W35" s="264">
        <f t="shared" si="56"/>
        <v>0</v>
      </c>
      <c r="X35" s="264">
        <f t="shared" si="56"/>
        <v>0</v>
      </c>
      <c r="Y35" s="264">
        <f t="shared" si="56"/>
        <v>0</v>
      </c>
      <c r="Z35" s="264">
        <f t="shared" si="56"/>
        <v>0</v>
      </c>
      <c r="AA35" s="264">
        <f t="shared" si="56"/>
        <v>0</v>
      </c>
      <c r="AB35" s="264">
        <f t="shared" si="56"/>
        <v>0</v>
      </c>
      <c r="AC35" s="264">
        <f t="shared" si="56"/>
        <v>0</v>
      </c>
      <c r="AD35" s="264">
        <f t="shared" si="56"/>
        <v>0</v>
      </c>
      <c r="AE35" s="264">
        <f t="shared" si="56"/>
        <v>0</v>
      </c>
      <c r="AF35" s="264">
        <f t="shared" si="56"/>
        <v>0</v>
      </c>
      <c r="AG35" s="264">
        <f t="shared" si="56"/>
        <v>0</v>
      </c>
      <c r="AH35" s="264">
        <f t="shared" si="56"/>
        <v>0</v>
      </c>
      <c r="AI35" s="264">
        <f t="shared" si="56"/>
        <v>0</v>
      </c>
      <c r="AJ35" s="264">
        <f t="shared" si="56"/>
        <v>0</v>
      </c>
      <c r="AK35" s="264">
        <f t="shared" si="56"/>
        <v>0</v>
      </c>
      <c r="AL35" s="264">
        <f t="shared" si="56"/>
        <v>0</v>
      </c>
      <c r="AM35" s="264">
        <f t="shared" si="56"/>
        <v>0</v>
      </c>
      <c r="AN35" s="264">
        <f t="shared" si="56"/>
        <v>0</v>
      </c>
      <c r="AO35" s="264">
        <f t="shared" si="56"/>
        <v>0</v>
      </c>
      <c r="AP35" s="264">
        <f t="shared" si="56"/>
        <v>0</v>
      </c>
      <c r="AQ35" s="264">
        <f t="shared" si="56"/>
        <v>0</v>
      </c>
      <c r="AR35" s="264">
        <f>AR34+AR18-AR31</f>
        <v>0</v>
      </c>
      <c r="AS35" s="264">
        <f t="shared" ref="AS35:AT35" si="57">AS34+AS18-AS31</f>
        <v>0</v>
      </c>
      <c r="AT35" s="264">
        <f t="shared" si="57"/>
        <v>0</v>
      </c>
      <c r="AU35" s="264">
        <f>AU34+AU18-AU31</f>
        <v>0</v>
      </c>
      <c r="AV35" s="264">
        <f>AV34+AV18-AV31</f>
        <v>0</v>
      </c>
      <c r="AW35" s="264">
        <f t="shared" ref="AW35:CA35" si="58">AW34+AW18-AW31</f>
        <v>0</v>
      </c>
      <c r="AX35" s="264">
        <f t="shared" si="58"/>
        <v>0</v>
      </c>
      <c r="AY35" s="264">
        <f t="shared" si="58"/>
        <v>0</v>
      </c>
      <c r="AZ35" s="264">
        <f t="shared" si="58"/>
        <v>0</v>
      </c>
      <c r="BA35" s="264">
        <f t="shared" si="58"/>
        <v>0</v>
      </c>
      <c r="BB35" s="264">
        <f t="shared" si="58"/>
        <v>0</v>
      </c>
      <c r="BC35" s="264">
        <f t="shared" si="58"/>
        <v>0</v>
      </c>
      <c r="BD35" s="264">
        <f t="shared" si="58"/>
        <v>0</v>
      </c>
      <c r="BE35" s="264">
        <f t="shared" si="58"/>
        <v>0</v>
      </c>
      <c r="BF35" s="264">
        <f t="shared" si="58"/>
        <v>0</v>
      </c>
      <c r="BG35" s="264">
        <f t="shared" si="58"/>
        <v>0</v>
      </c>
      <c r="BH35" s="264">
        <f t="shared" si="58"/>
        <v>0</v>
      </c>
      <c r="BI35" s="264">
        <f t="shared" si="58"/>
        <v>0</v>
      </c>
      <c r="BJ35" s="264">
        <f t="shared" si="58"/>
        <v>0</v>
      </c>
      <c r="BK35" s="264">
        <f t="shared" si="58"/>
        <v>0</v>
      </c>
      <c r="BL35" s="264">
        <f t="shared" si="58"/>
        <v>0</v>
      </c>
      <c r="BM35" s="264">
        <f t="shared" si="58"/>
        <v>0</v>
      </c>
      <c r="BN35" s="264">
        <f t="shared" si="58"/>
        <v>0</v>
      </c>
      <c r="BO35" s="264">
        <f t="shared" si="58"/>
        <v>0</v>
      </c>
      <c r="BP35" s="264">
        <f t="shared" si="58"/>
        <v>0</v>
      </c>
      <c r="BQ35" s="264">
        <f t="shared" si="58"/>
        <v>0</v>
      </c>
      <c r="BR35" s="264">
        <f t="shared" si="58"/>
        <v>0</v>
      </c>
      <c r="BS35" s="264">
        <f t="shared" si="58"/>
        <v>0</v>
      </c>
      <c r="BT35" s="264">
        <f t="shared" si="58"/>
        <v>0</v>
      </c>
      <c r="BU35" s="264">
        <f t="shared" si="58"/>
        <v>0</v>
      </c>
      <c r="BV35" s="264">
        <f t="shared" si="58"/>
        <v>0</v>
      </c>
      <c r="BW35" s="264">
        <f t="shared" si="58"/>
        <v>0</v>
      </c>
      <c r="BX35" s="264">
        <f t="shared" si="58"/>
        <v>0</v>
      </c>
      <c r="BY35" s="264">
        <f t="shared" si="58"/>
        <v>0</v>
      </c>
      <c r="BZ35" s="264">
        <f t="shared" si="58"/>
        <v>0</v>
      </c>
      <c r="CA35" s="264">
        <f t="shared" si="58"/>
        <v>0</v>
      </c>
      <c r="CB35" s="264">
        <f>CB34+CB18-CB31</f>
        <v>0</v>
      </c>
      <c r="CC35" s="264">
        <f t="shared" ref="CC35:CD35" si="59">CC34+CC18-CC31</f>
        <v>0</v>
      </c>
      <c r="CD35" s="264">
        <f t="shared" si="59"/>
        <v>0</v>
      </c>
      <c r="CE35" s="264">
        <f>CE34+CE18-CE31</f>
        <v>0</v>
      </c>
      <c r="CF35" s="264">
        <f>CF34+CF18-CF31</f>
        <v>0</v>
      </c>
      <c r="CG35" s="264">
        <f t="shared" ref="CG35:DK35" si="60">CG34+CG18-CG31</f>
        <v>0</v>
      </c>
      <c r="CH35" s="264">
        <f t="shared" si="60"/>
        <v>0</v>
      </c>
      <c r="CI35" s="264">
        <f t="shared" si="60"/>
        <v>0</v>
      </c>
      <c r="CJ35" s="264">
        <f t="shared" si="60"/>
        <v>0</v>
      </c>
      <c r="CK35" s="264">
        <f t="shared" si="60"/>
        <v>0</v>
      </c>
      <c r="CL35" s="264">
        <f t="shared" si="60"/>
        <v>0</v>
      </c>
      <c r="CM35" s="264">
        <f t="shared" si="60"/>
        <v>0</v>
      </c>
      <c r="CN35" s="264">
        <f t="shared" si="60"/>
        <v>0</v>
      </c>
      <c r="CO35" s="264">
        <f t="shared" si="60"/>
        <v>0</v>
      </c>
      <c r="CP35" s="264">
        <f t="shared" si="60"/>
        <v>0</v>
      </c>
      <c r="CQ35" s="264">
        <f t="shared" si="60"/>
        <v>0</v>
      </c>
      <c r="CR35" s="264">
        <f t="shared" si="60"/>
        <v>0</v>
      </c>
      <c r="CS35" s="264">
        <f t="shared" si="60"/>
        <v>0</v>
      </c>
      <c r="CT35" s="264">
        <f t="shared" si="60"/>
        <v>0</v>
      </c>
      <c r="CU35" s="264">
        <f t="shared" si="60"/>
        <v>0</v>
      </c>
      <c r="CV35" s="264">
        <f t="shared" si="60"/>
        <v>0</v>
      </c>
      <c r="CW35" s="264">
        <f t="shared" si="60"/>
        <v>0</v>
      </c>
      <c r="CX35" s="264">
        <f t="shared" si="60"/>
        <v>0</v>
      </c>
      <c r="CY35" s="264">
        <f t="shared" si="60"/>
        <v>0</v>
      </c>
      <c r="CZ35" s="264">
        <f t="shared" si="60"/>
        <v>0</v>
      </c>
      <c r="DA35" s="264">
        <f t="shared" si="60"/>
        <v>0</v>
      </c>
      <c r="DB35" s="264">
        <f t="shared" si="60"/>
        <v>0</v>
      </c>
      <c r="DC35" s="264">
        <f t="shared" si="60"/>
        <v>0</v>
      </c>
      <c r="DD35" s="264">
        <f t="shared" si="60"/>
        <v>0</v>
      </c>
      <c r="DE35" s="264">
        <f t="shared" si="60"/>
        <v>0</v>
      </c>
      <c r="DF35" s="264">
        <f t="shared" si="60"/>
        <v>0</v>
      </c>
      <c r="DG35" s="264">
        <f t="shared" si="60"/>
        <v>0</v>
      </c>
      <c r="DH35" s="264">
        <f t="shared" si="60"/>
        <v>0</v>
      </c>
      <c r="DI35" s="264">
        <f t="shared" si="60"/>
        <v>0</v>
      </c>
      <c r="DJ35" s="264">
        <f t="shared" si="60"/>
        <v>0</v>
      </c>
      <c r="DK35" s="264">
        <f t="shared" si="60"/>
        <v>0</v>
      </c>
      <c r="DL35" s="264">
        <f>DL34+DL18-DL31</f>
        <v>0</v>
      </c>
      <c r="DM35" s="264">
        <f t="shared" ref="DM35:DN35" si="61">DM34+DM18-DM31</f>
        <v>0</v>
      </c>
      <c r="DN35" s="264">
        <f t="shared" si="61"/>
        <v>0</v>
      </c>
      <c r="DO35" s="264">
        <f>DO34+DO18-DO31</f>
        <v>0</v>
      </c>
      <c r="DP35" s="264">
        <f>DP34+DP18-DP31</f>
        <v>0</v>
      </c>
      <c r="DQ35" s="264">
        <f t="shared" ref="DQ35:DW35" si="62">DQ34+DQ18-DQ31</f>
        <v>0</v>
      </c>
      <c r="DR35" s="264">
        <f t="shared" si="62"/>
        <v>0</v>
      </c>
      <c r="DS35" s="264">
        <f t="shared" si="62"/>
        <v>0</v>
      </c>
      <c r="DT35" s="264">
        <f t="shared" si="62"/>
        <v>0</v>
      </c>
      <c r="DU35" s="264">
        <f t="shared" si="62"/>
        <v>0</v>
      </c>
      <c r="DV35" s="264">
        <f t="shared" si="62"/>
        <v>0</v>
      </c>
      <c r="DW35" s="264">
        <f t="shared" si="62"/>
        <v>0</v>
      </c>
    </row>
    <row r="36" spans="2:127" ht="10">
      <c r="B36" s="290"/>
      <c r="C36" s="290"/>
      <c r="D36" s="290"/>
      <c r="E36" s="290"/>
      <c r="F36" s="290"/>
      <c r="G36" s="294"/>
      <c r="H36" s="264"/>
      <c r="I36" s="264"/>
      <c r="J36" s="264"/>
      <c r="K36" s="264"/>
      <c r="L36" s="264"/>
      <c r="M36" s="264"/>
      <c r="N36" s="264"/>
      <c r="O36" s="264"/>
      <c r="P36" s="264"/>
      <c r="Q36" s="264"/>
      <c r="R36" s="264"/>
      <c r="S36" s="264"/>
      <c r="T36" s="264"/>
      <c r="U36" s="264"/>
      <c r="V36" s="264"/>
      <c r="W36" s="264"/>
      <c r="X36" s="264"/>
      <c r="Y36" s="264"/>
      <c r="Z36" s="264"/>
      <c r="AA36" s="264"/>
      <c r="AB36" s="264"/>
      <c r="AC36" s="264"/>
      <c r="AD36" s="264"/>
      <c r="AE36" s="264"/>
      <c r="AF36" s="264"/>
      <c r="AG36" s="264"/>
      <c r="AH36" s="264"/>
      <c r="AI36" s="264"/>
      <c r="AJ36" s="264"/>
      <c r="AK36" s="264"/>
      <c r="AL36" s="264"/>
      <c r="AM36" s="264"/>
      <c r="AN36" s="264"/>
      <c r="AO36" s="264"/>
      <c r="AP36" s="264"/>
      <c r="AQ36" s="264"/>
      <c r="AR36" s="264"/>
      <c r="AS36" s="264"/>
      <c r="AT36" s="264"/>
      <c r="AU36" s="264"/>
      <c r="AV36" s="264"/>
      <c r="AW36" s="264"/>
      <c r="AX36" s="264"/>
      <c r="AY36" s="264"/>
      <c r="AZ36" s="264"/>
      <c r="BA36" s="264"/>
      <c r="BB36" s="264"/>
      <c r="BC36" s="264"/>
      <c r="BD36" s="264"/>
      <c r="BE36" s="264"/>
      <c r="BF36" s="264"/>
      <c r="BG36" s="264"/>
      <c r="BH36" s="264"/>
      <c r="BI36" s="264"/>
      <c r="BJ36" s="264"/>
      <c r="BK36" s="264"/>
      <c r="BL36" s="264"/>
      <c r="BM36" s="264"/>
      <c r="BN36" s="264"/>
      <c r="BO36" s="264"/>
      <c r="BP36" s="264"/>
      <c r="BQ36" s="264"/>
      <c r="BR36" s="264"/>
      <c r="BS36" s="264"/>
      <c r="BT36" s="264"/>
      <c r="BU36" s="264"/>
      <c r="BV36" s="264"/>
      <c r="BW36" s="264"/>
      <c r="BX36" s="264"/>
      <c r="BY36" s="264"/>
      <c r="BZ36" s="264"/>
      <c r="CA36" s="264"/>
      <c r="CB36" s="264"/>
      <c r="CC36" s="264"/>
      <c r="CD36" s="264"/>
      <c r="CE36" s="264"/>
      <c r="CF36" s="264"/>
      <c r="CG36" s="264"/>
      <c r="CH36" s="264"/>
      <c r="CI36" s="264"/>
      <c r="CJ36" s="264"/>
      <c r="CK36" s="264"/>
      <c r="CL36" s="264"/>
      <c r="CM36" s="264"/>
      <c r="CN36" s="264"/>
      <c r="CO36" s="264"/>
      <c r="CP36" s="264"/>
      <c r="CQ36" s="264"/>
      <c r="CR36" s="264"/>
      <c r="CS36" s="264"/>
      <c r="CT36" s="264"/>
      <c r="CU36" s="264"/>
      <c r="CV36" s="264"/>
      <c r="CW36" s="264"/>
      <c r="CX36" s="264"/>
      <c r="CY36" s="264"/>
      <c r="CZ36" s="264"/>
      <c r="DA36" s="264"/>
      <c r="DB36" s="264"/>
      <c r="DC36" s="264"/>
      <c r="DD36" s="264"/>
      <c r="DE36" s="264"/>
      <c r="DF36" s="264"/>
      <c r="DG36" s="264"/>
      <c r="DH36" s="264"/>
      <c r="DI36" s="264"/>
      <c r="DJ36" s="264"/>
      <c r="DK36" s="264"/>
      <c r="DL36" s="264"/>
      <c r="DM36" s="264"/>
      <c r="DN36" s="264"/>
      <c r="DO36" s="264"/>
      <c r="DP36" s="264"/>
      <c r="DQ36" s="264"/>
      <c r="DR36" s="264"/>
      <c r="DS36" s="264"/>
      <c r="DT36" s="264"/>
      <c r="DU36" s="264"/>
      <c r="DV36" s="264"/>
      <c r="DW36" s="264"/>
    </row>
    <row r="37" spans="2:127" ht="10">
      <c r="B37" s="385" t="s">
        <v>192</v>
      </c>
      <c r="C37" s="385"/>
      <c r="D37" s="385"/>
      <c r="E37" s="385"/>
      <c r="F37" s="293" t="s">
        <v>35</v>
      </c>
      <c r="G37" s="295">
        <f t="shared" ref="G37" si="63">SUM(H37:AQ37)</f>
        <v>280585382602.27185</v>
      </c>
      <c r="H37" s="288">
        <f>H39</f>
        <v>0</v>
      </c>
      <c r="I37" s="288">
        <f t="shared" ref="I37:AQ37" si="64">I39</f>
        <v>0</v>
      </c>
      <c r="J37" s="288">
        <f t="shared" si="64"/>
        <v>0</v>
      </c>
      <c r="K37" s="288">
        <f t="shared" si="64"/>
        <v>0</v>
      </c>
      <c r="L37" s="288">
        <f t="shared" si="64"/>
        <v>0</v>
      </c>
      <c r="M37" s="288">
        <f t="shared" si="64"/>
        <v>0</v>
      </c>
      <c r="N37" s="288">
        <f t="shared" si="64"/>
        <v>0</v>
      </c>
      <c r="O37" s="288">
        <f t="shared" si="64"/>
        <v>0</v>
      </c>
      <c r="P37" s="288">
        <f t="shared" si="64"/>
        <v>0</v>
      </c>
      <c r="Q37" s="288">
        <f t="shared" si="64"/>
        <v>0</v>
      </c>
      <c r="R37" s="288">
        <f t="shared" si="64"/>
        <v>0</v>
      </c>
      <c r="S37" s="288">
        <f t="shared" si="64"/>
        <v>0</v>
      </c>
      <c r="T37" s="288">
        <f t="shared" si="64"/>
        <v>0</v>
      </c>
      <c r="U37" s="288">
        <f t="shared" si="64"/>
        <v>0</v>
      </c>
      <c r="V37" s="288">
        <f t="shared" si="64"/>
        <v>0</v>
      </c>
      <c r="W37" s="288">
        <f t="shared" si="64"/>
        <v>0</v>
      </c>
      <c r="X37" s="288">
        <f t="shared" si="64"/>
        <v>0</v>
      </c>
      <c r="Y37" s="288">
        <f t="shared" si="64"/>
        <v>0</v>
      </c>
      <c r="Z37" s="288">
        <f t="shared" si="64"/>
        <v>0</v>
      </c>
      <c r="AA37" s="288">
        <f t="shared" si="64"/>
        <v>0</v>
      </c>
      <c r="AB37" s="288">
        <f t="shared" si="64"/>
        <v>0</v>
      </c>
      <c r="AC37" s="288">
        <f t="shared" si="64"/>
        <v>0</v>
      </c>
      <c r="AD37" s="288">
        <f t="shared" si="64"/>
        <v>0</v>
      </c>
      <c r="AE37" s="288">
        <f t="shared" si="64"/>
        <v>199829185651.13049</v>
      </c>
      <c r="AF37" s="288">
        <f t="shared" si="64"/>
        <v>5759364293.3790283</v>
      </c>
      <c r="AG37" s="288">
        <f>AG39</f>
        <v>5919253550.3398438</v>
      </c>
      <c r="AH37" s="288">
        <f t="shared" si="64"/>
        <v>6083768527.3786011</v>
      </c>
      <c r="AI37" s="288">
        <f t="shared" si="64"/>
        <v>6253057376.7445984</v>
      </c>
      <c r="AJ37" s="288">
        <f t="shared" si="64"/>
        <v>6427262452.324646</v>
      </c>
      <c r="AK37" s="288">
        <f t="shared" si="64"/>
        <v>6606530439.2267151</v>
      </c>
      <c r="AL37" s="288">
        <f t="shared" si="64"/>
        <v>6791012487.3973083</v>
      </c>
      <c r="AM37" s="288">
        <f t="shared" si="64"/>
        <v>6980864349.4000549</v>
      </c>
      <c r="AN37" s="288">
        <f t="shared" si="64"/>
        <v>7176246522.4852905</v>
      </c>
      <c r="AO37" s="288">
        <f t="shared" si="64"/>
        <v>7377324395.0842896</v>
      </c>
      <c r="AP37" s="288">
        <f t="shared" si="64"/>
        <v>7584268397.868042</v>
      </c>
      <c r="AQ37" s="288">
        <f t="shared" si="64"/>
        <v>7797244159.5129395</v>
      </c>
      <c r="AR37" s="288">
        <f>AR39</f>
        <v>0</v>
      </c>
      <c r="AS37" s="288">
        <f t="shared" ref="AS37:BP37" si="65">AS39</f>
        <v>0</v>
      </c>
      <c r="AT37" s="288">
        <f t="shared" si="65"/>
        <v>0</v>
      </c>
      <c r="AU37" s="288">
        <f t="shared" si="65"/>
        <v>0</v>
      </c>
      <c r="AV37" s="288">
        <f t="shared" si="65"/>
        <v>0</v>
      </c>
      <c r="AW37" s="288">
        <f t="shared" si="65"/>
        <v>0</v>
      </c>
      <c r="AX37" s="288">
        <f t="shared" si="65"/>
        <v>0</v>
      </c>
      <c r="AY37" s="288">
        <f t="shared" si="65"/>
        <v>0</v>
      </c>
      <c r="AZ37" s="288">
        <f t="shared" si="65"/>
        <v>0</v>
      </c>
      <c r="BA37" s="288">
        <f t="shared" si="65"/>
        <v>0</v>
      </c>
      <c r="BB37" s="288">
        <f t="shared" si="65"/>
        <v>0</v>
      </c>
      <c r="BC37" s="288">
        <f t="shared" si="65"/>
        <v>0</v>
      </c>
      <c r="BD37" s="288">
        <f t="shared" si="65"/>
        <v>0</v>
      </c>
      <c r="BE37" s="288">
        <f t="shared" si="65"/>
        <v>0</v>
      </c>
      <c r="BF37" s="288">
        <f t="shared" si="65"/>
        <v>0</v>
      </c>
      <c r="BG37" s="288">
        <f t="shared" si="65"/>
        <v>0</v>
      </c>
      <c r="BH37" s="288">
        <f t="shared" si="65"/>
        <v>0</v>
      </c>
      <c r="BI37" s="288">
        <f t="shared" si="65"/>
        <v>0</v>
      </c>
      <c r="BJ37" s="288">
        <f t="shared" si="65"/>
        <v>0</v>
      </c>
      <c r="BK37" s="288">
        <f t="shared" si="65"/>
        <v>0</v>
      </c>
      <c r="BL37" s="288">
        <f t="shared" si="65"/>
        <v>0</v>
      </c>
      <c r="BM37" s="288">
        <f t="shared" si="65"/>
        <v>0</v>
      </c>
      <c r="BN37" s="288">
        <f t="shared" si="65"/>
        <v>0</v>
      </c>
      <c r="BO37" s="288">
        <f t="shared" si="65"/>
        <v>551001726034.91833</v>
      </c>
      <c r="BP37" s="288">
        <f t="shared" si="65"/>
        <v>15727323508.631836</v>
      </c>
      <c r="BQ37" s="288">
        <f>BQ39</f>
        <v>16180571797.012207</v>
      </c>
      <c r="BR37" s="288">
        <f t="shared" ref="BR37:CA37" si="66">BR39</f>
        <v>16647285739.818237</v>
      </c>
      <c r="BS37" s="288">
        <f t="shared" si="66"/>
        <v>17127884413.553223</v>
      </c>
      <c r="BT37" s="288">
        <f t="shared" si="66"/>
        <v>17622789495.43811</v>
      </c>
      <c r="BU37" s="288">
        <f t="shared" si="66"/>
        <v>18132435655.369629</v>
      </c>
      <c r="BV37" s="288">
        <f t="shared" si="66"/>
        <v>18657270960.154907</v>
      </c>
      <c r="BW37" s="288">
        <f t="shared" si="66"/>
        <v>19197757290.398193</v>
      </c>
      <c r="BX37" s="288">
        <f t="shared" si="66"/>
        <v>19754370770.445923</v>
      </c>
      <c r="BY37" s="288">
        <f t="shared" si="66"/>
        <v>20327602211.796387</v>
      </c>
      <c r="BZ37" s="288">
        <f t="shared" si="66"/>
        <v>20917957570.39856</v>
      </c>
      <c r="CA37" s="288">
        <f t="shared" si="66"/>
        <v>21525948418.277588</v>
      </c>
      <c r="CB37" s="288">
        <f>CB39</f>
        <v>0</v>
      </c>
      <c r="CC37" s="288">
        <f t="shared" ref="CC37:CZ37" si="67">CC39</f>
        <v>0</v>
      </c>
      <c r="CD37" s="288">
        <f t="shared" si="67"/>
        <v>0</v>
      </c>
      <c r="CE37" s="288">
        <f t="shared" si="67"/>
        <v>0</v>
      </c>
      <c r="CF37" s="288">
        <f t="shared" si="67"/>
        <v>0</v>
      </c>
      <c r="CG37" s="288">
        <f t="shared" si="67"/>
        <v>0</v>
      </c>
      <c r="CH37" s="288">
        <f t="shared" si="67"/>
        <v>0</v>
      </c>
      <c r="CI37" s="288">
        <f t="shared" si="67"/>
        <v>0</v>
      </c>
      <c r="CJ37" s="288">
        <f t="shared" si="67"/>
        <v>0</v>
      </c>
      <c r="CK37" s="288">
        <f t="shared" si="67"/>
        <v>0</v>
      </c>
      <c r="CL37" s="288">
        <f t="shared" si="67"/>
        <v>0</v>
      </c>
      <c r="CM37" s="288">
        <f t="shared" si="67"/>
        <v>0</v>
      </c>
      <c r="CN37" s="288">
        <f t="shared" si="67"/>
        <v>0</v>
      </c>
      <c r="CO37" s="288">
        <f t="shared" si="67"/>
        <v>0</v>
      </c>
      <c r="CP37" s="288">
        <f t="shared" si="67"/>
        <v>0</v>
      </c>
      <c r="CQ37" s="288">
        <f t="shared" si="67"/>
        <v>0</v>
      </c>
      <c r="CR37" s="288">
        <f t="shared" si="67"/>
        <v>0</v>
      </c>
      <c r="CS37" s="288">
        <f t="shared" si="67"/>
        <v>0</v>
      </c>
      <c r="CT37" s="288">
        <f t="shared" si="67"/>
        <v>0</v>
      </c>
      <c r="CU37" s="288">
        <f t="shared" si="67"/>
        <v>0</v>
      </c>
      <c r="CV37" s="288">
        <f t="shared" si="67"/>
        <v>0</v>
      </c>
      <c r="CW37" s="288">
        <f t="shared" si="67"/>
        <v>0</v>
      </c>
      <c r="CX37" s="288">
        <f t="shared" si="67"/>
        <v>0</v>
      </c>
      <c r="CY37" s="288">
        <f t="shared" si="67"/>
        <v>1528667807628.6167</v>
      </c>
      <c r="CZ37" s="288">
        <f t="shared" si="67"/>
        <v>44371911835.364258</v>
      </c>
      <c r="DA37" s="288">
        <f>DA39</f>
        <v>45686551518.446777</v>
      </c>
      <c r="DB37" s="288">
        <f t="shared" ref="DB37:DK37" si="68">DB39</f>
        <v>47041016255.569092</v>
      </c>
      <c r="DC37" s="288">
        <f t="shared" si="68"/>
        <v>48436541475.465576</v>
      </c>
      <c r="DD37" s="288">
        <f t="shared" si="68"/>
        <v>49874390692.313965</v>
      </c>
      <c r="DE37" s="288">
        <f t="shared" si="68"/>
        <v>51355866697.430664</v>
      </c>
      <c r="DF37" s="288">
        <f t="shared" si="68"/>
        <v>52882312788.418945</v>
      </c>
      <c r="DG37" s="288">
        <f t="shared" si="68"/>
        <v>54455114036.949707</v>
      </c>
      <c r="DH37" s="288">
        <f t="shared" si="68"/>
        <v>56075698596.391602</v>
      </c>
      <c r="DI37" s="288">
        <f t="shared" si="68"/>
        <v>57745539050.555176</v>
      </c>
      <c r="DJ37" s="288">
        <f t="shared" si="68"/>
        <v>59466153804.831055</v>
      </c>
      <c r="DK37" s="288">
        <f t="shared" si="68"/>
        <v>61239098521.067383</v>
      </c>
      <c r="DL37" s="288">
        <f>DL39</f>
        <v>0</v>
      </c>
      <c r="DM37" s="288">
        <f t="shared" ref="DM37:DW37" si="69">DM39</f>
        <v>0</v>
      </c>
      <c r="DN37" s="288">
        <f t="shared" si="69"/>
        <v>0</v>
      </c>
      <c r="DO37" s="288">
        <f t="shared" si="69"/>
        <v>0</v>
      </c>
      <c r="DP37" s="288">
        <f t="shared" si="69"/>
        <v>0</v>
      </c>
      <c r="DQ37" s="288">
        <f t="shared" si="69"/>
        <v>0</v>
      </c>
      <c r="DR37" s="288">
        <f t="shared" si="69"/>
        <v>0</v>
      </c>
      <c r="DS37" s="288">
        <f t="shared" si="69"/>
        <v>0</v>
      </c>
      <c r="DT37" s="288">
        <f t="shared" si="69"/>
        <v>0</v>
      </c>
      <c r="DU37" s="288">
        <f t="shared" si="69"/>
        <v>0</v>
      </c>
      <c r="DV37" s="288">
        <f t="shared" si="69"/>
        <v>0</v>
      </c>
      <c r="DW37" s="288">
        <f t="shared" si="69"/>
        <v>0</v>
      </c>
    </row>
    <row r="38" spans="2:127" ht="10">
      <c r="B38" s="289" t="s">
        <v>62</v>
      </c>
      <c r="C38" s="289"/>
      <c r="D38" s="289"/>
      <c r="E38" s="289"/>
      <c r="F38" s="289"/>
      <c r="G38" s="289"/>
      <c r="H38" s="264"/>
      <c r="I38" s="264"/>
      <c r="J38" s="264"/>
      <c r="K38" s="264"/>
      <c r="L38" s="264"/>
      <c r="M38" s="264"/>
      <c r="N38" s="264"/>
      <c r="O38" s="264"/>
      <c r="P38" s="264"/>
      <c r="Q38" s="264"/>
      <c r="R38" s="264"/>
      <c r="S38" s="264"/>
      <c r="T38" s="264"/>
      <c r="U38" s="264"/>
      <c r="V38" s="264"/>
      <c r="W38" s="264"/>
      <c r="X38" s="264"/>
      <c r="Y38" s="264"/>
      <c r="Z38" s="264"/>
      <c r="AA38" s="264"/>
      <c r="AB38" s="264"/>
      <c r="AC38" s="264"/>
      <c r="AD38" s="264"/>
      <c r="AE38" s="264"/>
      <c r="AF38" s="264"/>
      <c r="AG38" s="264"/>
      <c r="AH38" s="264"/>
      <c r="AI38" s="264"/>
      <c r="AJ38" s="264"/>
      <c r="AK38" s="264"/>
      <c r="AL38" s="264"/>
      <c r="AM38" s="264"/>
      <c r="AN38" s="264"/>
      <c r="AO38" s="264"/>
      <c r="AP38" s="264"/>
      <c r="AQ38" s="264"/>
      <c r="AR38" s="264"/>
      <c r="AS38" s="264"/>
      <c r="AT38" s="264"/>
      <c r="AU38" s="264"/>
      <c r="AV38" s="264"/>
      <c r="AW38" s="264"/>
      <c r="AX38" s="264"/>
      <c r="AY38" s="264"/>
      <c r="AZ38" s="264"/>
      <c r="BA38" s="264"/>
      <c r="BB38" s="264"/>
      <c r="BC38" s="264"/>
      <c r="BD38" s="264"/>
      <c r="BE38" s="264"/>
      <c r="BF38" s="264"/>
      <c r="BG38" s="264"/>
      <c r="BH38" s="264"/>
      <c r="BI38" s="264"/>
      <c r="BJ38" s="264"/>
      <c r="BK38" s="264"/>
      <c r="BL38" s="264"/>
      <c r="BM38" s="264"/>
      <c r="BN38" s="264"/>
      <c r="BO38" s="264"/>
      <c r="BP38" s="264"/>
      <c r="BQ38" s="264"/>
      <c r="BR38" s="264"/>
      <c r="BS38" s="264"/>
      <c r="BT38" s="264"/>
      <c r="BU38" s="264"/>
      <c r="BV38" s="264"/>
      <c r="BW38" s="264"/>
      <c r="BX38" s="264"/>
      <c r="BY38" s="264"/>
      <c r="BZ38" s="264"/>
      <c r="CA38" s="264"/>
      <c r="CB38" s="264"/>
      <c r="CC38" s="264"/>
      <c r="CD38" s="264"/>
      <c r="CE38" s="264"/>
      <c r="CF38" s="264"/>
      <c r="CG38" s="264"/>
      <c r="CH38" s="264"/>
      <c r="CI38" s="264"/>
      <c r="CJ38" s="264"/>
      <c r="CK38" s="264"/>
      <c r="CL38" s="264"/>
      <c r="CM38" s="264"/>
      <c r="CN38" s="264"/>
      <c r="CO38" s="264"/>
      <c r="CP38" s="264"/>
      <c r="CQ38" s="264"/>
      <c r="CR38" s="264"/>
      <c r="CS38" s="264"/>
      <c r="CT38" s="264"/>
      <c r="CU38" s="264"/>
      <c r="CV38" s="264"/>
      <c r="CW38" s="264"/>
      <c r="CX38" s="264"/>
      <c r="CY38" s="264"/>
      <c r="CZ38" s="264"/>
      <c r="DA38" s="264"/>
      <c r="DB38" s="264"/>
      <c r="DC38" s="264"/>
      <c r="DD38" s="264"/>
      <c r="DE38" s="264"/>
      <c r="DF38" s="264"/>
      <c r="DG38" s="264"/>
      <c r="DH38" s="264"/>
      <c r="DI38" s="264"/>
      <c r="DJ38" s="264"/>
      <c r="DK38" s="264"/>
      <c r="DL38" s="264"/>
      <c r="DM38" s="264"/>
      <c r="DN38" s="264"/>
      <c r="DO38" s="264"/>
      <c r="DP38" s="264"/>
      <c r="DQ38" s="264"/>
      <c r="DR38" s="264"/>
      <c r="DS38" s="264"/>
      <c r="DT38" s="264"/>
      <c r="DU38" s="264"/>
      <c r="DV38" s="264"/>
      <c r="DW38" s="264"/>
    </row>
    <row r="39" spans="2:127" ht="10">
      <c r="B39" s="386" t="s">
        <v>193</v>
      </c>
      <c r="C39" s="386"/>
      <c r="D39" s="386"/>
      <c r="E39" s="386"/>
      <c r="F39" s="256" t="s">
        <v>35</v>
      </c>
      <c r="G39" s="309">
        <f>SUM(H39:DW39)</f>
        <v>3210704309369.9058</v>
      </c>
      <c r="H39" s="264">
        <f>H40</f>
        <v>0</v>
      </c>
      <c r="I39" s="264">
        <f t="shared" ref="I39:BT39" si="70">I40</f>
        <v>0</v>
      </c>
      <c r="J39" s="264">
        <f t="shared" si="70"/>
        <v>0</v>
      </c>
      <c r="K39" s="264">
        <f t="shared" si="70"/>
        <v>0</v>
      </c>
      <c r="L39" s="264">
        <f t="shared" si="70"/>
        <v>0</v>
      </c>
      <c r="M39" s="264">
        <f t="shared" si="70"/>
        <v>0</v>
      </c>
      <c r="N39" s="264">
        <f t="shared" si="70"/>
        <v>0</v>
      </c>
      <c r="O39" s="264">
        <f t="shared" si="70"/>
        <v>0</v>
      </c>
      <c r="P39" s="264">
        <f t="shared" si="70"/>
        <v>0</v>
      </c>
      <c r="Q39" s="264">
        <f t="shared" si="70"/>
        <v>0</v>
      </c>
      <c r="R39" s="264">
        <f>R40</f>
        <v>0</v>
      </c>
      <c r="S39" s="264">
        <f t="shared" si="70"/>
        <v>0</v>
      </c>
      <c r="T39" s="264">
        <f t="shared" si="70"/>
        <v>0</v>
      </c>
      <c r="U39" s="264">
        <f t="shared" si="70"/>
        <v>0</v>
      </c>
      <c r="V39" s="264">
        <f t="shared" si="70"/>
        <v>0</v>
      </c>
      <c r="W39" s="264">
        <f t="shared" si="70"/>
        <v>0</v>
      </c>
      <c r="X39" s="264">
        <f t="shared" si="70"/>
        <v>0</v>
      </c>
      <c r="Y39" s="264">
        <f t="shared" si="70"/>
        <v>0</v>
      </c>
      <c r="Z39" s="264">
        <f t="shared" si="70"/>
        <v>0</v>
      </c>
      <c r="AA39" s="264">
        <f t="shared" si="70"/>
        <v>0</v>
      </c>
      <c r="AB39" s="264">
        <f t="shared" si="70"/>
        <v>0</v>
      </c>
      <c r="AC39" s="264">
        <f t="shared" si="70"/>
        <v>0</v>
      </c>
      <c r="AD39" s="264">
        <f t="shared" si="70"/>
        <v>0</v>
      </c>
      <c r="AE39" s="264">
        <f t="shared" si="70"/>
        <v>199829185651.13049</v>
      </c>
      <c r="AF39" s="264">
        <f t="shared" si="70"/>
        <v>5759364293.3790283</v>
      </c>
      <c r="AG39" s="264">
        <f>AG40</f>
        <v>5919253550.3398438</v>
      </c>
      <c r="AH39" s="264">
        <f t="shared" si="70"/>
        <v>6083768527.3786011</v>
      </c>
      <c r="AI39" s="264">
        <f t="shared" si="70"/>
        <v>6253057376.7445984</v>
      </c>
      <c r="AJ39" s="264">
        <f t="shared" si="70"/>
        <v>6427262452.324646</v>
      </c>
      <c r="AK39" s="264">
        <f t="shared" si="70"/>
        <v>6606530439.2267151</v>
      </c>
      <c r="AL39" s="264">
        <f t="shared" si="70"/>
        <v>6791012487.3973083</v>
      </c>
      <c r="AM39" s="264">
        <f t="shared" si="70"/>
        <v>6980864349.4000549</v>
      </c>
      <c r="AN39" s="264">
        <f t="shared" si="70"/>
        <v>7176246522.4852905</v>
      </c>
      <c r="AO39" s="264">
        <f t="shared" si="70"/>
        <v>7377324395.0842896</v>
      </c>
      <c r="AP39" s="264">
        <f t="shared" si="70"/>
        <v>7584268397.868042</v>
      </c>
      <c r="AQ39" s="264">
        <f t="shared" si="70"/>
        <v>7797244159.5129395</v>
      </c>
      <c r="AR39" s="264">
        <f>AR40</f>
        <v>0</v>
      </c>
      <c r="AS39" s="264">
        <f t="shared" si="70"/>
        <v>0</v>
      </c>
      <c r="AT39" s="264">
        <f t="shared" si="70"/>
        <v>0</v>
      </c>
      <c r="AU39" s="264">
        <f t="shared" si="70"/>
        <v>0</v>
      </c>
      <c r="AV39" s="264">
        <f t="shared" si="70"/>
        <v>0</v>
      </c>
      <c r="AW39" s="264">
        <f t="shared" si="70"/>
        <v>0</v>
      </c>
      <c r="AX39" s="264">
        <f t="shared" si="70"/>
        <v>0</v>
      </c>
      <c r="AY39" s="264">
        <f t="shared" si="70"/>
        <v>0</v>
      </c>
      <c r="AZ39" s="264">
        <f t="shared" si="70"/>
        <v>0</v>
      </c>
      <c r="BA39" s="264">
        <f t="shared" si="70"/>
        <v>0</v>
      </c>
      <c r="BB39" s="264">
        <f>BB40</f>
        <v>0</v>
      </c>
      <c r="BC39" s="264">
        <f t="shared" si="70"/>
        <v>0</v>
      </c>
      <c r="BD39" s="264">
        <f t="shared" si="70"/>
        <v>0</v>
      </c>
      <c r="BE39" s="264">
        <f t="shared" si="70"/>
        <v>0</v>
      </c>
      <c r="BF39" s="264">
        <f t="shared" si="70"/>
        <v>0</v>
      </c>
      <c r="BG39" s="264">
        <f t="shared" si="70"/>
        <v>0</v>
      </c>
      <c r="BH39" s="264">
        <f t="shared" si="70"/>
        <v>0</v>
      </c>
      <c r="BI39" s="264">
        <f t="shared" si="70"/>
        <v>0</v>
      </c>
      <c r="BJ39" s="264">
        <f t="shared" si="70"/>
        <v>0</v>
      </c>
      <c r="BK39" s="264">
        <f t="shared" si="70"/>
        <v>0</v>
      </c>
      <c r="BL39" s="264">
        <f t="shared" si="70"/>
        <v>0</v>
      </c>
      <c r="BM39" s="264">
        <f t="shared" si="70"/>
        <v>0</v>
      </c>
      <c r="BN39" s="264">
        <f t="shared" si="70"/>
        <v>0</v>
      </c>
      <c r="BO39" s="264">
        <f t="shared" si="70"/>
        <v>551001726034.91833</v>
      </c>
      <c r="BP39" s="264">
        <f t="shared" si="70"/>
        <v>15727323508.631836</v>
      </c>
      <c r="BQ39" s="264">
        <f>BQ40</f>
        <v>16180571797.012207</v>
      </c>
      <c r="BR39" s="264">
        <f t="shared" si="70"/>
        <v>16647285739.818237</v>
      </c>
      <c r="BS39" s="264">
        <f t="shared" si="70"/>
        <v>17127884413.553223</v>
      </c>
      <c r="BT39" s="264">
        <f t="shared" si="70"/>
        <v>17622789495.43811</v>
      </c>
      <c r="BU39" s="264">
        <f t="shared" ref="BU39:CA39" si="71">BU40</f>
        <v>18132435655.369629</v>
      </c>
      <c r="BV39" s="264">
        <f t="shared" si="71"/>
        <v>18657270960.154907</v>
      </c>
      <c r="BW39" s="264">
        <f t="shared" si="71"/>
        <v>19197757290.398193</v>
      </c>
      <c r="BX39" s="264">
        <f t="shared" si="71"/>
        <v>19754370770.445923</v>
      </c>
      <c r="BY39" s="264">
        <f t="shared" si="71"/>
        <v>20327602211.796387</v>
      </c>
      <c r="BZ39" s="264">
        <f t="shared" si="71"/>
        <v>20917957570.39856</v>
      </c>
      <c r="CA39" s="264">
        <f t="shared" si="71"/>
        <v>21525948418.277588</v>
      </c>
      <c r="CB39" s="264">
        <f>CB40</f>
        <v>0</v>
      </c>
      <c r="CC39" s="264">
        <f t="shared" ref="CC39:DK39" si="72">CC40</f>
        <v>0</v>
      </c>
      <c r="CD39" s="264">
        <f t="shared" si="72"/>
        <v>0</v>
      </c>
      <c r="CE39" s="264">
        <f t="shared" si="72"/>
        <v>0</v>
      </c>
      <c r="CF39" s="264">
        <f t="shared" si="72"/>
        <v>0</v>
      </c>
      <c r="CG39" s="264">
        <f t="shared" si="72"/>
        <v>0</v>
      </c>
      <c r="CH39" s="264">
        <f t="shared" si="72"/>
        <v>0</v>
      </c>
      <c r="CI39" s="264">
        <f t="shared" si="72"/>
        <v>0</v>
      </c>
      <c r="CJ39" s="264">
        <f t="shared" si="72"/>
        <v>0</v>
      </c>
      <c r="CK39" s="264">
        <f t="shared" si="72"/>
        <v>0</v>
      </c>
      <c r="CL39" s="264">
        <f>CL40</f>
        <v>0</v>
      </c>
      <c r="CM39" s="264">
        <f t="shared" si="72"/>
        <v>0</v>
      </c>
      <c r="CN39" s="264">
        <f t="shared" si="72"/>
        <v>0</v>
      </c>
      <c r="CO39" s="264">
        <f t="shared" si="72"/>
        <v>0</v>
      </c>
      <c r="CP39" s="264">
        <f t="shared" si="72"/>
        <v>0</v>
      </c>
      <c r="CQ39" s="264">
        <f t="shared" si="72"/>
        <v>0</v>
      </c>
      <c r="CR39" s="264">
        <f t="shared" si="72"/>
        <v>0</v>
      </c>
      <c r="CS39" s="264">
        <f t="shared" si="72"/>
        <v>0</v>
      </c>
      <c r="CT39" s="264">
        <f t="shared" si="72"/>
        <v>0</v>
      </c>
      <c r="CU39" s="264">
        <f t="shared" si="72"/>
        <v>0</v>
      </c>
      <c r="CV39" s="264">
        <f t="shared" si="72"/>
        <v>0</v>
      </c>
      <c r="CW39" s="264">
        <f t="shared" si="72"/>
        <v>0</v>
      </c>
      <c r="CX39" s="264">
        <f t="shared" si="72"/>
        <v>0</v>
      </c>
      <c r="CY39" s="264">
        <f t="shared" si="72"/>
        <v>1528667807628.6167</v>
      </c>
      <c r="CZ39" s="264">
        <f t="shared" si="72"/>
        <v>44371911835.364258</v>
      </c>
      <c r="DA39" s="264">
        <f>DA40</f>
        <v>45686551518.446777</v>
      </c>
      <c r="DB39" s="264">
        <f t="shared" si="72"/>
        <v>47041016255.569092</v>
      </c>
      <c r="DC39" s="264">
        <f t="shared" si="72"/>
        <v>48436541475.465576</v>
      </c>
      <c r="DD39" s="264">
        <f t="shared" si="72"/>
        <v>49874390692.313965</v>
      </c>
      <c r="DE39" s="264">
        <f t="shared" si="72"/>
        <v>51355866697.430664</v>
      </c>
      <c r="DF39" s="264">
        <f t="shared" si="72"/>
        <v>52882312788.418945</v>
      </c>
      <c r="DG39" s="264">
        <f t="shared" si="72"/>
        <v>54455114036.949707</v>
      </c>
      <c r="DH39" s="264">
        <f t="shared" si="72"/>
        <v>56075698596.391602</v>
      </c>
      <c r="DI39" s="264">
        <f t="shared" si="72"/>
        <v>57745539050.555176</v>
      </c>
      <c r="DJ39" s="264">
        <f t="shared" si="72"/>
        <v>59466153804.831055</v>
      </c>
      <c r="DK39" s="264">
        <f t="shared" si="72"/>
        <v>61239098521.067383</v>
      </c>
      <c r="DL39" s="264">
        <f>DL40</f>
        <v>0</v>
      </c>
      <c r="DM39" s="264">
        <f t="shared" ref="DM39:DW39" si="73">DM40</f>
        <v>0</v>
      </c>
      <c r="DN39" s="264">
        <f t="shared" si="73"/>
        <v>0</v>
      </c>
      <c r="DO39" s="264">
        <f t="shared" si="73"/>
        <v>0</v>
      </c>
      <c r="DP39" s="264">
        <f t="shared" si="73"/>
        <v>0</v>
      </c>
      <c r="DQ39" s="264">
        <f t="shared" si="73"/>
        <v>0</v>
      </c>
      <c r="DR39" s="264">
        <f t="shared" si="73"/>
        <v>0</v>
      </c>
      <c r="DS39" s="264">
        <f t="shared" si="73"/>
        <v>0</v>
      </c>
      <c r="DT39" s="264">
        <f t="shared" si="73"/>
        <v>0</v>
      </c>
      <c r="DU39" s="264">
        <f t="shared" si="73"/>
        <v>0</v>
      </c>
      <c r="DV39" s="264">
        <f>DV40</f>
        <v>0</v>
      </c>
      <c r="DW39" s="264">
        <f t="shared" si="73"/>
        <v>0</v>
      </c>
    </row>
    <row r="40" spans="2:127" ht="10">
      <c r="B40" s="384" t="s">
        <v>194</v>
      </c>
      <c r="C40" s="384"/>
      <c r="D40" s="384"/>
      <c r="E40" s="384"/>
      <c r="F40" s="256" t="s">
        <v>35</v>
      </c>
      <c r="G40" s="309">
        <f>SUM(H40:DW40)</f>
        <v>3210704309369.9058</v>
      </c>
      <c r="H40" s="264">
        <v>0</v>
      </c>
      <c r="I40" s="264">
        <f>IF(I41&gt;H41,I41-H41,0)</f>
        <v>0</v>
      </c>
      <c r="J40" s="264">
        <f t="shared" ref="J40:R40" si="74">IF(J41&gt;I41,J41-I41,0)</f>
        <v>0</v>
      </c>
      <c r="K40" s="264">
        <f t="shared" si="74"/>
        <v>0</v>
      </c>
      <c r="L40" s="264">
        <f t="shared" si="74"/>
        <v>0</v>
      </c>
      <c r="M40" s="264">
        <f t="shared" si="74"/>
        <v>0</v>
      </c>
      <c r="N40" s="264">
        <f t="shared" si="74"/>
        <v>0</v>
      </c>
      <c r="O40" s="264">
        <f t="shared" si="74"/>
        <v>0</v>
      </c>
      <c r="P40" s="264">
        <f t="shared" si="74"/>
        <v>0</v>
      </c>
      <c r="Q40" s="264">
        <f t="shared" si="74"/>
        <v>0</v>
      </c>
      <c r="R40" s="264">
        <f t="shared" si="74"/>
        <v>0</v>
      </c>
      <c r="S40" s="264">
        <f>IF(S41&gt;R41,S41-R41,0)</f>
        <v>0</v>
      </c>
      <c r="T40" s="264">
        <f t="shared" ref="T40:AQ40" si="75">IF(T41&gt;S41,T41-S41,0)</f>
        <v>0</v>
      </c>
      <c r="U40" s="264">
        <f t="shared" si="75"/>
        <v>0</v>
      </c>
      <c r="V40" s="264">
        <f t="shared" si="75"/>
        <v>0</v>
      </c>
      <c r="W40" s="264">
        <f t="shared" si="75"/>
        <v>0</v>
      </c>
      <c r="X40" s="264">
        <f t="shared" si="75"/>
        <v>0</v>
      </c>
      <c r="Y40" s="264">
        <f t="shared" si="75"/>
        <v>0</v>
      </c>
      <c r="Z40" s="264">
        <f t="shared" si="75"/>
        <v>0</v>
      </c>
      <c r="AA40" s="264">
        <f t="shared" si="75"/>
        <v>0</v>
      </c>
      <c r="AB40" s="264">
        <f t="shared" si="75"/>
        <v>0</v>
      </c>
      <c r="AC40" s="264">
        <f>IF(AC41&gt;AB41,AC41-AB41,0)</f>
        <v>0</v>
      </c>
      <c r="AD40" s="264">
        <f t="shared" si="75"/>
        <v>0</v>
      </c>
      <c r="AE40" s="264">
        <f t="shared" si="75"/>
        <v>199829185651.13049</v>
      </c>
      <c r="AF40" s="264">
        <f t="shared" si="75"/>
        <v>5759364293.3790283</v>
      </c>
      <c r="AG40" s="264">
        <f>IF(AG41&gt;AF41,AG41-AF41,0)</f>
        <v>5919253550.3398438</v>
      </c>
      <c r="AH40" s="264">
        <f t="shared" si="75"/>
        <v>6083768527.3786011</v>
      </c>
      <c r="AI40" s="264">
        <f t="shared" si="75"/>
        <v>6253057376.7445984</v>
      </c>
      <c r="AJ40" s="264">
        <f t="shared" si="75"/>
        <v>6427262452.324646</v>
      </c>
      <c r="AK40" s="264">
        <f t="shared" si="75"/>
        <v>6606530439.2267151</v>
      </c>
      <c r="AL40" s="264">
        <f t="shared" si="75"/>
        <v>6791012487.3973083</v>
      </c>
      <c r="AM40" s="264">
        <f t="shared" si="75"/>
        <v>6980864349.4000549</v>
      </c>
      <c r="AN40" s="264">
        <f t="shared" si="75"/>
        <v>7176246522.4852905</v>
      </c>
      <c r="AO40" s="264">
        <f t="shared" si="75"/>
        <v>7377324395.0842896</v>
      </c>
      <c r="AP40" s="264">
        <f t="shared" si="75"/>
        <v>7584268397.868042</v>
      </c>
      <c r="AQ40" s="264">
        <f t="shared" si="75"/>
        <v>7797244159.5129395</v>
      </c>
      <c r="AR40" s="264">
        <v>0</v>
      </c>
      <c r="AS40" s="264">
        <f>IF(AS41&gt;AR41,AS41-AR41,0)</f>
        <v>0</v>
      </c>
      <c r="AT40" s="264">
        <f t="shared" ref="AT40:BB40" si="76">IF(AT41&gt;AS41,AT41-AS41,0)</f>
        <v>0</v>
      </c>
      <c r="AU40" s="264">
        <f t="shared" si="76"/>
        <v>0</v>
      </c>
      <c r="AV40" s="264">
        <f t="shared" si="76"/>
        <v>0</v>
      </c>
      <c r="AW40" s="264">
        <f t="shared" si="76"/>
        <v>0</v>
      </c>
      <c r="AX40" s="264">
        <f t="shared" si="76"/>
        <v>0</v>
      </c>
      <c r="AY40" s="264">
        <f t="shared" si="76"/>
        <v>0</v>
      </c>
      <c r="AZ40" s="264">
        <f t="shared" si="76"/>
        <v>0</v>
      </c>
      <c r="BA40" s="264">
        <f t="shared" si="76"/>
        <v>0</v>
      </c>
      <c r="BB40" s="264">
        <f t="shared" si="76"/>
        <v>0</v>
      </c>
      <c r="BC40" s="264">
        <f>IF(BC41&gt;BB41,BC41-BB41,0)</f>
        <v>0</v>
      </c>
      <c r="BD40" s="264">
        <f t="shared" ref="BD40:BL40" si="77">IF(BD41&gt;BC41,BD41-BC41,0)</f>
        <v>0</v>
      </c>
      <c r="BE40" s="264">
        <f t="shared" si="77"/>
        <v>0</v>
      </c>
      <c r="BF40" s="264">
        <f t="shared" si="77"/>
        <v>0</v>
      </c>
      <c r="BG40" s="264">
        <f t="shared" si="77"/>
        <v>0</v>
      </c>
      <c r="BH40" s="264">
        <f t="shared" si="77"/>
        <v>0</v>
      </c>
      <c r="BI40" s="264">
        <f t="shared" si="77"/>
        <v>0</v>
      </c>
      <c r="BJ40" s="264">
        <f t="shared" si="77"/>
        <v>0</v>
      </c>
      <c r="BK40" s="264">
        <f t="shared" si="77"/>
        <v>0</v>
      </c>
      <c r="BL40" s="264">
        <f t="shared" si="77"/>
        <v>0</v>
      </c>
      <c r="BM40" s="264">
        <f>IF(BM41&gt;BL41,BM41-BL41,0)</f>
        <v>0</v>
      </c>
      <c r="BN40" s="264">
        <f t="shared" ref="BN40:BP40" si="78">IF(BN41&gt;BM41,BN41-BM41,0)</f>
        <v>0</v>
      </c>
      <c r="BO40" s="264">
        <f t="shared" si="78"/>
        <v>551001726034.91833</v>
      </c>
      <c r="BP40" s="264">
        <f t="shared" si="78"/>
        <v>15727323508.631836</v>
      </c>
      <c r="BQ40" s="264">
        <f>IF(BQ41&gt;BP41,BQ41-BP41,0)</f>
        <v>16180571797.012207</v>
      </c>
      <c r="BR40" s="264">
        <f t="shared" ref="BR40:CA40" si="79">IF(BR41&gt;BQ41,BR41-BQ41,0)</f>
        <v>16647285739.818237</v>
      </c>
      <c r="BS40" s="264">
        <f t="shared" si="79"/>
        <v>17127884413.553223</v>
      </c>
      <c r="BT40" s="264">
        <f t="shared" si="79"/>
        <v>17622789495.43811</v>
      </c>
      <c r="BU40" s="264">
        <f t="shared" si="79"/>
        <v>18132435655.369629</v>
      </c>
      <c r="BV40" s="264">
        <f t="shared" si="79"/>
        <v>18657270960.154907</v>
      </c>
      <c r="BW40" s="264">
        <f t="shared" si="79"/>
        <v>19197757290.398193</v>
      </c>
      <c r="BX40" s="264">
        <f t="shared" si="79"/>
        <v>19754370770.445923</v>
      </c>
      <c r="BY40" s="264">
        <f t="shared" si="79"/>
        <v>20327602211.796387</v>
      </c>
      <c r="BZ40" s="264">
        <f t="shared" si="79"/>
        <v>20917957570.39856</v>
      </c>
      <c r="CA40" s="264">
        <f t="shared" si="79"/>
        <v>21525948418.277588</v>
      </c>
      <c r="CB40" s="264">
        <v>0</v>
      </c>
      <c r="CC40" s="264">
        <f>IF(CC41&gt;CB41,CC41-CB41,0)</f>
        <v>0</v>
      </c>
      <c r="CD40" s="264">
        <f t="shared" ref="CD40:CL40" si="80">IF(CD41&gt;CC41,CD41-CC41,0)</f>
        <v>0</v>
      </c>
      <c r="CE40" s="264">
        <f t="shared" si="80"/>
        <v>0</v>
      </c>
      <c r="CF40" s="264">
        <f t="shared" si="80"/>
        <v>0</v>
      </c>
      <c r="CG40" s="264">
        <f t="shared" si="80"/>
        <v>0</v>
      </c>
      <c r="CH40" s="264">
        <f t="shared" si="80"/>
        <v>0</v>
      </c>
      <c r="CI40" s="264">
        <f t="shared" si="80"/>
        <v>0</v>
      </c>
      <c r="CJ40" s="264">
        <f t="shared" si="80"/>
        <v>0</v>
      </c>
      <c r="CK40" s="264">
        <f t="shared" si="80"/>
        <v>0</v>
      </c>
      <c r="CL40" s="264">
        <f t="shared" si="80"/>
        <v>0</v>
      </c>
      <c r="CM40" s="264">
        <f>IF(CM41&gt;CL41,CM41-CL41,0)</f>
        <v>0</v>
      </c>
      <c r="CN40" s="264">
        <f t="shared" ref="CN40:CV40" si="81">IF(CN41&gt;CM41,CN41-CM41,0)</f>
        <v>0</v>
      </c>
      <c r="CO40" s="264">
        <f t="shared" si="81"/>
        <v>0</v>
      </c>
      <c r="CP40" s="264">
        <f t="shared" si="81"/>
        <v>0</v>
      </c>
      <c r="CQ40" s="264">
        <f t="shared" si="81"/>
        <v>0</v>
      </c>
      <c r="CR40" s="264">
        <f t="shared" si="81"/>
        <v>0</v>
      </c>
      <c r="CS40" s="264">
        <f t="shared" si="81"/>
        <v>0</v>
      </c>
      <c r="CT40" s="264">
        <f t="shared" si="81"/>
        <v>0</v>
      </c>
      <c r="CU40" s="264">
        <f t="shared" si="81"/>
        <v>0</v>
      </c>
      <c r="CV40" s="264">
        <f t="shared" si="81"/>
        <v>0</v>
      </c>
      <c r="CW40" s="264">
        <f>IF(CW41&gt;CV41,CW41-CV41,0)</f>
        <v>0</v>
      </c>
      <c r="CX40" s="264">
        <f t="shared" ref="CX40:CZ40" si="82">IF(CX41&gt;CW41,CX41-CW41,0)</f>
        <v>0</v>
      </c>
      <c r="CY40" s="264">
        <f t="shared" si="82"/>
        <v>1528667807628.6167</v>
      </c>
      <c r="CZ40" s="264">
        <f t="shared" si="82"/>
        <v>44371911835.364258</v>
      </c>
      <c r="DA40" s="264">
        <f>IF(DA41&gt;CZ41,DA41-CZ41,0)</f>
        <v>45686551518.446777</v>
      </c>
      <c r="DB40" s="264">
        <f t="shared" ref="DB40:DK40" si="83">IF(DB41&gt;DA41,DB41-DA41,0)</f>
        <v>47041016255.569092</v>
      </c>
      <c r="DC40" s="264">
        <f t="shared" si="83"/>
        <v>48436541475.465576</v>
      </c>
      <c r="DD40" s="264">
        <f t="shared" si="83"/>
        <v>49874390692.313965</v>
      </c>
      <c r="DE40" s="264">
        <f t="shared" si="83"/>
        <v>51355866697.430664</v>
      </c>
      <c r="DF40" s="264">
        <f t="shared" si="83"/>
        <v>52882312788.418945</v>
      </c>
      <c r="DG40" s="264">
        <f t="shared" si="83"/>
        <v>54455114036.949707</v>
      </c>
      <c r="DH40" s="264">
        <f t="shared" si="83"/>
        <v>56075698596.391602</v>
      </c>
      <c r="DI40" s="264">
        <f t="shared" si="83"/>
        <v>57745539050.555176</v>
      </c>
      <c r="DJ40" s="264">
        <f t="shared" si="83"/>
        <v>59466153804.831055</v>
      </c>
      <c r="DK40" s="264">
        <f t="shared" si="83"/>
        <v>61239098521.067383</v>
      </c>
      <c r="DL40" s="264">
        <v>0</v>
      </c>
      <c r="DM40" s="264">
        <f>IF(DM41&gt;DL41,DM41-DL41,0)</f>
        <v>0</v>
      </c>
      <c r="DN40" s="264">
        <f t="shared" ref="DN40:DV40" si="84">IF(DN41&gt;DM41,DN41-DM41,0)</f>
        <v>0</v>
      </c>
      <c r="DO40" s="264">
        <f t="shared" si="84"/>
        <v>0</v>
      </c>
      <c r="DP40" s="264">
        <f t="shared" si="84"/>
        <v>0</v>
      </c>
      <c r="DQ40" s="264">
        <f t="shared" si="84"/>
        <v>0</v>
      </c>
      <c r="DR40" s="264">
        <f t="shared" si="84"/>
        <v>0</v>
      </c>
      <c r="DS40" s="264">
        <f t="shared" si="84"/>
        <v>0</v>
      </c>
      <c r="DT40" s="264">
        <f t="shared" si="84"/>
        <v>0</v>
      </c>
      <c r="DU40" s="264">
        <f t="shared" si="84"/>
        <v>0</v>
      </c>
      <c r="DV40" s="264">
        <f t="shared" si="84"/>
        <v>0</v>
      </c>
      <c r="DW40" s="264">
        <f>IF(DW41&gt;DV41,DW41-DV41,0)</f>
        <v>0</v>
      </c>
    </row>
    <row r="41" spans="2:127" ht="10">
      <c r="B41" s="384" t="s">
        <v>195</v>
      </c>
      <c r="C41" s="384"/>
      <c r="D41" s="384"/>
      <c r="E41" s="384"/>
      <c r="F41" s="256" t="s">
        <v>35</v>
      </c>
      <c r="G41" s="309">
        <f>SUM(H41:DW41)</f>
        <v>35365602084521.492</v>
      </c>
      <c r="H41" s="264">
        <v>0</v>
      </c>
      <c r="I41" s="264">
        <v>0</v>
      </c>
      <c r="J41" s="264">
        <v>0</v>
      </c>
      <c r="K41" s="264">
        <v>0</v>
      </c>
      <c r="L41" s="264">
        <v>0</v>
      </c>
      <c r="M41" s="264">
        <v>0</v>
      </c>
      <c r="N41" s="264">
        <v>0</v>
      </c>
      <c r="O41" s="264">
        <v>0</v>
      </c>
      <c r="P41" s="264">
        <v>0</v>
      </c>
      <c r="Q41" s="264">
        <v>0</v>
      </c>
      <c r="R41" s="264">
        <v>0</v>
      </c>
      <c r="S41" s="264">
        <v>0</v>
      </c>
      <c r="T41" s="264">
        <v>0</v>
      </c>
      <c r="U41" s="264">
        <v>0</v>
      </c>
      <c r="V41" s="264">
        <v>0</v>
      </c>
      <c r="W41" s="264">
        <v>0</v>
      </c>
      <c r="X41" s="264">
        <v>0</v>
      </c>
      <c r="Y41" s="264">
        <v>0</v>
      </c>
      <c r="Z41" s="264">
        <v>0</v>
      </c>
      <c r="AA41" s="264">
        <v>0</v>
      </c>
      <c r="AB41" s="264">
        <v>0</v>
      </c>
      <c r="AC41" s="264">
        <v>0</v>
      </c>
      <c r="AD41" s="264">
        <v>0</v>
      </c>
      <c r="AE41" s="264">
        <f t="shared" ref="AE41:AQ41" si="85">(AE33-AE34)+AF33</f>
        <v>199829185651.13049</v>
      </c>
      <c r="AF41" s="264">
        <f t="shared" si="85"/>
        <v>205588549944.50952</v>
      </c>
      <c r="AG41" s="264">
        <f>(AG33-AG34)+AH33</f>
        <v>211507803494.84937</v>
      </c>
      <c r="AH41" s="264">
        <f t="shared" si="85"/>
        <v>217591572022.22797</v>
      </c>
      <c r="AI41" s="264">
        <f t="shared" si="85"/>
        <v>223844629398.97256</v>
      </c>
      <c r="AJ41" s="264">
        <f t="shared" si="85"/>
        <v>230271891851.29721</v>
      </c>
      <c r="AK41" s="264">
        <f t="shared" si="85"/>
        <v>236878422290.52393</v>
      </c>
      <c r="AL41" s="264">
        <f t="shared" si="85"/>
        <v>243669434777.92123</v>
      </c>
      <c r="AM41" s="264">
        <f t="shared" si="85"/>
        <v>250650299127.32129</v>
      </c>
      <c r="AN41" s="264">
        <f t="shared" si="85"/>
        <v>257826545649.80658</v>
      </c>
      <c r="AO41" s="264">
        <f t="shared" si="85"/>
        <v>265203870044.89087</v>
      </c>
      <c r="AP41" s="264">
        <f t="shared" si="85"/>
        <v>272788138442.75891</v>
      </c>
      <c r="AQ41" s="264">
        <f t="shared" si="85"/>
        <v>280585382602.27185</v>
      </c>
      <c r="AR41" s="264">
        <v>0</v>
      </c>
      <c r="AS41" s="264">
        <v>0</v>
      </c>
      <c r="AT41" s="264">
        <v>0</v>
      </c>
      <c r="AU41" s="264">
        <v>0</v>
      </c>
      <c r="AV41" s="264">
        <v>0</v>
      </c>
      <c r="AW41" s="264">
        <v>0</v>
      </c>
      <c r="AX41" s="264">
        <v>0</v>
      </c>
      <c r="AY41" s="264">
        <v>0</v>
      </c>
      <c r="AZ41" s="264">
        <v>0</v>
      </c>
      <c r="BA41" s="264">
        <v>0</v>
      </c>
      <c r="BB41" s="264">
        <v>0</v>
      </c>
      <c r="BC41" s="264">
        <v>0</v>
      </c>
      <c r="BD41" s="264">
        <v>0</v>
      </c>
      <c r="BE41" s="264">
        <v>0</v>
      </c>
      <c r="BF41" s="264">
        <v>0</v>
      </c>
      <c r="BG41" s="264">
        <v>0</v>
      </c>
      <c r="BH41" s="264">
        <v>0</v>
      </c>
      <c r="BI41" s="264">
        <v>0</v>
      </c>
      <c r="BJ41" s="264">
        <v>0</v>
      </c>
      <c r="BK41" s="264">
        <v>0</v>
      </c>
      <c r="BL41" s="264">
        <v>0</v>
      </c>
      <c r="BM41" s="264">
        <v>0</v>
      </c>
      <c r="BN41" s="264">
        <v>0</v>
      </c>
      <c r="BO41" s="264">
        <f t="shared" ref="BO41:BP41" si="86">(BO33-BO34)+BP33</f>
        <v>551001726034.91833</v>
      </c>
      <c r="BP41" s="264">
        <f t="shared" si="86"/>
        <v>566729049543.55017</v>
      </c>
      <c r="BQ41" s="264">
        <f>(BQ33-BQ34)+BR33</f>
        <v>582909621340.56238</v>
      </c>
      <c r="BR41" s="264">
        <f t="shared" ref="BR41:CA41" si="87">(BR33-BR34)+BS33</f>
        <v>599556907080.38062</v>
      </c>
      <c r="BS41" s="264">
        <f t="shared" si="87"/>
        <v>616684791493.93384</v>
      </c>
      <c r="BT41" s="264">
        <f t="shared" si="87"/>
        <v>634307580989.37195</v>
      </c>
      <c r="BU41" s="264">
        <f t="shared" si="87"/>
        <v>652440016644.74158</v>
      </c>
      <c r="BV41" s="264">
        <f t="shared" si="87"/>
        <v>671097287604.89648</v>
      </c>
      <c r="BW41" s="264">
        <f t="shared" si="87"/>
        <v>690295044895.29468</v>
      </c>
      <c r="BX41" s="264">
        <f t="shared" si="87"/>
        <v>710049415665.7406</v>
      </c>
      <c r="BY41" s="264">
        <f t="shared" si="87"/>
        <v>730377017877.53699</v>
      </c>
      <c r="BZ41" s="264">
        <f t="shared" si="87"/>
        <v>751294975447.93555</v>
      </c>
      <c r="CA41" s="264">
        <f t="shared" si="87"/>
        <v>772820923866.21313</v>
      </c>
      <c r="CB41" s="264">
        <v>0</v>
      </c>
      <c r="CC41" s="264">
        <v>0</v>
      </c>
      <c r="CD41" s="264">
        <v>0</v>
      </c>
      <c r="CE41" s="264">
        <v>0</v>
      </c>
      <c r="CF41" s="264">
        <v>0</v>
      </c>
      <c r="CG41" s="264">
        <v>0</v>
      </c>
      <c r="CH41" s="264">
        <v>0</v>
      </c>
      <c r="CI41" s="264">
        <v>0</v>
      </c>
      <c r="CJ41" s="264">
        <v>0</v>
      </c>
      <c r="CK41" s="264">
        <v>0</v>
      </c>
      <c r="CL41" s="264">
        <v>0</v>
      </c>
      <c r="CM41" s="264">
        <v>0</v>
      </c>
      <c r="CN41" s="264">
        <v>0</v>
      </c>
      <c r="CO41" s="264">
        <v>0</v>
      </c>
      <c r="CP41" s="264">
        <v>0</v>
      </c>
      <c r="CQ41" s="264">
        <v>0</v>
      </c>
      <c r="CR41" s="264">
        <v>0</v>
      </c>
      <c r="CS41" s="264">
        <v>0</v>
      </c>
      <c r="CT41" s="264">
        <v>0</v>
      </c>
      <c r="CU41" s="264">
        <v>0</v>
      </c>
      <c r="CV41" s="264">
        <v>0</v>
      </c>
      <c r="CW41" s="264">
        <v>0</v>
      </c>
      <c r="CX41" s="264">
        <v>0</v>
      </c>
      <c r="CY41" s="264">
        <f t="shared" ref="CY41:CZ41" si="88">(CY33-CY34)+CZ33</f>
        <v>1528667807628.6167</v>
      </c>
      <c r="CZ41" s="264">
        <f t="shared" si="88"/>
        <v>1573039719463.981</v>
      </c>
      <c r="DA41" s="264">
        <f>(DA33-DA34)+DB33</f>
        <v>1618726270982.4277</v>
      </c>
      <c r="DB41" s="264">
        <f t="shared" ref="DB41:DK41" si="89">(DB33-DB34)+DC33</f>
        <v>1665767287237.9968</v>
      </c>
      <c r="DC41" s="264">
        <f t="shared" si="89"/>
        <v>1714203828713.4624</v>
      </c>
      <c r="DD41" s="264">
        <f t="shared" si="89"/>
        <v>1764078219405.7764</v>
      </c>
      <c r="DE41" s="264">
        <f t="shared" si="89"/>
        <v>1815434086103.207</v>
      </c>
      <c r="DF41" s="264">
        <f t="shared" si="89"/>
        <v>1868316398891.626</v>
      </c>
      <c r="DG41" s="264">
        <f t="shared" si="89"/>
        <v>1922771512928.5757</v>
      </c>
      <c r="DH41" s="264">
        <f t="shared" si="89"/>
        <v>1978847211524.9673</v>
      </c>
      <c r="DI41" s="264">
        <f t="shared" si="89"/>
        <v>2036592750575.5225</v>
      </c>
      <c r="DJ41" s="264">
        <f t="shared" si="89"/>
        <v>2096058904380.3535</v>
      </c>
      <c r="DK41" s="264">
        <f t="shared" si="89"/>
        <v>2157298002901.4209</v>
      </c>
      <c r="DL41" s="264">
        <v>0</v>
      </c>
      <c r="DM41" s="264">
        <v>0</v>
      </c>
      <c r="DN41" s="264">
        <v>0</v>
      </c>
      <c r="DO41" s="264">
        <v>0</v>
      </c>
      <c r="DP41" s="264">
        <v>0</v>
      </c>
      <c r="DQ41" s="264">
        <v>0</v>
      </c>
      <c r="DR41" s="264">
        <v>0</v>
      </c>
      <c r="DS41" s="264">
        <v>0</v>
      </c>
      <c r="DT41" s="264">
        <v>0</v>
      </c>
      <c r="DU41" s="264">
        <v>0</v>
      </c>
      <c r="DV41" s="264">
        <v>0</v>
      </c>
      <c r="DW41" s="264">
        <v>0</v>
      </c>
    </row>
    <row r="42" spans="2:127" ht="10">
      <c r="B42" s="384" t="s">
        <v>196</v>
      </c>
      <c r="C42" s="384"/>
      <c r="D42" s="384"/>
      <c r="E42" s="384"/>
      <c r="F42" s="256" t="s">
        <v>35</v>
      </c>
      <c r="G42" s="253"/>
      <c r="H42" s="264">
        <f>H43-H44</f>
        <v>-2860499176758.5244</v>
      </c>
      <c r="I42" s="264">
        <f>I43-I44</f>
        <v>-2849933742624.812</v>
      </c>
      <c r="J42" s="264">
        <f t="shared" ref="J42:AQ42" si="90">J43-J44</f>
        <v>-2839326699693.252</v>
      </c>
      <c r="K42" s="264">
        <f t="shared" si="90"/>
        <v>-2828676157484.9448</v>
      </c>
      <c r="L42" s="264">
        <f t="shared" si="90"/>
        <v>-2817980172084.5151</v>
      </c>
      <c r="M42" s="264">
        <f t="shared" si="90"/>
        <v>-2807236744527.1626</v>
      </c>
      <c r="N42" s="264">
        <f t="shared" si="90"/>
        <v>-2796443819136.3667</v>
      </c>
      <c r="O42" s="264">
        <f t="shared" si="90"/>
        <v>-2785599281810.7051</v>
      </c>
      <c r="P42" s="264">
        <f t="shared" si="90"/>
        <v>-2774700958258.2222</v>
      </c>
      <c r="Q42" s="264">
        <f t="shared" si="90"/>
        <v>-2763746612176.7139</v>
      </c>
      <c r="R42" s="264">
        <f t="shared" si="90"/>
        <v>-2752733943378.252</v>
      </c>
      <c r="S42" s="264">
        <f t="shared" si="90"/>
        <v>79151629296057.828</v>
      </c>
      <c r="T42" s="264">
        <f t="shared" si="90"/>
        <v>-2771551600659.0024</v>
      </c>
      <c r="U42" s="264">
        <f t="shared" si="90"/>
        <v>-2761422728394.4941</v>
      </c>
      <c r="V42" s="264">
        <f t="shared" si="90"/>
        <v>-2751256080010.0903</v>
      </c>
      <c r="W42" s="264">
        <f t="shared" si="90"/>
        <v>-2741049897889.1011</v>
      </c>
      <c r="X42" s="264">
        <f>X43-X44</f>
        <v>-2730802374829.3994</v>
      </c>
      <c r="Y42" s="264">
        <f t="shared" si="90"/>
        <v>-2720511652546.916</v>
      </c>
      <c r="Z42" s="264">
        <f t="shared" si="90"/>
        <v>-2710175820133.3574</v>
      </c>
      <c r="AA42" s="264">
        <f t="shared" si="90"/>
        <v>-2699792912466.7266</v>
      </c>
      <c r="AB42" s="264">
        <f t="shared" si="90"/>
        <v>-2689360908573.1836</v>
      </c>
      <c r="AC42" s="264">
        <f t="shared" si="90"/>
        <v>-2678877729938.7427</v>
      </c>
      <c r="AD42" s="264">
        <f t="shared" si="90"/>
        <v>-2668341238769.248</v>
      </c>
      <c r="AE42" s="264">
        <f t="shared" si="90"/>
        <v>-2657749236197.022</v>
      </c>
      <c r="AF42" s="264">
        <f t="shared" si="90"/>
        <v>-2647099470432.541</v>
      </c>
      <c r="AG42" s="264">
        <f t="shared" si="90"/>
        <v>-2636389594859.4238</v>
      </c>
      <c r="AH42" s="264">
        <f t="shared" si="90"/>
        <v>-2625617226070.9814</v>
      </c>
      <c r="AI42" s="264">
        <f t="shared" si="90"/>
        <v>-2614779901846.5117</v>
      </c>
      <c r="AJ42" s="264">
        <f t="shared" si="90"/>
        <v>-2603875089065.4678</v>
      </c>
      <c r="AK42" s="264">
        <f t="shared" si="90"/>
        <v>-2592900181557.5771</v>
      </c>
      <c r="AL42" s="264">
        <f t="shared" si="90"/>
        <v>-2581852497886.916</v>
      </c>
      <c r="AM42" s="264">
        <f t="shared" si="90"/>
        <v>-2570729279067.8901</v>
      </c>
      <c r="AN42" s="264">
        <f t="shared" si="90"/>
        <v>-2559527686211.0137</v>
      </c>
      <c r="AO42" s="264">
        <f t="shared" si="90"/>
        <v>-2548244798096.2925</v>
      </c>
      <c r="AP42" s="264">
        <f t="shared" si="90"/>
        <v>-2536877608671.9717</v>
      </c>
      <c r="AQ42" s="264">
        <f t="shared" si="90"/>
        <v>-2525423024476.3257</v>
      </c>
      <c r="AR42" s="264">
        <f>AR43-AR44</f>
        <v>-2513877871980.0967</v>
      </c>
      <c r="AS42" s="264">
        <f>AS43-AS44</f>
        <v>-2502238854847.1162</v>
      </c>
      <c r="AT42" s="264">
        <f t="shared" ref="AT42:BG42" si="91">AT43-AT44</f>
        <v>-2490502611110.5615</v>
      </c>
      <c r="AU42" s="264">
        <f t="shared" si="91"/>
        <v>-2478665670262.228</v>
      </c>
      <c r="AV42" s="264">
        <f t="shared" si="91"/>
        <v>-2466724460252.1084</v>
      </c>
      <c r="AW42" s="264">
        <f t="shared" si="91"/>
        <v>-2454675304395.4873</v>
      </c>
      <c r="AX42" s="264">
        <f t="shared" si="91"/>
        <v>-2442514418184.6699</v>
      </c>
      <c r="AY42" s="264">
        <f t="shared" si="91"/>
        <v>-2430237906002.3887</v>
      </c>
      <c r="AZ42" s="264">
        <f t="shared" si="91"/>
        <v>-2417841757733.8042</v>
      </c>
      <c r="BA42" s="264">
        <f t="shared" si="91"/>
        <v>-2405321845273.9683</v>
      </c>
      <c r="BB42" s="264">
        <f t="shared" si="91"/>
        <v>-2392673918927.4731</v>
      </c>
      <c r="BC42" s="264">
        <f t="shared" si="91"/>
        <v>-2379893603696.9351</v>
      </c>
      <c r="BD42" s="264">
        <f t="shared" si="91"/>
        <v>-2366976405456.854</v>
      </c>
      <c r="BE42" s="264">
        <f t="shared" si="91"/>
        <v>-2353917667009.2656</v>
      </c>
      <c r="BF42" s="264">
        <f t="shared" si="91"/>
        <v>-2340712624017.5156</v>
      </c>
      <c r="BG42" s="264">
        <f t="shared" si="91"/>
        <v>-2327356360814.3384</v>
      </c>
      <c r="BH42" s="264">
        <f>BH43-BH44</f>
        <v>-2313843816080.3423</v>
      </c>
      <c r="BI42" s="264">
        <f t="shared" ref="BI42:CA42" si="92">BI43-BI44</f>
        <v>-2300169778388.8403</v>
      </c>
      <c r="BJ42" s="264">
        <f t="shared" si="92"/>
        <v>-2286328881612.8716</v>
      </c>
      <c r="BK42" s="264">
        <f t="shared" si="92"/>
        <v>-2272315600190.1064</v>
      </c>
      <c r="BL42" s="264">
        <f t="shared" si="92"/>
        <v>-2258124244241.2036</v>
      </c>
      <c r="BM42" s="264">
        <f t="shared" si="92"/>
        <v>-2243748954537.0474</v>
      </c>
      <c r="BN42" s="264">
        <f t="shared" si="92"/>
        <v>-2229183697310.1475</v>
      </c>
      <c r="BO42" s="264">
        <f t="shared" si="92"/>
        <v>-2214422258905.3325</v>
      </c>
      <c r="BP42" s="264">
        <f t="shared" si="92"/>
        <v>-2199458250264.728</v>
      </c>
      <c r="BQ42" s="264">
        <f t="shared" si="92"/>
        <v>-2184285061241.8381</v>
      </c>
      <c r="BR42" s="264">
        <f t="shared" si="92"/>
        <v>-2168895914739.3931</v>
      </c>
      <c r="BS42" s="264">
        <f t="shared" si="92"/>
        <v>-2153283820665.4639</v>
      </c>
      <c r="BT42" s="264">
        <f t="shared" si="92"/>
        <v>-2137441579702.1594</v>
      </c>
      <c r="BU42" s="264">
        <f t="shared" si="92"/>
        <v>-2121361776881.0552</v>
      </c>
      <c r="BV42" s="264">
        <f t="shared" si="92"/>
        <v>-2105036774959.3118</v>
      </c>
      <c r="BW42" s="264">
        <f t="shared" si="92"/>
        <v>-2088458707590.2539</v>
      </c>
      <c r="BX42" s="264">
        <f t="shared" si="92"/>
        <v>-2071619472281.9858</v>
      </c>
      <c r="BY42" s="264">
        <f t="shared" si="92"/>
        <v>-2054510723137.415</v>
      </c>
      <c r="BZ42" s="264">
        <f t="shared" si="92"/>
        <v>-2037123863368.8521</v>
      </c>
      <c r="CA42" s="264">
        <f t="shared" si="92"/>
        <v>-2019450037580.1309</v>
      </c>
      <c r="CB42" s="264">
        <f>CB43-CB44</f>
        <v>-2001480133808.9875</v>
      </c>
      <c r="CC42" s="264">
        <f>CC43-CC44</f>
        <v>-1983204735322.1899</v>
      </c>
      <c r="CD42" s="264">
        <f t="shared" ref="CD42:CQ42" si="93">CD43-CD44</f>
        <v>-1964614172155.686</v>
      </c>
      <c r="CE42" s="264">
        <f t="shared" si="93"/>
        <v>-1945698472391.7942</v>
      </c>
      <c r="CF42" s="264">
        <f t="shared" si="93"/>
        <v>-1926447363165.2024</v>
      </c>
      <c r="CG42" s="264">
        <f t="shared" si="93"/>
        <v>-1906850261389.2947</v>
      </c>
      <c r="CH42" s="264">
        <f t="shared" si="93"/>
        <v>-1886896264194.043</v>
      </c>
      <c r="CI42" s="264">
        <f t="shared" si="93"/>
        <v>-1866574139066.4414</v>
      </c>
      <c r="CJ42" s="264">
        <f t="shared" si="93"/>
        <v>-1845872313684.1648</v>
      </c>
      <c r="CK42" s="264">
        <f t="shared" si="93"/>
        <v>-1824778865432.8477</v>
      </c>
      <c r="CL42" s="264">
        <f t="shared" si="93"/>
        <v>-1803281510597.0742</v>
      </c>
      <c r="CM42" s="264">
        <f t="shared" si="93"/>
        <v>-1781367593214.8596</v>
      </c>
      <c r="CN42" s="264">
        <f t="shared" si="93"/>
        <v>-1759024083585.0808</v>
      </c>
      <c r="CO42" s="264">
        <f t="shared" si="93"/>
        <v>-1736237526416.9858</v>
      </c>
      <c r="CP42" s="264">
        <f t="shared" si="93"/>
        <v>-1712994088610.5601</v>
      </c>
      <c r="CQ42" s="264">
        <f t="shared" si="93"/>
        <v>-1689279506656.1943</v>
      </c>
      <c r="CR42" s="264">
        <f>CR43-CR44</f>
        <v>-1665079083641.7075</v>
      </c>
      <c r="CS42" s="264">
        <f t="shared" ref="CS42:DK42" si="94">CS43-CS44</f>
        <v>-1640377675854.4302</v>
      </c>
      <c r="CT42" s="264">
        <f t="shared" si="94"/>
        <v>-1615159678965.6472</v>
      </c>
      <c r="CU42" s="264">
        <f t="shared" si="94"/>
        <v>-1589409013784.3083</v>
      </c>
      <c r="CV42" s="264">
        <f t="shared" si="94"/>
        <v>-1563109111566.5</v>
      </c>
      <c r="CW42" s="264">
        <f t="shared" si="94"/>
        <v>-1536242898866.751</v>
      </c>
      <c r="CX42" s="264">
        <f t="shared" si="94"/>
        <v>-1508792781916.7944</v>
      </c>
      <c r="CY42" s="264">
        <f t="shared" si="94"/>
        <v>-1480740630516.9761</v>
      </c>
      <c r="CZ42" s="264">
        <f t="shared" si="94"/>
        <v>-1452067771425.0137</v>
      </c>
      <c r="DA42" s="264">
        <f t="shared" si="94"/>
        <v>-1422754931226.3369</v>
      </c>
      <c r="DB42" s="264">
        <f t="shared" si="94"/>
        <v>-1392782278669.748</v>
      </c>
      <c r="DC42" s="264">
        <f t="shared" si="94"/>
        <v>-1362129366451.6228</v>
      </c>
      <c r="DD42" s="264">
        <f t="shared" si="94"/>
        <v>-1330775122431.3403</v>
      </c>
      <c r="DE42" s="264">
        <f t="shared" si="94"/>
        <v>-1298697830260.105</v>
      </c>
      <c r="DF42" s="264">
        <f t="shared" si="94"/>
        <v>-1265875109404.728</v>
      </c>
      <c r="DG42" s="264">
        <f t="shared" si="94"/>
        <v>-1232283894547.395</v>
      </c>
      <c r="DH42" s="264">
        <f t="shared" si="94"/>
        <v>-1197900414341.8127</v>
      </c>
      <c r="DI42" s="264">
        <f t="shared" si="94"/>
        <v>-1162700169505.5383</v>
      </c>
      <c r="DJ42" s="264">
        <f t="shared" si="94"/>
        <v>-1126657910227.6394</v>
      </c>
      <c r="DK42" s="264">
        <f t="shared" si="94"/>
        <v>-1089747612870.1868</v>
      </c>
      <c r="DL42" s="264">
        <f>DL43-DL44</f>
        <v>-1051942465941.4004</v>
      </c>
      <c r="DM42" s="264">
        <f>DM43-DM44</f>
        <v>-1013214805317.572</v>
      </c>
      <c r="DN42" s="264">
        <f t="shared" ref="DN42:DW42" si="95">DN43-DN44</f>
        <v>-973536148690.16553</v>
      </c>
      <c r="DO42" s="264">
        <f t="shared" si="95"/>
        <v>-932877129213.75391</v>
      </c>
      <c r="DP42" s="264">
        <f t="shared" si="95"/>
        <v>-891207478329.68579</v>
      </c>
      <c r="DQ42" s="264">
        <f t="shared" si="95"/>
        <v>-848495997739.57568</v>
      </c>
      <c r="DR42" s="264">
        <f t="shared" si="95"/>
        <v>-804710530501.91431</v>
      </c>
      <c r="DS42" s="264">
        <f t="shared" si="95"/>
        <v>-759817931224.22583</v>
      </c>
      <c r="DT42" s="264">
        <f t="shared" si="95"/>
        <v>-713784035322.35742</v>
      </c>
      <c r="DU42" s="264">
        <f t="shared" si="95"/>
        <v>-666573627317.57788</v>
      </c>
      <c r="DV42" s="264">
        <f t="shared" si="95"/>
        <v>-618150408141.22437</v>
      </c>
      <c r="DW42" s="264">
        <f t="shared" si="95"/>
        <v>-568476961415.72314</v>
      </c>
    </row>
    <row r="43" spans="2:127" ht="10">
      <c r="B43" s="384" t="s">
        <v>197</v>
      </c>
      <c r="C43" s="384"/>
      <c r="D43" s="384"/>
      <c r="E43" s="384"/>
      <c r="F43" s="256" t="s">
        <v>35</v>
      </c>
      <c r="G43" s="253"/>
      <c r="H43" s="264">
        <f>'Отчет о фин. рез до'!E20</f>
        <v>91278535241.475464</v>
      </c>
      <c r="I43" s="264">
        <f>'Отчет о фин. рез до'!F20</f>
        <v>93644521246.794586</v>
      </c>
      <c r="J43" s="264">
        <f>'Отчет о фин. рез до'!G20</f>
        <v>96074892476.972198</v>
      </c>
      <c r="K43" s="264">
        <f>'Отчет о фин. рез до'!H20</f>
        <v>98571476142.548843</v>
      </c>
      <c r="L43" s="264">
        <f>'Отчет о фин. рез до'!I20</f>
        <v>101136153066.28827</v>
      </c>
      <c r="M43" s="264">
        <f>'Отчет о фин. рез до'!J20</f>
        <v>103770859295.63654</v>
      </c>
      <c r="N43" s="264">
        <f>'Отчет о фин. рез до'!K20</f>
        <v>106477587764.53366</v>
      </c>
      <c r="O43" s="264">
        <f>'Отчет о фин. рез до'!L20</f>
        <v>109258390006.10591</v>
      </c>
      <c r="P43" s="264">
        <f>'Отчет о фин. рез до'!M20</f>
        <v>112115377917.8158</v>
      </c>
      <c r="Q43" s="264">
        <f>'Отчет о фин. рез до'!N20</f>
        <v>115050725580.69447</v>
      </c>
      <c r="R43" s="264">
        <f>'Отчет о фин. рез до'!O20</f>
        <v>118066671134.33347</v>
      </c>
      <c r="S43" s="264">
        <f>'Отчет о фин. рез до'!P20</f>
        <v>82014455400623.422</v>
      </c>
      <c r="T43" s="264">
        <f>'Отчет о фин. рез до'!Q20</f>
        <v>83322145553.32785</v>
      </c>
      <c r="U43" s="264">
        <f>'Отчет о фин. рез до'!R20</f>
        <v>85520749525.607544</v>
      </c>
      <c r="V43" s="264">
        <f>'Отчет о фин. рез до'!S20</f>
        <v>87779158317.044983</v>
      </c>
      <c r="W43" s="264">
        <f>'Отчет о фин. рез до'!T20</f>
        <v>90099068353.009201</v>
      </c>
      <c r="X43" s="264">
        <f>'Отчет о фин. рез до'!U20</f>
        <v>92482225814.283829</v>
      </c>
      <c r="Y43" s="264">
        <f>'Отчет о фин. рез до'!V20</f>
        <v>94930428133.099197</v>
      </c>
      <c r="Z43" s="264">
        <f>'Отчет о фин. рез до'!W20</f>
        <v>97445525534.944611</v>
      </c>
      <c r="AA43" s="264">
        <f>'Отчет о фин. рез до'!X20</f>
        <v>100029422627.57809</v>
      </c>
      <c r="AB43" s="264">
        <f>'Отчет о фин. рез до'!Y20</f>
        <v>102684080038.6962</v>
      </c>
      <c r="AC43" s="264">
        <f>'Отчет о фин. рез до'!Z20</f>
        <v>105411516103.77094</v>
      </c>
      <c r="AD43" s="264">
        <f>'Отчет о фин. рез до'!AA20</f>
        <v>108213808605.6091</v>
      </c>
      <c r="AE43" s="264">
        <f>'Отчет о фин. рез до'!AB20</f>
        <v>111093096567.23732</v>
      </c>
      <c r="AF43" s="264">
        <f>'Отчет о фин. рез до'!AC20</f>
        <v>114051572099.76584</v>
      </c>
      <c r="AG43" s="264">
        <f>'Отчет о фин. рез до'!AD20</f>
        <v>117091522306.93665</v>
      </c>
      <c r="AH43" s="264">
        <f>'Отчет о фин. рез до'!AE20</f>
        <v>120215271248.11403</v>
      </c>
      <c r="AI43" s="264">
        <f>'Отчет о фин. рез до'!AF20</f>
        <v>123425221961.53082</v>
      </c>
      <c r="AJ43" s="264">
        <f>'Отчет о фин. рез до'!AG20</f>
        <v>126723848549.66058</v>
      </c>
      <c r="AK43" s="264">
        <f>'Отчет о фин. рез до'!AH20</f>
        <v>130113698328.64384</v>
      </c>
      <c r="AL43" s="264">
        <f>'Отчет о фин. рез до'!AI20</f>
        <v>133597394043.75752</v>
      </c>
      <c r="AM43" s="264">
        <f>'Отчет о фин. рез до'!AJ20</f>
        <v>137177636152.97806</v>
      </c>
      <c r="AN43" s="264">
        <f>'Отчет о фин. рез до'!AK20</f>
        <v>140857205180.75372</v>
      </c>
      <c r="AO43" s="264">
        <f>'Отчет о фин. рез до'!AL20</f>
        <v>144638964144.16693</v>
      </c>
      <c r="AP43" s="264">
        <f>'Отчет о фин. рез до'!AM20</f>
        <v>148525861053.73627</v>
      </c>
      <c r="AQ43" s="264">
        <f>'Отчет о фин. рез до'!AN20</f>
        <v>152520931491.17822</v>
      </c>
      <c r="AR43" s="264">
        <f>'Отчет о фин. рез до'!AO20</f>
        <v>156627291266.52051</v>
      </c>
      <c r="AS43" s="264">
        <f>'Отчет о фин. рез до'!AP20</f>
        <v>160848179157.0347</v>
      </c>
      <c r="AT43" s="264">
        <f>'Отчет о фин. рез до'!AQ20</f>
        <v>165186899730.5329</v>
      </c>
      <c r="AU43" s="264">
        <f>'Отчет о фин. рез до'!AR20</f>
        <v>169646866255.65192</v>
      </c>
      <c r="AV43" s="264">
        <f>'Отчет о фин. рез до'!AS20</f>
        <v>174231593701.83179</v>
      </c>
      <c r="AW43" s="264">
        <f>'Отчет о фин. рез до'!AT20</f>
        <v>178944701831.77991</v>
      </c>
      <c r="AX43" s="264">
        <f>'Отчет о фин. рез до'!AU20</f>
        <v>183789918389.29858</v>
      </c>
      <c r="AY43" s="264">
        <f>'Отчет о фин. рез до'!AV20</f>
        <v>188771082385.44504</v>
      </c>
      <c r="AZ43" s="264">
        <f>'Отчет о фин. рез до'!AW20</f>
        <v>193892147486.0856</v>
      </c>
      <c r="BA43" s="264">
        <f>'Отчет о фин. рез до'!AX20</f>
        <v>199157185504.00137</v>
      </c>
      <c r="BB43" s="264">
        <f>'Отчет о фин. рез до'!AY20</f>
        <v>204570389998.80173</v>
      </c>
      <c r="BC43" s="264">
        <f>'Отчет о фин. рез до'!AZ20</f>
        <v>210136079988.00439</v>
      </c>
      <c r="BD43" s="264">
        <f>'Отчет о фин. рез до'!BA20</f>
        <v>215858693772.74573</v>
      </c>
      <c r="BE43" s="264">
        <f>'Отчет о фин. рез до'!BB20</f>
        <v>221742832881.69363</v>
      </c>
      <c r="BF43" s="264">
        <f>'Отчет о фин. рез до'!BC20</f>
        <v>227793206136.84689</v>
      </c>
      <c r="BG43" s="264">
        <f>'Отчет о фин. рез до'!BD20</f>
        <v>234014673845.02109</v>
      </c>
      <c r="BH43" s="264">
        <f>'Отчет о фин. рез до'!BE20</f>
        <v>240412242118.94058</v>
      </c>
      <c r="BI43" s="264">
        <f>'Отчет о фин. рез до'!BF20</f>
        <v>246991067331.97656</v>
      </c>
      <c r="BJ43" s="264">
        <f>'Отчет о фин. рез до'!BG20</f>
        <v>253756460710.70203</v>
      </c>
      <c r="BK43" s="264">
        <f>'Отчет о фин. рез до'!BH20</f>
        <v>260713893069.56107</v>
      </c>
      <c r="BL43" s="264">
        <f>'Отчет о фин. рез до'!BI20</f>
        <v>267868999692.08737</v>
      </c>
      <c r="BM43" s="264">
        <f>'Отчет о фин. рез до'!BJ20</f>
        <v>275227585363.24542</v>
      </c>
      <c r="BN43" s="264">
        <f>'Отчет о фин. рез до'!BK20</f>
        <v>282795629557.61047</v>
      </c>
      <c r="BO43" s="264">
        <f>'Отчет о фин. рез до'!BL20</f>
        <v>290579291788.25214</v>
      </c>
      <c r="BP43" s="264">
        <f>'Отчет о фин. рез до'!BM20</f>
        <v>298584907121.33984</v>
      </c>
      <c r="BQ43" s="264">
        <f>'Отчет о фин. рез до'!BN20</f>
        <v>306819031861.64276</v>
      </c>
      <c r="BR43" s="264">
        <f>'Отчет о фин. рез до'!BO20</f>
        <v>315288389414.26501</v>
      </c>
      <c r="BS43" s="264">
        <f>'Отчет о фин. рез до'!BP20</f>
        <v>323999916328.11627</v>
      </c>
      <c r="BT43" s="264">
        <f>'Отчет о фин. рез до'!BQ20</f>
        <v>332960758526.80011</v>
      </c>
      <c r="BU43" s="264">
        <f>'Отчет о фин. рез до'!BR20</f>
        <v>342178277732.77209</v>
      </c>
      <c r="BV43" s="264">
        <f>'Отчет о фин. рез до'!BS20</f>
        <v>351660058090.80927</v>
      </c>
      <c r="BW43" s="264">
        <f>'Отчет о фин. рез до'!BT20</f>
        <v>361413912997.02039</v>
      </c>
      <c r="BX43" s="264">
        <f>'Отчет о фин. рез до'!BU20</f>
        <v>371447892139.82117</v>
      </c>
      <c r="BY43" s="264">
        <f>'Отчет о фин. рез до'!BV20</f>
        <v>381770288759.50085</v>
      </c>
      <c r="BZ43" s="264">
        <f>'Отчет о фин. рез до'!BW20</f>
        <v>392389647133.21674</v>
      </c>
      <c r="CA43" s="264">
        <f>'Отчет о фин. рез до'!BX20</f>
        <v>403314770292.46533</v>
      </c>
      <c r="CB43" s="264">
        <f>'Отчет о фин. рез до'!BY20</f>
        <v>414554717980.29999</v>
      </c>
      <c r="CC43" s="264">
        <f>'Отчет о фин. рез до'!BZ20</f>
        <v>426118854855.79736</v>
      </c>
      <c r="CD43" s="264">
        <f>'Отчет о фин. рез до'!CA20</f>
        <v>438016798953.50494</v>
      </c>
      <c r="CE43" s="264">
        <f>'Отчет о фин. рез до'!CB20</f>
        <v>450258470405.84991</v>
      </c>
      <c r="CF43" s="264">
        <f>'Отчет о фин. рез до'!CC20</f>
        <v>462854090436.73853</v>
      </c>
      <c r="CG43" s="264">
        <f>'Отчет о фин. рез до'!CD20</f>
        <v>475814190634.83087</v>
      </c>
      <c r="CH43" s="264">
        <f>'Отчет о фин. рез до'!CE20</f>
        <v>489149622515.24988</v>
      </c>
      <c r="CI43" s="264">
        <f>'Отчет о фин. рез до'!CF20</f>
        <v>502871567378.75049</v>
      </c>
      <c r="CJ43" s="264">
        <f>'Отчет о фин. рез до'!CG20</f>
        <v>516991546477.66382</v>
      </c>
      <c r="CK43" s="264">
        <f>'Отчет о фин. рез до'!CH20</f>
        <v>531521431498.22351</v>
      </c>
      <c r="CL43" s="264">
        <f>'Отчет о фин. рез до'!CI20</f>
        <v>546473455369.18219</v>
      </c>
      <c r="CM43" s="264">
        <f>'Отчет о фин. рез до'!CJ20</f>
        <v>561860223406.93579</v>
      </c>
      <c r="CN43" s="264">
        <f>'Отчет о фин. рез до'!CK20</f>
        <v>577694714807.70239</v>
      </c>
      <c r="CO43" s="264">
        <f>'Отчет о фин. рез до'!CL20</f>
        <v>593990334497.62219</v>
      </c>
      <c r="CP43" s="264">
        <f>'Отчет о фин. рез до'!CM20</f>
        <v>610760865351.99915</v>
      </c>
      <c r="CQ43" s="264">
        <f>'Отчет о фин. рез до'!CN20</f>
        <v>628020520795.24768</v>
      </c>
      <c r="CR43" s="264">
        <f>'Отчет о фин. рез до'!CO20</f>
        <v>645783947793.47998</v>
      </c>
      <c r="CS43" s="264">
        <f>'Отчет о фин. рез до'!CP20</f>
        <v>664066240252.0365</v>
      </c>
      <c r="CT43" s="264">
        <f>'Отчет о фин. рез до'!CQ20</f>
        <v>682882952830.65894</v>
      </c>
      <c r="CU43" s="264">
        <f>'Отчет о фин. рез до'!CR20</f>
        <v>702250115189.3938</v>
      </c>
      <c r="CV43" s="264">
        <f>'Отчет о фин. рез до'!CS20</f>
        <v>722184246678.73865</v>
      </c>
      <c r="CW43" s="264">
        <f>'Отчет о фин. рез до'!CT20</f>
        <v>742702371487.95398</v>
      </c>
      <c r="CX43" s="264">
        <f>'Отчет о фин. рез до'!CU20</f>
        <v>763822034265.91956</v>
      </c>
      <c r="CY43" s="264">
        <f>'Отчет о фин. рез до'!CV20</f>
        <v>785561316229.34521</v>
      </c>
      <c r="CZ43" s="264">
        <f>'Отчет о фин. рез до'!CW20</f>
        <v>807938841773.63574</v>
      </c>
      <c r="DA43" s="264">
        <f>'Отчет о фин. рез до'!CX20</f>
        <v>830973835602.16943</v>
      </c>
      <c r="DB43" s="264">
        <f>'Отчет о фин. рез до'!CY20</f>
        <v>854686080390.26208</v>
      </c>
      <c r="DC43" s="264">
        <f>'Отчет о фин. рез до'!CZ20</f>
        <v>879095975000.59058</v>
      </c>
      <c r="DD43" s="264">
        <f>'Отчет о фин. рез до'!DA20</f>
        <v>904224543267.38708</v>
      </c>
      <c r="DE43" s="264">
        <f>'Отчет о фин. рез до'!DB20</f>
        <v>930093453367.24463</v>
      </c>
      <c r="DF43" s="264">
        <f>'Отчет о фин. рез до'!DC20</f>
        <v>956725037794.96155</v>
      </c>
      <c r="DG43" s="264">
        <f>'Отчет о фин. рез до'!DD20</f>
        <v>984142313963.4032</v>
      </c>
      <c r="DH43" s="264">
        <f>'Отчет о фин. рез до'!DE20</f>
        <v>1012369005446.9841</v>
      </c>
      <c r="DI43" s="264">
        <f>'Отчет о фин. рез до'!DF20</f>
        <v>1041429563888.969</v>
      </c>
      <c r="DJ43" s="264">
        <f>'Отчет о фин. рез до'!DG20</f>
        <v>1071349191593.4446</v>
      </c>
      <c r="DK43" s="264">
        <f>'Отчет о фин. рез до'!DH20</f>
        <v>1102153864823.4585</v>
      </c>
      <c r="DL43" s="264">
        <f>'Отчет о фин. рез до'!DI20</f>
        <v>1133870347827.5076</v>
      </c>
      <c r="DM43" s="264">
        <f>'Отчет о фин. рез до'!DJ20</f>
        <v>1166526257617.2488</v>
      </c>
      <c r="DN43" s="264">
        <f>'Отчет о фин. рез до'!DK20</f>
        <v>1200150029520.0349</v>
      </c>
      <c r="DO43" s="264">
        <f>'Отчет о фин. рез до'!DL20</f>
        <v>1234770983530.6143</v>
      </c>
      <c r="DP43" s="264">
        <f>'Отчет о фин. рез до'!DM20</f>
        <v>1270419341487.1011</v>
      </c>
      <c r="DQ43" s="264">
        <f>'Отчет о фин. рез до'!DN20</f>
        <v>1307126255097.124</v>
      </c>
      <c r="DR43" s="264">
        <f>'Отчет о фин. рез до'!DO20</f>
        <v>1344923834840.8557</v>
      </c>
      <c r="DS43" s="264">
        <f>'Отчет о фин. рез до'!DP20</f>
        <v>1383845179778.4951</v>
      </c>
      <c r="DT43" s="264">
        <f>'Отчет о фин. рез до'!DQ20</f>
        <v>1423924408290.6201</v>
      </c>
      <c r="DU43" s="264">
        <f>'Отчет о фин. рез до'!DR20</f>
        <v>1465196689780.7314</v>
      </c>
      <c r="DV43" s="264">
        <f>'Отчет о фин. рез до'!DS20</f>
        <v>1507698277370.2493</v>
      </c>
      <c r="DW43" s="264">
        <f>'Отчет о фин. рез до'!DT20</f>
        <v>1551466541617.1367</v>
      </c>
    </row>
    <row r="44" spans="2:127" ht="10">
      <c r="B44" s="384" t="s">
        <v>198</v>
      </c>
      <c r="C44" s="384"/>
      <c r="D44" s="384"/>
      <c r="E44" s="384"/>
      <c r="F44" s="256" t="s">
        <v>35</v>
      </c>
      <c r="G44" s="253"/>
      <c r="H44" s="264">
        <f>'Амортизация, до'!I22</f>
        <v>2951777712000</v>
      </c>
      <c r="I44" s="264">
        <f>'Амортизация, до'!J22</f>
        <v>2943578263871.6064</v>
      </c>
      <c r="J44" s="264">
        <f>'Амортизация, до'!K22</f>
        <v>2935401592170.2241</v>
      </c>
      <c r="K44" s="264">
        <f>'Амортизация, до'!L22</f>
        <v>2927247633627.4937</v>
      </c>
      <c r="L44" s="264">
        <f>'Амортизация, до'!M22</f>
        <v>2919116325150.8032</v>
      </c>
      <c r="M44" s="264">
        <f>'Амортизация, до'!N22</f>
        <v>2911007603822.7993</v>
      </c>
      <c r="N44" s="264">
        <f>'Амортизация, до'!O22</f>
        <v>2902921406900.9004</v>
      </c>
      <c r="O44" s="264">
        <f>'Амортизация, до'!P22</f>
        <v>2894857671816.811</v>
      </c>
      <c r="P44" s="264">
        <f>'Амортизация, до'!Q22</f>
        <v>2886816336176.0381</v>
      </c>
      <c r="Q44" s="264">
        <f>'Амортизация, до'!R22</f>
        <v>2878797337757.4082</v>
      </c>
      <c r="R44" s="264">
        <f>'Амортизация, до'!S22</f>
        <v>2870800614512.5854</v>
      </c>
      <c r="S44" s="264">
        <f>'Амортизация, до'!T22</f>
        <v>2862826104565.5923</v>
      </c>
      <c r="T44" s="264">
        <f>'Амортизация, до'!U22</f>
        <v>2854873746212.3301</v>
      </c>
      <c r="U44" s="264">
        <f>'Амортизация, до'!V22</f>
        <v>2846943477920.1016</v>
      </c>
      <c r="V44" s="264">
        <f>'Амортизация, до'!W22</f>
        <v>2839035238327.1353</v>
      </c>
      <c r="W44" s="264">
        <f>'Амортизация, до'!X22</f>
        <v>2831148966242.1104</v>
      </c>
      <c r="X44" s="264">
        <f>'Амортизация, до'!Y22</f>
        <v>2823284600643.6831</v>
      </c>
      <c r="Y44" s="264">
        <f>'Амортизация, до'!Z22</f>
        <v>2815442080680.0151</v>
      </c>
      <c r="Z44" s="264">
        <f>'Амортизация, до'!AA22</f>
        <v>2807621345668.3022</v>
      </c>
      <c r="AA44" s="264">
        <f>'Амортизация, до'!AB22</f>
        <v>2799822335094.3047</v>
      </c>
      <c r="AB44" s="264">
        <f>'Амортизация, до'!AC22</f>
        <v>2792044988611.8799</v>
      </c>
      <c r="AC44" s="264">
        <f>'Амортизация, до'!AD22</f>
        <v>2784289246042.5137</v>
      </c>
      <c r="AD44" s="264">
        <f>'Амортизация, до'!AE22</f>
        <v>2776555047374.8569</v>
      </c>
      <c r="AE44" s="264">
        <f>'Амортизация, до'!AF22</f>
        <v>2768842332764.2593</v>
      </c>
      <c r="AF44" s="264">
        <f>'Амортизация, до'!AG22</f>
        <v>2761151042532.3066</v>
      </c>
      <c r="AG44" s="264">
        <f>'Амортизация, до'!AH22</f>
        <v>2753481117166.3604</v>
      </c>
      <c r="AH44" s="264">
        <f>'Амортизация, до'!AI22</f>
        <v>2745832497319.0957</v>
      </c>
      <c r="AI44" s="264">
        <f>'Амортизация, до'!AJ22</f>
        <v>2738205123808.0425</v>
      </c>
      <c r="AJ44" s="264">
        <f>'Амортизация, до'!AK22</f>
        <v>2730598937615.1284</v>
      </c>
      <c r="AK44" s="264">
        <f>'Амортизация, до'!AL22</f>
        <v>2723013879886.2212</v>
      </c>
      <c r="AL44" s="264">
        <f>'Амортизация, до'!AM22</f>
        <v>2715449891930.6733</v>
      </c>
      <c r="AM44" s="264">
        <f>'Амортизация, до'!AN22</f>
        <v>2707906915220.8682</v>
      </c>
      <c r="AN44" s="264">
        <f>'Амортизация, до'!AO22</f>
        <v>2700384891391.7676</v>
      </c>
      <c r="AO44" s="264">
        <f>'Амортизация, до'!AP22</f>
        <v>2692883762240.4595</v>
      </c>
      <c r="AP44" s="264">
        <f>'Амортизация, до'!AQ22</f>
        <v>2685403469725.708</v>
      </c>
      <c r="AQ44" s="264">
        <f>'Амортизация, до'!AR22</f>
        <v>2677943955967.5039</v>
      </c>
      <c r="AR44" s="264">
        <f>'Амортизация, до'!AS22</f>
        <v>2670505163246.6172</v>
      </c>
      <c r="AS44" s="264">
        <f>'Амортизация, до'!AT22</f>
        <v>2663087034004.1509</v>
      </c>
      <c r="AT44" s="264">
        <f>'Амортизация, до'!AU22</f>
        <v>2655689510841.0942</v>
      </c>
      <c r="AU44" s="264">
        <f>'Амортизация, до'!AV22</f>
        <v>2648312536517.8799</v>
      </c>
      <c r="AV44" s="264">
        <f>'Амортизация, до'!AW22</f>
        <v>2640956053953.9404</v>
      </c>
      <c r="AW44" s="264">
        <f>'Амортизация, до'!AX22</f>
        <v>2633620006227.2671</v>
      </c>
      <c r="AX44" s="264">
        <f>'Амортизация, до'!AY22</f>
        <v>2626304336573.9688</v>
      </c>
      <c r="AY44" s="264">
        <f>'Амортизация, до'!AZ22</f>
        <v>2619008988387.8335</v>
      </c>
      <c r="AZ44" s="264">
        <f>'Амортизация, до'!BA22</f>
        <v>2611733905219.8896</v>
      </c>
      <c r="BA44" s="264">
        <f>'Амортизация, до'!BB22</f>
        <v>2604479030777.9697</v>
      </c>
      <c r="BB44" s="264">
        <f>'Амортизация, до'!BC22</f>
        <v>2597244308926.2749</v>
      </c>
      <c r="BC44" s="264">
        <f>'Амортизация, до'!BD22</f>
        <v>2590029683684.9395</v>
      </c>
      <c r="BD44" s="264">
        <f>'Амортизация, до'!BE22</f>
        <v>2582835099229.5996</v>
      </c>
      <c r="BE44" s="264">
        <f>'Амортизация, до'!BF22</f>
        <v>2575660499890.9595</v>
      </c>
      <c r="BF44" s="264">
        <f>'Амортизация, до'!BG22</f>
        <v>2568505830154.3623</v>
      </c>
      <c r="BG44" s="264">
        <f>'Амортизация, до'!BH22</f>
        <v>2561371034659.3594</v>
      </c>
      <c r="BH44" s="264">
        <f>'Амортизация, до'!BI22</f>
        <v>2554256058199.2827</v>
      </c>
      <c r="BI44" s="264">
        <f>'Амортизация, до'!BJ22</f>
        <v>2547160845720.8169</v>
      </c>
      <c r="BJ44" s="264">
        <f>'Амортизация, до'!BK22</f>
        <v>2540085342323.5737</v>
      </c>
      <c r="BK44" s="264">
        <f>'Амортизация, до'!BL22</f>
        <v>2533029493259.6675</v>
      </c>
      <c r="BL44" s="264">
        <f>'Амортизация, до'!BM22</f>
        <v>2525993243933.291</v>
      </c>
      <c r="BM44" s="264">
        <f>'Амортизация, до'!BN22</f>
        <v>2518976539900.293</v>
      </c>
      <c r="BN44" s="264">
        <f>'Амортизация, до'!BO22</f>
        <v>2511979326867.7578</v>
      </c>
      <c r="BO44" s="264">
        <f>'Амортизация, до'!BP22</f>
        <v>2505001550693.5845</v>
      </c>
      <c r="BP44" s="264">
        <f>'Амортизация, до'!BQ22</f>
        <v>2498043157386.0679</v>
      </c>
      <c r="BQ44" s="264">
        <f>'Амортизация, до'!BR22</f>
        <v>2491104093103.481</v>
      </c>
      <c r="BR44" s="264">
        <f>'Амортизация, до'!BS22</f>
        <v>2484184304153.6582</v>
      </c>
      <c r="BS44" s="264">
        <f>'Амортизация, до'!BT22</f>
        <v>2477283736993.5801</v>
      </c>
      <c r="BT44" s="264">
        <f>'Амортизация, до'!BU22</f>
        <v>2470402338228.9595</v>
      </c>
      <c r="BU44" s="264">
        <f>'Амортизация, до'!BV22</f>
        <v>2463540054613.8271</v>
      </c>
      <c r="BV44" s="264">
        <f>'Амортизация, до'!BW22</f>
        <v>2456696833050.1211</v>
      </c>
      <c r="BW44" s="264">
        <f>'Амортизация, до'!BX22</f>
        <v>2449872620587.2744</v>
      </c>
      <c r="BX44" s="264">
        <f>'Амортизация, до'!BY22</f>
        <v>2443067364421.8071</v>
      </c>
      <c r="BY44" s="264">
        <f>'Амортизация, до'!BZ22</f>
        <v>2436281011896.916</v>
      </c>
      <c r="BZ44" s="264">
        <f>'Амортизация, до'!CA22</f>
        <v>2429513510502.0688</v>
      </c>
      <c r="CA44" s="264">
        <f>'Амортизация, до'!CB22</f>
        <v>2422764807872.5962</v>
      </c>
      <c r="CB44" s="264">
        <f>'Амортизация, до'!CC22</f>
        <v>2416034851789.2876</v>
      </c>
      <c r="CC44" s="264">
        <f>'Амортизация, до'!CD22</f>
        <v>2409323590177.9873</v>
      </c>
      <c r="CD44" s="264">
        <f>'Амортизация, до'!CE22</f>
        <v>2402630971109.1909</v>
      </c>
      <c r="CE44" s="264">
        <f>'Амортизация, до'!CF22</f>
        <v>2395956942797.644</v>
      </c>
      <c r="CF44" s="264">
        <f>'Амортизация, до'!CG22</f>
        <v>2389301453601.9409</v>
      </c>
      <c r="CG44" s="264">
        <f>'Амортизация, до'!CH22</f>
        <v>2382664452024.1255</v>
      </c>
      <c r="CH44" s="264">
        <f>'Амортизация, до'!CI22</f>
        <v>2376045886709.293</v>
      </c>
      <c r="CI44" s="264">
        <f>'Амортизация, до'!CJ22</f>
        <v>2369445706445.1919</v>
      </c>
      <c r="CJ44" s="264">
        <f>'Амортизация, до'!CK22</f>
        <v>2362863860161.8286</v>
      </c>
      <c r="CK44" s="264">
        <f>'Амортизация, до'!CL22</f>
        <v>2356300296931.0713</v>
      </c>
      <c r="CL44" s="264">
        <f>'Амортизация, до'!CM22</f>
        <v>2349754965966.2563</v>
      </c>
      <c r="CM44" s="264">
        <f>'Амортизация, до'!CN22</f>
        <v>2343227816621.7954</v>
      </c>
      <c r="CN44" s="264">
        <f>'Амортизация, до'!CO22</f>
        <v>2336718798392.7832</v>
      </c>
      <c r="CO44" s="264">
        <f>'Амортизация, до'!CP22</f>
        <v>2330227860914.6079</v>
      </c>
      <c r="CP44" s="264">
        <f>'Амортизация, до'!CQ22</f>
        <v>2323754953962.5591</v>
      </c>
      <c r="CQ44" s="264">
        <f>'Амортизация, до'!CR22</f>
        <v>2317300027451.4419</v>
      </c>
      <c r="CR44" s="264">
        <f>'Амортизация, до'!CS22</f>
        <v>2310863031435.1875</v>
      </c>
      <c r="CS44" s="264">
        <f>'Амортизация, до'!CT22</f>
        <v>2304443916106.4668</v>
      </c>
      <c r="CT44" s="264">
        <f>'Амортизация, до'!CU22</f>
        <v>2298042631796.3062</v>
      </c>
      <c r="CU44" s="264">
        <f>'Амортизация, до'!CV22</f>
        <v>2291659128973.7021</v>
      </c>
      <c r="CV44" s="264">
        <f>'Амортизация, до'!CW22</f>
        <v>2285293358245.2388</v>
      </c>
      <c r="CW44" s="264">
        <f>'Амортизация, до'!CX22</f>
        <v>2278945270354.7051</v>
      </c>
      <c r="CX44" s="264">
        <f>'Амортизация, до'!CY22</f>
        <v>2272614816182.7139</v>
      </c>
      <c r="CY44" s="264">
        <f>'Амортизация, до'!CZ22</f>
        <v>2266301946746.3213</v>
      </c>
      <c r="CZ44" s="264">
        <f>'Амортизация, до'!DA22</f>
        <v>2260006613198.6494</v>
      </c>
      <c r="DA44" s="264">
        <f>'Амортизация, до'!DB22</f>
        <v>2253728766828.5063</v>
      </c>
      <c r="DB44" s="264">
        <f>'Амортизация, до'!DC22</f>
        <v>2247468359060.0103</v>
      </c>
      <c r="DC44" s="264">
        <f>'Амортизация, до'!DD22</f>
        <v>2241225341452.2134</v>
      </c>
      <c r="DD44" s="264">
        <f>'Амортизация, до'!DE22</f>
        <v>2234999665698.7275</v>
      </c>
      <c r="DE44" s="264">
        <f>'Амортизация, до'!DF22</f>
        <v>2228791283627.3496</v>
      </c>
      <c r="DF44" s="264">
        <f>'Амортизация, до'!DG22</f>
        <v>2222600147199.6895</v>
      </c>
      <c r="DG44" s="264">
        <f>'Амортизация, до'!DH22</f>
        <v>2216426208510.7983</v>
      </c>
      <c r="DH44" s="264">
        <f>'Амортизация, до'!DI22</f>
        <v>2210269419788.7969</v>
      </c>
      <c r="DI44" s="264">
        <f>'Амортизация, до'!DJ22</f>
        <v>2204129733394.5073</v>
      </c>
      <c r="DJ44" s="264">
        <f>'Амортизация, до'!DK22</f>
        <v>2198007101821.084</v>
      </c>
      <c r="DK44" s="264">
        <f>'Амортизация, до'!DL22</f>
        <v>2191901477693.6453</v>
      </c>
      <c r="DL44" s="264">
        <f>'Амортизация, до'!DM22</f>
        <v>2185812813768.908</v>
      </c>
      <c r="DM44" s="264">
        <f>'Амортизация, до'!DN22</f>
        <v>2179741062934.8208</v>
      </c>
      <c r="DN44" s="264">
        <f>'Амортизация, до'!DO22</f>
        <v>2173686178210.2004</v>
      </c>
      <c r="DO44" s="264">
        <f>'Амортизация, до'!DP22</f>
        <v>2167648112744.3682</v>
      </c>
      <c r="DP44" s="264">
        <f>'Амортизация, до'!DQ22</f>
        <v>2161626819816.7869</v>
      </c>
      <c r="DQ44" s="264">
        <f>'Амортизация, до'!DR22</f>
        <v>2155622252836.6997</v>
      </c>
      <c r="DR44" s="264">
        <f>'Амортизация, до'!DS22</f>
        <v>2149634365342.77</v>
      </c>
      <c r="DS44" s="264">
        <f>'Амортизация, до'!DT22</f>
        <v>2143663111002.7209</v>
      </c>
      <c r="DT44" s="264">
        <f>'Амортизация, до'!DU22</f>
        <v>2137708443612.9775</v>
      </c>
      <c r="DU44" s="264">
        <f>'Амортизация, до'!DV22</f>
        <v>2131770317098.3093</v>
      </c>
      <c r="DV44" s="264">
        <f>'Амортизация, до'!DW22</f>
        <v>2125848685511.4736</v>
      </c>
      <c r="DW44" s="264">
        <f>'Амортизация, до'!DX22</f>
        <v>2119943503032.8599</v>
      </c>
    </row>
    <row r="45" spans="2:127" ht="10">
      <c r="B45" s="384" t="s">
        <v>199</v>
      </c>
      <c r="C45" s="384"/>
      <c r="D45" s="384"/>
      <c r="E45" s="384"/>
      <c r="F45" s="256" t="s">
        <v>35</v>
      </c>
      <c r="G45" s="309">
        <f>SUM(H45:DW45)</f>
        <v>35365602084521.492</v>
      </c>
      <c r="H45" s="264">
        <f>H41</f>
        <v>0</v>
      </c>
      <c r="I45" s="264">
        <f t="shared" ref="I45:AQ45" si="96">I41</f>
        <v>0</v>
      </c>
      <c r="J45" s="264">
        <f t="shared" si="96"/>
        <v>0</v>
      </c>
      <c r="K45" s="264">
        <f t="shared" si="96"/>
        <v>0</v>
      </c>
      <c r="L45" s="264">
        <f t="shared" si="96"/>
        <v>0</v>
      </c>
      <c r="M45" s="264">
        <f t="shared" si="96"/>
        <v>0</v>
      </c>
      <c r="N45" s="264">
        <f t="shared" si="96"/>
        <v>0</v>
      </c>
      <c r="O45" s="264">
        <f t="shared" si="96"/>
        <v>0</v>
      </c>
      <c r="P45" s="264">
        <f t="shared" si="96"/>
        <v>0</v>
      </c>
      <c r="Q45" s="264">
        <f t="shared" si="96"/>
        <v>0</v>
      </c>
      <c r="R45" s="264">
        <f t="shared" si="96"/>
        <v>0</v>
      </c>
      <c r="S45" s="264">
        <f t="shared" si="96"/>
        <v>0</v>
      </c>
      <c r="T45" s="264">
        <f t="shared" si="96"/>
        <v>0</v>
      </c>
      <c r="U45" s="264">
        <f t="shared" si="96"/>
        <v>0</v>
      </c>
      <c r="V45" s="264">
        <f t="shared" si="96"/>
        <v>0</v>
      </c>
      <c r="W45" s="264">
        <f t="shared" si="96"/>
        <v>0</v>
      </c>
      <c r="X45" s="264">
        <f t="shared" si="96"/>
        <v>0</v>
      </c>
      <c r="Y45" s="264">
        <f t="shared" si="96"/>
        <v>0</v>
      </c>
      <c r="Z45" s="264">
        <f t="shared" si="96"/>
        <v>0</v>
      </c>
      <c r="AA45" s="264">
        <f t="shared" si="96"/>
        <v>0</v>
      </c>
      <c r="AB45" s="264">
        <f t="shared" si="96"/>
        <v>0</v>
      </c>
      <c r="AC45" s="264">
        <f t="shared" si="96"/>
        <v>0</v>
      </c>
      <c r="AD45" s="264">
        <f t="shared" si="96"/>
        <v>0</v>
      </c>
      <c r="AE45" s="264">
        <f t="shared" si="96"/>
        <v>199829185651.13049</v>
      </c>
      <c r="AF45" s="264">
        <f t="shared" si="96"/>
        <v>205588549944.50952</v>
      </c>
      <c r="AG45" s="264">
        <f t="shared" si="96"/>
        <v>211507803494.84937</v>
      </c>
      <c r="AH45" s="264">
        <f t="shared" si="96"/>
        <v>217591572022.22797</v>
      </c>
      <c r="AI45" s="264">
        <f t="shared" si="96"/>
        <v>223844629398.97256</v>
      </c>
      <c r="AJ45" s="264">
        <f t="shared" si="96"/>
        <v>230271891851.29721</v>
      </c>
      <c r="AK45" s="264">
        <f t="shared" si="96"/>
        <v>236878422290.52393</v>
      </c>
      <c r="AL45" s="264">
        <f t="shared" si="96"/>
        <v>243669434777.92123</v>
      </c>
      <c r="AM45" s="264">
        <f t="shared" si="96"/>
        <v>250650299127.32129</v>
      </c>
      <c r="AN45" s="264">
        <f t="shared" si="96"/>
        <v>257826545649.80658</v>
      </c>
      <c r="AO45" s="264">
        <f t="shared" si="96"/>
        <v>265203870044.89087</v>
      </c>
      <c r="AP45" s="264">
        <f t="shared" si="96"/>
        <v>272788138442.75891</v>
      </c>
      <c r="AQ45" s="264">
        <f t="shared" si="96"/>
        <v>280585382602.27185</v>
      </c>
      <c r="AR45" s="264">
        <f>AR41</f>
        <v>0</v>
      </c>
      <c r="AS45" s="264">
        <f t="shared" ref="AS45:CA45" si="97">AS41</f>
        <v>0</v>
      </c>
      <c r="AT45" s="264">
        <f t="shared" si="97"/>
        <v>0</v>
      </c>
      <c r="AU45" s="264">
        <f t="shared" si="97"/>
        <v>0</v>
      </c>
      <c r="AV45" s="264">
        <f t="shared" si="97"/>
        <v>0</v>
      </c>
      <c r="AW45" s="264">
        <f t="shared" si="97"/>
        <v>0</v>
      </c>
      <c r="AX45" s="264">
        <f t="shared" si="97"/>
        <v>0</v>
      </c>
      <c r="AY45" s="264">
        <f t="shared" si="97"/>
        <v>0</v>
      </c>
      <c r="AZ45" s="264">
        <f t="shared" si="97"/>
        <v>0</v>
      </c>
      <c r="BA45" s="264">
        <f t="shared" si="97"/>
        <v>0</v>
      </c>
      <c r="BB45" s="264">
        <f t="shared" si="97"/>
        <v>0</v>
      </c>
      <c r="BC45" s="264">
        <f t="shared" si="97"/>
        <v>0</v>
      </c>
      <c r="BD45" s="264">
        <f t="shared" si="97"/>
        <v>0</v>
      </c>
      <c r="BE45" s="264">
        <f t="shared" si="97"/>
        <v>0</v>
      </c>
      <c r="BF45" s="264">
        <f t="shared" si="97"/>
        <v>0</v>
      </c>
      <c r="BG45" s="264">
        <f t="shared" si="97"/>
        <v>0</v>
      </c>
      <c r="BH45" s="264">
        <f t="shared" si="97"/>
        <v>0</v>
      </c>
      <c r="BI45" s="264">
        <f t="shared" si="97"/>
        <v>0</v>
      </c>
      <c r="BJ45" s="264">
        <f t="shared" si="97"/>
        <v>0</v>
      </c>
      <c r="BK45" s="264">
        <f t="shared" si="97"/>
        <v>0</v>
      </c>
      <c r="BL45" s="264">
        <f t="shared" si="97"/>
        <v>0</v>
      </c>
      <c r="BM45" s="264">
        <f t="shared" si="97"/>
        <v>0</v>
      </c>
      <c r="BN45" s="264">
        <f t="shared" si="97"/>
        <v>0</v>
      </c>
      <c r="BO45" s="264">
        <f t="shared" si="97"/>
        <v>551001726034.91833</v>
      </c>
      <c r="BP45" s="264">
        <f t="shared" si="97"/>
        <v>566729049543.55017</v>
      </c>
      <c r="BQ45" s="264">
        <f t="shared" si="97"/>
        <v>582909621340.56238</v>
      </c>
      <c r="BR45" s="264">
        <f t="shared" si="97"/>
        <v>599556907080.38062</v>
      </c>
      <c r="BS45" s="264">
        <f t="shared" si="97"/>
        <v>616684791493.93384</v>
      </c>
      <c r="BT45" s="264">
        <f t="shared" si="97"/>
        <v>634307580989.37195</v>
      </c>
      <c r="BU45" s="264">
        <f t="shared" si="97"/>
        <v>652440016644.74158</v>
      </c>
      <c r="BV45" s="264">
        <f t="shared" si="97"/>
        <v>671097287604.89648</v>
      </c>
      <c r="BW45" s="264">
        <f t="shared" si="97"/>
        <v>690295044895.29468</v>
      </c>
      <c r="BX45" s="264">
        <f t="shared" si="97"/>
        <v>710049415665.7406</v>
      </c>
      <c r="BY45" s="264">
        <f t="shared" si="97"/>
        <v>730377017877.53699</v>
      </c>
      <c r="BZ45" s="264">
        <f t="shared" si="97"/>
        <v>751294975447.93555</v>
      </c>
      <c r="CA45" s="264">
        <f t="shared" si="97"/>
        <v>772820923866.21313</v>
      </c>
      <c r="CB45" s="264">
        <f>CB41</f>
        <v>0</v>
      </c>
      <c r="CC45" s="264">
        <f t="shared" ref="CC45:DK45" si="98">CC41</f>
        <v>0</v>
      </c>
      <c r="CD45" s="264">
        <f t="shared" si="98"/>
        <v>0</v>
      </c>
      <c r="CE45" s="264">
        <f t="shared" si="98"/>
        <v>0</v>
      </c>
      <c r="CF45" s="264">
        <f t="shared" si="98"/>
        <v>0</v>
      </c>
      <c r="CG45" s="264">
        <f t="shared" si="98"/>
        <v>0</v>
      </c>
      <c r="CH45" s="264">
        <f t="shared" si="98"/>
        <v>0</v>
      </c>
      <c r="CI45" s="264">
        <f t="shared" si="98"/>
        <v>0</v>
      </c>
      <c r="CJ45" s="264">
        <f t="shared" si="98"/>
        <v>0</v>
      </c>
      <c r="CK45" s="264">
        <f t="shared" si="98"/>
        <v>0</v>
      </c>
      <c r="CL45" s="264">
        <f t="shared" si="98"/>
        <v>0</v>
      </c>
      <c r="CM45" s="264">
        <f t="shared" si="98"/>
        <v>0</v>
      </c>
      <c r="CN45" s="264">
        <f t="shared" si="98"/>
        <v>0</v>
      </c>
      <c r="CO45" s="264">
        <f t="shared" si="98"/>
        <v>0</v>
      </c>
      <c r="CP45" s="264">
        <f t="shared" si="98"/>
        <v>0</v>
      </c>
      <c r="CQ45" s="264">
        <f t="shared" si="98"/>
        <v>0</v>
      </c>
      <c r="CR45" s="264">
        <f t="shared" si="98"/>
        <v>0</v>
      </c>
      <c r="CS45" s="264">
        <f t="shared" si="98"/>
        <v>0</v>
      </c>
      <c r="CT45" s="264">
        <f t="shared" si="98"/>
        <v>0</v>
      </c>
      <c r="CU45" s="264">
        <f t="shared" si="98"/>
        <v>0</v>
      </c>
      <c r="CV45" s="264">
        <f t="shared" si="98"/>
        <v>0</v>
      </c>
      <c r="CW45" s="264">
        <f t="shared" si="98"/>
        <v>0</v>
      </c>
      <c r="CX45" s="264">
        <f t="shared" si="98"/>
        <v>0</v>
      </c>
      <c r="CY45" s="264">
        <f t="shared" si="98"/>
        <v>1528667807628.6167</v>
      </c>
      <c r="CZ45" s="264">
        <f t="shared" si="98"/>
        <v>1573039719463.981</v>
      </c>
      <c r="DA45" s="264">
        <f t="shared" si="98"/>
        <v>1618726270982.4277</v>
      </c>
      <c r="DB45" s="264">
        <f t="shared" si="98"/>
        <v>1665767287237.9968</v>
      </c>
      <c r="DC45" s="264">
        <f t="shared" si="98"/>
        <v>1714203828713.4624</v>
      </c>
      <c r="DD45" s="264">
        <f t="shared" si="98"/>
        <v>1764078219405.7764</v>
      </c>
      <c r="DE45" s="264">
        <f t="shared" si="98"/>
        <v>1815434086103.207</v>
      </c>
      <c r="DF45" s="264">
        <f t="shared" si="98"/>
        <v>1868316398891.626</v>
      </c>
      <c r="DG45" s="264">
        <f t="shared" si="98"/>
        <v>1922771512928.5757</v>
      </c>
      <c r="DH45" s="264">
        <f t="shared" si="98"/>
        <v>1978847211524.9673</v>
      </c>
      <c r="DI45" s="264">
        <f t="shared" si="98"/>
        <v>2036592750575.5225</v>
      </c>
      <c r="DJ45" s="264">
        <f t="shared" si="98"/>
        <v>2096058904380.3535</v>
      </c>
      <c r="DK45" s="264">
        <f t="shared" si="98"/>
        <v>2157298002901.4209</v>
      </c>
      <c r="DL45" s="264">
        <f>DL41</f>
        <v>0</v>
      </c>
      <c r="DM45" s="264">
        <f t="shared" ref="DM45:DW45" si="99">DM41</f>
        <v>0</v>
      </c>
      <c r="DN45" s="264">
        <f t="shared" si="99"/>
        <v>0</v>
      </c>
      <c r="DO45" s="264">
        <f t="shared" si="99"/>
        <v>0</v>
      </c>
      <c r="DP45" s="264">
        <f t="shared" si="99"/>
        <v>0</v>
      </c>
      <c r="DQ45" s="264">
        <f t="shared" si="99"/>
        <v>0</v>
      </c>
      <c r="DR45" s="264">
        <f t="shared" si="99"/>
        <v>0</v>
      </c>
      <c r="DS45" s="264">
        <f t="shared" si="99"/>
        <v>0</v>
      </c>
      <c r="DT45" s="264">
        <f t="shared" si="99"/>
        <v>0</v>
      </c>
      <c r="DU45" s="264">
        <f t="shared" si="99"/>
        <v>0</v>
      </c>
      <c r="DV45" s="264">
        <f t="shared" si="99"/>
        <v>0</v>
      </c>
      <c r="DW45" s="264">
        <f t="shared" si="99"/>
        <v>0</v>
      </c>
    </row>
  </sheetData>
  <mergeCells count="44">
    <mergeCell ref="B9:E9"/>
    <mergeCell ref="B10:E10"/>
    <mergeCell ref="B20:E20"/>
    <mergeCell ref="CN2:CY2"/>
    <mergeCell ref="CZ2:DK2"/>
    <mergeCell ref="B7:E7"/>
    <mergeCell ref="B8:E8"/>
    <mergeCell ref="B13:E13"/>
    <mergeCell ref="B15:E15"/>
    <mergeCell ref="B17:E17"/>
    <mergeCell ref="B18:E18"/>
    <mergeCell ref="B19:E19"/>
    <mergeCell ref="DL2:DW2"/>
    <mergeCell ref="B4:E4"/>
    <mergeCell ref="B5:E5"/>
    <mergeCell ref="B6:E6"/>
    <mergeCell ref="T2:AE2"/>
    <mergeCell ref="AF2:AQ2"/>
    <mergeCell ref="AR2:BC2"/>
    <mergeCell ref="BD2:BO2"/>
    <mergeCell ref="BP2:CA2"/>
    <mergeCell ref="CB2:CM2"/>
    <mergeCell ref="H2:S2"/>
    <mergeCell ref="B34:E34"/>
    <mergeCell ref="B21:E21"/>
    <mergeCell ref="B22:E22"/>
    <mergeCell ref="B23:E23"/>
    <mergeCell ref="B24:E24"/>
    <mergeCell ref="B25:E25"/>
    <mergeCell ref="B26:E26"/>
    <mergeCell ref="B27:E27"/>
    <mergeCell ref="B29:E29"/>
    <mergeCell ref="B31:E31"/>
    <mergeCell ref="B32:E32"/>
    <mergeCell ref="B33:E33"/>
    <mergeCell ref="B43:E43"/>
    <mergeCell ref="B44:E44"/>
    <mergeCell ref="B45:E45"/>
    <mergeCell ref="B35:E35"/>
    <mergeCell ref="B37:E37"/>
    <mergeCell ref="B39:E39"/>
    <mergeCell ref="B40:E40"/>
    <mergeCell ref="B41:E41"/>
    <mergeCell ref="B42:E4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30A0"/>
  </sheetPr>
  <dimension ref="B1:DW21"/>
  <sheetViews>
    <sheetView zoomScale="71" workbookViewId="0">
      <pane xSplit="7" ySplit="4" topLeftCell="H5" activePane="bottomRight" state="frozen"/>
      <selection activeCell="H2" sqref="H2:AQ4"/>
      <selection pane="topRight"/>
      <selection pane="bottomLeft"/>
      <selection pane="bottomRight" activeCell="H18" sqref="H18:DW18"/>
    </sheetView>
  </sheetViews>
  <sheetFormatPr baseColWidth="10" defaultColWidth="8.83203125" defaultRowHeight="15"/>
  <cols>
    <col min="5" max="5" width="11.33203125" customWidth="1"/>
    <col min="7" max="7" width="16.33203125" customWidth="1"/>
    <col min="8" max="8" width="14.1640625" customWidth="1"/>
    <col min="9" max="57" width="11" customWidth="1"/>
    <col min="58" max="130" width="13.83203125" customWidth="1"/>
  </cols>
  <sheetData>
    <row r="1" spans="2:127" ht="16" thickBot="1"/>
    <row r="2" spans="2:127">
      <c r="H2" s="404" t="s">
        <v>23</v>
      </c>
      <c r="I2" s="405"/>
      <c r="J2" s="405"/>
      <c r="K2" s="405"/>
      <c r="L2" s="405"/>
      <c r="M2" s="405"/>
      <c r="N2" s="405"/>
      <c r="O2" s="405"/>
      <c r="P2" s="405"/>
      <c r="Q2" s="405"/>
      <c r="R2" s="405"/>
      <c r="S2" s="407"/>
      <c r="T2" s="404" t="s">
        <v>24</v>
      </c>
      <c r="U2" s="405"/>
      <c r="V2" s="405"/>
      <c r="W2" s="405"/>
      <c r="X2" s="405"/>
      <c r="Y2" s="405"/>
      <c r="Z2" s="405"/>
      <c r="AA2" s="405"/>
      <c r="AB2" s="405"/>
      <c r="AC2" s="405"/>
      <c r="AD2" s="405"/>
      <c r="AE2" s="407"/>
      <c r="AF2" s="404" t="s">
        <v>25</v>
      </c>
      <c r="AG2" s="405"/>
      <c r="AH2" s="405"/>
      <c r="AI2" s="405"/>
      <c r="AJ2" s="405"/>
      <c r="AK2" s="405"/>
      <c r="AL2" s="405"/>
      <c r="AM2" s="405"/>
      <c r="AN2" s="405"/>
      <c r="AO2" s="405"/>
      <c r="AP2" s="405"/>
      <c r="AQ2" s="406"/>
      <c r="AR2" s="404" t="s">
        <v>23</v>
      </c>
      <c r="AS2" s="405"/>
      <c r="AT2" s="405"/>
      <c r="AU2" s="405"/>
      <c r="AV2" s="405"/>
      <c r="AW2" s="405"/>
      <c r="AX2" s="405"/>
      <c r="AY2" s="405"/>
      <c r="AZ2" s="405"/>
      <c r="BA2" s="405"/>
      <c r="BB2" s="405"/>
      <c r="BC2" s="407"/>
      <c r="BD2" s="404" t="s">
        <v>24</v>
      </c>
      <c r="BE2" s="405"/>
      <c r="BF2" s="405"/>
      <c r="BG2" s="405"/>
      <c r="BH2" s="405"/>
      <c r="BI2" s="405"/>
      <c r="BJ2" s="405"/>
      <c r="BK2" s="405"/>
      <c r="BL2" s="405"/>
      <c r="BM2" s="405"/>
      <c r="BN2" s="405"/>
      <c r="BO2" s="407"/>
      <c r="BP2" s="404" t="s">
        <v>25</v>
      </c>
      <c r="BQ2" s="405"/>
      <c r="BR2" s="405"/>
      <c r="BS2" s="405"/>
      <c r="BT2" s="405"/>
      <c r="BU2" s="405"/>
      <c r="BV2" s="405"/>
      <c r="BW2" s="405"/>
      <c r="BX2" s="405"/>
      <c r="BY2" s="405"/>
      <c r="BZ2" s="405"/>
      <c r="CA2" s="406"/>
      <c r="CB2" s="404" t="s">
        <v>23</v>
      </c>
      <c r="CC2" s="405"/>
      <c r="CD2" s="405"/>
      <c r="CE2" s="405"/>
      <c r="CF2" s="405"/>
      <c r="CG2" s="405"/>
      <c r="CH2" s="405"/>
      <c r="CI2" s="405"/>
      <c r="CJ2" s="405"/>
      <c r="CK2" s="405"/>
      <c r="CL2" s="405"/>
      <c r="CM2" s="407"/>
      <c r="CN2" s="404" t="s">
        <v>24</v>
      </c>
      <c r="CO2" s="405"/>
      <c r="CP2" s="405"/>
      <c r="CQ2" s="405"/>
      <c r="CR2" s="405"/>
      <c r="CS2" s="405"/>
      <c r="CT2" s="405"/>
      <c r="CU2" s="405"/>
      <c r="CV2" s="405"/>
      <c r="CW2" s="405"/>
      <c r="CX2" s="405"/>
      <c r="CY2" s="407"/>
      <c r="CZ2" s="404" t="s">
        <v>25</v>
      </c>
      <c r="DA2" s="405"/>
      <c r="DB2" s="405"/>
      <c r="DC2" s="405"/>
      <c r="DD2" s="405"/>
      <c r="DE2" s="405"/>
      <c r="DF2" s="405"/>
      <c r="DG2" s="405"/>
      <c r="DH2" s="405"/>
      <c r="DI2" s="405"/>
      <c r="DJ2" s="405"/>
      <c r="DK2" s="406"/>
      <c r="DL2" s="404" t="s">
        <v>23</v>
      </c>
      <c r="DM2" s="405"/>
      <c r="DN2" s="405"/>
      <c r="DO2" s="405"/>
      <c r="DP2" s="405"/>
      <c r="DQ2" s="405"/>
      <c r="DR2" s="405"/>
      <c r="DS2" s="405"/>
      <c r="DT2" s="405"/>
      <c r="DU2" s="405"/>
      <c r="DV2" s="405"/>
      <c r="DW2" s="407"/>
    </row>
    <row r="3" spans="2:127">
      <c r="H3" s="129">
        <v>1</v>
      </c>
      <c r="I3" s="129">
        <v>2</v>
      </c>
      <c r="J3" s="129">
        <v>3</v>
      </c>
      <c r="K3" s="129">
        <v>4</v>
      </c>
      <c r="L3" s="129">
        <v>5</v>
      </c>
      <c r="M3" s="129">
        <v>6</v>
      </c>
      <c r="N3" s="129">
        <v>7</v>
      </c>
      <c r="O3" s="129">
        <v>8</v>
      </c>
      <c r="P3" s="129">
        <v>9</v>
      </c>
      <c r="Q3" s="129">
        <v>10</v>
      </c>
      <c r="R3" s="129">
        <v>11</v>
      </c>
      <c r="S3" s="129">
        <v>12</v>
      </c>
      <c r="T3" s="129">
        <v>1</v>
      </c>
      <c r="U3" s="129">
        <v>2</v>
      </c>
      <c r="V3" s="129">
        <v>3</v>
      </c>
      <c r="W3" s="129">
        <v>4</v>
      </c>
      <c r="X3" s="129">
        <v>5</v>
      </c>
      <c r="Y3" s="129">
        <v>6</v>
      </c>
      <c r="Z3" s="129">
        <v>7</v>
      </c>
      <c r="AA3" s="129">
        <v>8</v>
      </c>
      <c r="AB3" s="129">
        <v>9</v>
      </c>
      <c r="AC3" s="129">
        <v>10</v>
      </c>
      <c r="AD3" s="129">
        <v>11</v>
      </c>
      <c r="AE3" s="129">
        <v>12</v>
      </c>
      <c r="AF3" s="129">
        <v>1</v>
      </c>
      <c r="AG3" s="129">
        <v>2</v>
      </c>
      <c r="AH3" s="129">
        <v>3</v>
      </c>
      <c r="AI3" s="129">
        <v>4</v>
      </c>
      <c r="AJ3" s="129">
        <v>5</v>
      </c>
      <c r="AK3" s="129">
        <v>6</v>
      </c>
      <c r="AL3" s="129">
        <v>7</v>
      </c>
      <c r="AM3" s="129">
        <v>8</v>
      </c>
      <c r="AN3" s="129">
        <v>9</v>
      </c>
      <c r="AO3" s="129">
        <v>10</v>
      </c>
      <c r="AP3" s="129">
        <v>11</v>
      </c>
      <c r="AQ3" s="130">
        <v>12</v>
      </c>
      <c r="AR3" s="129">
        <v>1</v>
      </c>
      <c r="AS3" s="129">
        <v>2</v>
      </c>
      <c r="AT3" s="129">
        <v>3</v>
      </c>
      <c r="AU3" s="129">
        <v>4</v>
      </c>
      <c r="AV3" s="129">
        <v>5</v>
      </c>
      <c r="AW3" s="129">
        <v>6</v>
      </c>
      <c r="AX3" s="129">
        <v>7</v>
      </c>
      <c r="AY3" s="129">
        <v>8</v>
      </c>
      <c r="AZ3" s="129">
        <v>9</v>
      </c>
      <c r="BA3" s="129">
        <v>10</v>
      </c>
      <c r="BB3" s="129">
        <v>11</v>
      </c>
      <c r="BC3" s="129">
        <v>12</v>
      </c>
      <c r="BD3" s="129">
        <v>1</v>
      </c>
      <c r="BE3" s="129">
        <v>2</v>
      </c>
      <c r="BF3" s="129">
        <v>3</v>
      </c>
      <c r="BG3" s="129">
        <v>4</v>
      </c>
      <c r="BH3" s="129">
        <v>5</v>
      </c>
      <c r="BI3" s="129">
        <v>6</v>
      </c>
      <c r="BJ3" s="129">
        <v>7</v>
      </c>
      <c r="BK3" s="129">
        <v>8</v>
      </c>
      <c r="BL3" s="129">
        <v>9</v>
      </c>
      <c r="BM3" s="129">
        <v>10</v>
      </c>
      <c r="BN3" s="129">
        <v>11</v>
      </c>
      <c r="BO3" s="129">
        <v>12</v>
      </c>
      <c r="BP3" s="129">
        <v>1</v>
      </c>
      <c r="BQ3" s="129">
        <v>2</v>
      </c>
      <c r="BR3" s="129">
        <v>3</v>
      </c>
      <c r="BS3" s="129">
        <v>4</v>
      </c>
      <c r="BT3" s="129">
        <v>5</v>
      </c>
      <c r="BU3" s="129">
        <v>6</v>
      </c>
      <c r="BV3" s="129">
        <v>7</v>
      </c>
      <c r="BW3" s="129">
        <v>8</v>
      </c>
      <c r="BX3" s="129">
        <v>9</v>
      </c>
      <c r="BY3" s="129">
        <v>10</v>
      </c>
      <c r="BZ3" s="129">
        <v>11</v>
      </c>
      <c r="CA3" s="130">
        <v>12</v>
      </c>
      <c r="CB3" s="129">
        <v>1</v>
      </c>
      <c r="CC3" s="129">
        <v>2</v>
      </c>
      <c r="CD3" s="129">
        <v>3</v>
      </c>
      <c r="CE3" s="129">
        <v>4</v>
      </c>
      <c r="CF3" s="129">
        <v>5</v>
      </c>
      <c r="CG3" s="129">
        <v>6</v>
      </c>
      <c r="CH3" s="129">
        <v>7</v>
      </c>
      <c r="CI3" s="129">
        <v>8</v>
      </c>
      <c r="CJ3" s="129">
        <v>9</v>
      </c>
      <c r="CK3" s="129">
        <v>10</v>
      </c>
      <c r="CL3" s="129">
        <v>11</v>
      </c>
      <c r="CM3" s="129">
        <v>12</v>
      </c>
      <c r="CN3" s="129">
        <v>1</v>
      </c>
      <c r="CO3" s="129">
        <v>2</v>
      </c>
      <c r="CP3" s="129">
        <v>3</v>
      </c>
      <c r="CQ3" s="129">
        <v>4</v>
      </c>
      <c r="CR3" s="129">
        <v>5</v>
      </c>
      <c r="CS3" s="129">
        <v>6</v>
      </c>
      <c r="CT3" s="129">
        <v>7</v>
      </c>
      <c r="CU3" s="129">
        <v>8</v>
      </c>
      <c r="CV3" s="129">
        <v>9</v>
      </c>
      <c r="CW3" s="129">
        <v>10</v>
      </c>
      <c r="CX3" s="129">
        <v>11</v>
      </c>
      <c r="CY3" s="129">
        <v>12</v>
      </c>
      <c r="CZ3" s="129">
        <v>1</v>
      </c>
      <c r="DA3" s="129">
        <v>2</v>
      </c>
      <c r="DB3" s="129">
        <v>3</v>
      </c>
      <c r="DC3" s="129">
        <v>4</v>
      </c>
      <c r="DD3" s="129">
        <v>5</v>
      </c>
      <c r="DE3" s="129">
        <v>6</v>
      </c>
      <c r="DF3" s="129">
        <v>7</v>
      </c>
      <c r="DG3" s="129">
        <v>8</v>
      </c>
      <c r="DH3" s="129">
        <v>9</v>
      </c>
      <c r="DI3" s="129">
        <v>10</v>
      </c>
      <c r="DJ3" s="129">
        <v>11</v>
      </c>
      <c r="DK3" s="130">
        <v>12</v>
      </c>
      <c r="DL3" s="129">
        <v>1</v>
      </c>
      <c r="DM3" s="129">
        <v>2</v>
      </c>
      <c r="DN3" s="129">
        <v>3</v>
      </c>
      <c r="DO3" s="129">
        <v>4</v>
      </c>
      <c r="DP3" s="129">
        <v>5</v>
      </c>
      <c r="DQ3" s="129">
        <v>6</v>
      </c>
      <c r="DR3" s="129">
        <v>7</v>
      </c>
      <c r="DS3" s="129">
        <v>8</v>
      </c>
      <c r="DT3" s="129">
        <v>9</v>
      </c>
      <c r="DU3" s="129">
        <v>10</v>
      </c>
      <c r="DV3" s="129">
        <v>11</v>
      </c>
      <c r="DW3" s="129">
        <v>12</v>
      </c>
    </row>
    <row r="4" spans="2:127">
      <c r="B4" s="408" t="s">
        <v>277</v>
      </c>
      <c r="C4" s="408"/>
      <c r="D4" s="408"/>
      <c r="E4" s="408"/>
      <c r="F4" s="4" t="s">
        <v>54</v>
      </c>
      <c r="G4" s="4" t="s">
        <v>27</v>
      </c>
      <c r="H4" s="131">
        <v>1</v>
      </c>
      <c r="I4" s="132">
        <v>2</v>
      </c>
      <c r="J4" s="132">
        <v>3</v>
      </c>
      <c r="K4" s="132">
        <v>4</v>
      </c>
      <c r="L4" s="132">
        <v>5</v>
      </c>
      <c r="M4" s="132">
        <v>6</v>
      </c>
      <c r="N4" s="132">
        <v>7</v>
      </c>
      <c r="O4" s="132">
        <v>8</v>
      </c>
      <c r="P4" s="132">
        <v>9</v>
      </c>
      <c r="Q4" s="132">
        <v>10</v>
      </c>
      <c r="R4" s="132">
        <v>11</v>
      </c>
      <c r="S4" s="132">
        <v>12</v>
      </c>
      <c r="T4" s="132">
        <v>13</v>
      </c>
      <c r="U4" s="132">
        <v>14</v>
      </c>
      <c r="V4" s="132">
        <v>15</v>
      </c>
      <c r="W4" s="132">
        <v>16</v>
      </c>
      <c r="X4" s="132">
        <v>17</v>
      </c>
      <c r="Y4" s="132">
        <v>18</v>
      </c>
      <c r="Z4" s="132">
        <v>19</v>
      </c>
      <c r="AA4" s="132">
        <v>20</v>
      </c>
      <c r="AB4" s="132">
        <v>21</v>
      </c>
      <c r="AC4" s="132">
        <v>22</v>
      </c>
      <c r="AD4" s="132">
        <v>23</v>
      </c>
      <c r="AE4" s="132">
        <v>24</v>
      </c>
      <c r="AF4" s="132">
        <v>25</v>
      </c>
      <c r="AG4" s="132">
        <v>26</v>
      </c>
      <c r="AH4" s="132">
        <v>27</v>
      </c>
      <c r="AI4" s="132">
        <v>28</v>
      </c>
      <c r="AJ4" s="132">
        <v>29</v>
      </c>
      <c r="AK4" s="132">
        <v>30</v>
      </c>
      <c r="AL4" s="132">
        <v>31</v>
      </c>
      <c r="AM4" s="132">
        <v>32</v>
      </c>
      <c r="AN4" s="132">
        <v>33</v>
      </c>
      <c r="AO4" s="132">
        <v>34</v>
      </c>
      <c r="AP4" s="132">
        <v>35</v>
      </c>
      <c r="AQ4" s="132">
        <v>36</v>
      </c>
      <c r="AR4" s="131">
        <v>1</v>
      </c>
      <c r="AS4" s="132">
        <v>2</v>
      </c>
      <c r="AT4" s="132">
        <v>3</v>
      </c>
      <c r="AU4" s="132">
        <v>4</v>
      </c>
      <c r="AV4" s="132">
        <v>5</v>
      </c>
      <c r="AW4" s="132">
        <v>6</v>
      </c>
      <c r="AX4" s="132">
        <v>7</v>
      </c>
      <c r="AY4" s="132">
        <v>8</v>
      </c>
      <c r="AZ4" s="132">
        <v>9</v>
      </c>
      <c r="BA4" s="132">
        <v>10</v>
      </c>
      <c r="BB4" s="132">
        <v>11</v>
      </c>
      <c r="BC4" s="132">
        <v>12</v>
      </c>
      <c r="BD4" s="132">
        <v>13</v>
      </c>
      <c r="BE4" s="132">
        <v>14</v>
      </c>
      <c r="BF4" s="132">
        <v>15</v>
      </c>
      <c r="BG4" s="132">
        <v>16</v>
      </c>
      <c r="BH4" s="132">
        <v>17</v>
      </c>
      <c r="BI4" s="132">
        <v>18</v>
      </c>
      <c r="BJ4" s="132">
        <v>19</v>
      </c>
      <c r="BK4" s="132">
        <v>20</v>
      </c>
      <c r="BL4" s="132">
        <v>21</v>
      </c>
      <c r="BM4" s="132">
        <v>22</v>
      </c>
      <c r="BN4" s="132">
        <v>23</v>
      </c>
      <c r="BO4" s="132">
        <v>24</v>
      </c>
      <c r="BP4" s="132">
        <v>25</v>
      </c>
      <c r="BQ4" s="132">
        <v>26</v>
      </c>
      <c r="BR4" s="132">
        <v>27</v>
      </c>
      <c r="BS4" s="132">
        <v>28</v>
      </c>
      <c r="BT4" s="132">
        <v>29</v>
      </c>
      <c r="BU4" s="132">
        <v>30</v>
      </c>
      <c r="BV4" s="132">
        <v>31</v>
      </c>
      <c r="BW4" s="132">
        <v>32</v>
      </c>
      <c r="BX4" s="132">
        <v>33</v>
      </c>
      <c r="BY4" s="132">
        <v>34</v>
      </c>
      <c r="BZ4" s="132">
        <v>35</v>
      </c>
      <c r="CA4" s="132">
        <v>36</v>
      </c>
      <c r="CB4" s="131">
        <v>1</v>
      </c>
      <c r="CC4" s="132">
        <v>2</v>
      </c>
      <c r="CD4" s="132">
        <v>3</v>
      </c>
      <c r="CE4" s="132">
        <v>4</v>
      </c>
      <c r="CF4" s="132">
        <v>5</v>
      </c>
      <c r="CG4" s="132">
        <v>6</v>
      </c>
      <c r="CH4" s="132">
        <v>7</v>
      </c>
      <c r="CI4" s="132">
        <v>8</v>
      </c>
      <c r="CJ4" s="132">
        <v>9</v>
      </c>
      <c r="CK4" s="132">
        <v>10</v>
      </c>
      <c r="CL4" s="132">
        <v>11</v>
      </c>
      <c r="CM4" s="132">
        <v>12</v>
      </c>
      <c r="CN4" s="132">
        <v>13</v>
      </c>
      <c r="CO4" s="132">
        <v>14</v>
      </c>
      <c r="CP4" s="132">
        <v>15</v>
      </c>
      <c r="CQ4" s="132">
        <v>16</v>
      </c>
      <c r="CR4" s="132">
        <v>17</v>
      </c>
      <c r="CS4" s="132">
        <v>18</v>
      </c>
      <c r="CT4" s="132">
        <v>19</v>
      </c>
      <c r="CU4" s="132">
        <v>20</v>
      </c>
      <c r="CV4" s="132">
        <v>21</v>
      </c>
      <c r="CW4" s="132">
        <v>22</v>
      </c>
      <c r="CX4" s="132">
        <v>23</v>
      </c>
      <c r="CY4" s="132">
        <v>24</v>
      </c>
      <c r="CZ4" s="132">
        <v>25</v>
      </c>
      <c r="DA4" s="132">
        <v>26</v>
      </c>
      <c r="DB4" s="132">
        <v>27</v>
      </c>
      <c r="DC4" s="132">
        <v>28</v>
      </c>
      <c r="DD4" s="132">
        <v>29</v>
      </c>
      <c r="DE4" s="132">
        <v>30</v>
      </c>
      <c r="DF4" s="132">
        <v>31</v>
      </c>
      <c r="DG4" s="132">
        <v>32</v>
      </c>
      <c r="DH4" s="132">
        <v>33</v>
      </c>
      <c r="DI4" s="132">
        <v>34</v>
      </c>
      <c r="DJ4" s="132">
        <v>35</v>
      </c>
      <c r="DK4" s="132">
        <v>36</v>
      </c>
      <c r="DL4" s="131">
        <v>1</v>
      </c>
      <c r="DM4" s="132">
        <v>2</v>
      </c>
      <c r="DN4" s="132">
        <v>3</v>
      </c>
      <c r="DO4" s="132">
        <v>4</v>
      </c>
      <c r="DP4" s="132">
        <v>5</v>
      </c>
      <c r="DQ4" s="132">
        <v>6</v>
      </c>
      <c r="DR4" s="132">
        <v>7</v>
      </c>
      <c r="DS4" s="132">
        <v>8</v>
      </c>
      <c r="DT4" s="132">
        <v>9</v>
      </c>
      <c r="DU4" s="132">
        <v>10</v>
      </c>
      <c r="DV4" s="132">
        <v>11</v>
      </c>
      <c r="DW4" s="132">
        <v>12</v>
      </c>
    </row>
    <row r="5" spans="2:127">
      <c r="B5" s="409" t="s">
        <v>278</v>
      </c>
      <c r="C5" s="409"/>
      <c r="D5" s="409"/>
      <c r="E5" s="409"/>
      <c r="F5" s="4" t="s">
        <v>35</v>
      </c>
      <c r="G5" s="136">
        <f>SUM(H5:DW5)</f>
        <v>51613589954967.203</v>
      </c>
      <c r="H5" s="310">
        <f>'Финасирование, до'!H21</f>
        <v>51632780200.9683</v>
      </c>
      <c r="I5" s="310">
        <f>'Финасирование, до'!I21</f>
        <v>53164066096.479599</v>
      </c>
      <c r="J5" s="310">
        <f>'Финасирование, до'!J21</f>
        <v>54736511160.932144</v>
      </c>
      <c r="K5" s="310">
        <f>'Финасирование, до'!K21</f>
        <v>56351284940.670074</v>
      </c>
      <c r="L5" s="310">
        <f>'Финасирование, до'!L21</f>
        <v>58009591293.494827</v>
      </c>
      <c r="M5" s="310">
        <f>'Финасирование, до'!M21</f>
        <v>59712669420.639961</v>
      </c>
      <c r="N5" s="310">
        <f>'Финасирование, до'!N21</f>
        <v>61461794930.331673</v>
      </c>
      <c r="O5" s="310">
        <f>'Финасирование, до'!O21</f>
        <v>63258280933.912811</v>
      </c>
      <c r="P5" s="310">
        <f>'Финасирование, до'!P21</f>
        <v>65103479175.539948</v>
      </c>
      <c r="Q5" s="310">
        <f>'Финасирование, до'!Q21</f>
        <v>66998781196.493057</v>
      </c>
      <c r="R5" s="310">
        <f>'Финасирование, до'!R21</f>
        <v>68945619535.171234</v>
      </c>
      <c r="S5" s="310">
        <f>'Финасирование, до'!S21</f>
        <v>70945468963.880875</v>
      </c>
      <c r="T5" s="310">
        <f>'Финасирование, до'!T21</f>
        <v>71861124808.985413</v>
      </c>
      <c r="U5" s="310">
        <f>'Финасирование, до'!U21</f>
        <v>73967805949.668121</v>
      </c>
      <c r="V5" s="310">
        <f>'Финасирование, до'!V21</f>
        <v>76132119968.24054</v>
      </c>
      <c r="W5" s="310">
        <f>'Финасирование, до'!W21</f>
        <v>78355722363.525955</v>
      </c>
      <c r="X5" s="310">
        <f>'Финасирование, до'!X21</f>
        <v>80640317617.480515</v>
      </c>
      <c r="Y5" s="310">
        <f>'Финасирование, до'!Y21</f>
        <v>82987660677.397659</v>
      </c>
      <c r="Z5" s="310">
        <f>'Финасирование, до'!Z21</f>
        <v>85399558483.667786</v>
      </c>
      <c r="AA5" s="310">
        <f>'Финасирование, до'!AA21</f>
        <v>87877871544.508316</v>
      </c>
      <c r="AB5" s="310">
        <f>'Финасирование, до'!AB21</f>
        <v>90424515559.123459</v>
      </c>
      <c r="AC5" s="310">
        <f>'Финасирование, до'!AC21</f>
        <v>93041463090.798111</v>
      </c>
      <c r="AD5" s="310">
        <f>'Финасирование, до'!AD21</f>
        <v>95730745291.478516</v>
      </c>
      <c r="AE5" s="310">
        <f>'Финасирование, до'!AE21</f>
        <v>98494453679.439774</v>
      </c>
      <c r="AF5" s="310">
        <f>'Финасирование, до'!AF21</f>
        <v>101334731971.6907</v>
      </c>
      <c r="AG5" s="310">
        <f>'Финасирование, до'!AG21</f>
        <v>104253817972.81883</v>
      </c>
      <c r="AH5" s="310">
        <f>'Финасирование, до'!AH21</f>
        <v>107253985522.03055</v>
      </c>
      <c r="AI5" s="310">
        <f>'Финасирование, до'!AI21</f>
        <v>110337586500.1974</v>
      </c>
      <c r="AJ5" s="310">
        <f>'Финасирование, до'!AJ21</f>
        <v>113507042898.77515</v>
      </c>
      <c r="AK5" s="310">
        <f>'Финасирование, до'!AK21</f>
        <v>116764848952.52208</v>
      </c>
      <c r="AL5" s="310">
        <f>'Финасирование, до'!AL21</f>
        <v>120113573338.00188</v>
      </c>
      <c r="AM5" s="310">
        <f>'Финасирование, до'!AM21</f>
        <v>123555861439.91934</v>
      </c>
      <c r="AN5" s="310">
        <f>'Финасирование, до'!AN21</f>
        <v>127094437687.40192</v>
      </c>
      <c r="AO5" s="310">
        <f>'Финасирование, до'!AO21</f>
        <v>130732107962.40465</v>
      </c>
      <c r="AP5" s="310">
        <f>'Финасирование, до'!AP21</f>
        <v>134471762082.48624</v>
      </c>
      <c r="AQ5" s="310">
        <f>'Финасирование, до'!AQ21</f>
        <v>138316376360.27267</v>
      </c>
      <c r="AR5" s="310">
        <f>'Финасирование, до'!AR21</f>
        <v>142269006241.99921</v>
      </c>
      <c r="AS5" s="310">
        <f>'Финасирование, до'!AS21</f>
        <v>146332829027.59412</v>
      </c>
      <c r="AT5" s="310">
        <f>'Финасирование, до'!AT21</f>
        <v>150511086674.84772</v>
      </c>
      <c r="AU5" s="310">
        <f>'Финасирование, до'!AU21</f>
        <v>154807128690.28711</v>
      </c>
      <c r="AV5" s="310">
        <f>'Финасирование, до'!AV21</f>
        <v>159224405109.46161</v>
      </c>
      <c r="AW5" s="310">
        <f>'Финасирование, до'!AW21</f>
        <v>163766469569.42657</v>
      </c>
      <c r="AX5" s="310">
        <f>'Финасирование, до'!AX21</f>
        <v>168436982476.30289</v>
      </c>
      <c r="AY5" s="310">
        <f>'Финасирование, до'!AY21</f>
        <v>173239714270.87753</v>
      </c>
      <c r="AZ5" s="310">
        <f>'Финасирование, до'!AZ21</f>
        <v>178178548795.3053</v>
      </c>
      <c r="BA5" s="310">
        <f>'Финасирование, до'!BA21</f>
        <v>183257486764.06677</v>
      </c>
      <c r="BB5" s="310">
        <f>'Финасирование, до'!BB21</f>
        <v>188480649342.43738</v>
      </c>
      <c r="BC5" s="310">
        <f>'Финасирование, до'!BC21</f>
        <v>193852281835.82358</v>
      </c>
      <c r="BD5" s="310">
        <f>'Финасирование, до'!BD21</f>
        <v>199376747493.42834</v>
      </c>
      <c r="BE5" s="310">
        <f>'Финасирование, до'!BE21</f>
        <v>205058571429.81683</v>
      </c>
      <c r="BF5" s="310">
        <f>'Финасирование, до'!BF21</f>
        <v>210902384668.06436</v>
      </c>
      <c r="BG5" s="310">
        <f>'Финасирование, до'!BG21</f>
        <v>216912968308.28461</v>
      </c>
      <c r="BH5" s="310">
        <f>'Финасирование, до'!BH21</f>
        <v>223095247825.45749</v>
      </c>
      <c r="BI5" s="310">
        <f>'Финасирование, до'!BI21</f>
        <v>229454297500.59381</v>
      </c>
      <c r="BJ5" s="310">
        <f>'Финасирование, до'!BJ21</f>
        <v>235995344989.4079</v>
      </c>
      <c r="BK5" s="310">
        <f>'Финасирование, до'!BK21</f>
        <v>242723776032.79297</v>
      </c>
      <c r="BL5" s="310">
        <f>'Финасирование, до'!BL21</f>
        <v>249645139313.53568</v>
      </c>
      <c r="BM5" s="310">
        <f>'Финасирование, до'!BM21</f>
        <v>256765151463.8392</v>
      </c>
      <c r="BN5" s="310">
        <f>'Финасирование, до'!BN21</f>
        <v>264089702228.37363</v>
      </c>
      <c r="BO5" s="310">
        <f>'Финасирование, до'!BO21</f>
        <v>271624859787.71667</v>
      </c>
      <c r="BP5" s="310">
        <f>'Финасирование, до'!BP21</f>
        <v>279376866247.20166</v>
      </c>
      <c r="BQ5" s="310">
        <f>'Финасирование, до'!BQ21</f>
        <v>287352183296.34851</v>
      </c>
      <c r="BR5" s="310">
        <f>'Финасирование, до'!BR21</f>
        <v>295557438044.21387</v>
      </c>
      <c r="BS5" s="310">
        <f>'Финасирование, до'!BS21</f>
        <v>303999469036.16669</v>
      </c>
      <c r="BT5" s="310">
        <f>'Финасирование, до'!BT21</f>
        <v>312685322457.76721</v>
      </c>
      <c r="BU5" s="310">
        <f>'Финасирование, до'!BU21</f>
        <v>321622258531.60474</v>
      </c>
      <c r="BV5" s="310">
        <f>'Финасирование, до'!BV21</f>
        <v>330817758113.13684</v>
      </c>
      <c r="BW5" s="310">
        <f>'Финасирование, до'!BW21</f>
        <v>340279529491.75964</v>
      </c>
      <c r="BX5" s="310">
        <f>'Финасирование, до'!BX21</f>
        <v>350015515403.5351</v>
      </c>
      <c r="BY5" s="310">
        <f>'Финасирование, до'!BY21</f>
        <v>360033900262.20551</v>
      </c>
      <c r="BZ5" s="310">
        <f>'Финасирование, до'!BZ21</f>
        <v>370343117615.33142</v>
      </c>
      <c r="CA5" s="310">
        <f>'Финасирование, до'!CA21</f>
        <v>380951857832.60406</v>
      </c>
      <c r="CB5" s="310">
        <f>'Финасирование, до'!CB21</f>
        <v>391869066033.60901</v>
      </c>
      <c r="CC5" s="310">
        <f>'Финасирование, до'!CC21</f>
        <v>403103990262.53961</v>
      </c>
      <c r="CD5" s="310">
        <f>'Финасирование, до'!CD21</f>
        <v>414666129917.60376</v>
      </c>
      <c r="CE5" s="310">
        <f>'Финасирование, до'!CE21</f>
        <v>426565284443.10107</v>
      </c>
      <c r="CF5" s="310">
        <f>'Финасирование, до'!CF21</f>
        <v>438811552292.40887</v>
      </c>
      <c r="CG5" s="310">
        <f>'Финасирование, до'!CG21</f>
        <v>451415340170.36407</v>
      </c>
      <c r="CH5" s="310">
        <f>'Финасирование, до'!CH21</f>
        <v>464387372563.80487</v>
      </c>
      <c r="CI5" s="310">
        <f>'Финасирование, до'!CI21</f>
        <v>477738701569.30414</v>
      </c>
      <c r="CJ5" s="310">
        <f>'Финасирование, до'!CJ21</f>
        <v>491480717027.41742</v>
      </c>
      <c r="CK5" s="310">
        <f>'Финасирование, до'!CK21</f>
        <v>505625156973.05371</v>
      </c>
      <c r="CL5" s="310">
        <f>'Финасирование, до'!CL21</f>
        <v>520184118411.88959</v>
      </c>
      <c r="CM5" s="310">
        <f>'Финасирование, до'!CM21</f>
        <v>535170068433.04889</v>
      </c>
      <c r="CN5" s="310">
        <f>'Финасирование, до'!CN21</f>
        <v>550595845668.60315</v>
      </c>
      <c r="CO5" s="310">
        <f>'Финасирование, до'!CO21</f>
        <v>566474712110.76819</v>
      </c>
      <c r="CP5" s="310">
        <f>'Финасирование, до'!CP21</f>
        <v>582820305298.02588</v>
      </c>
      <c r="CQ5" s="310">
        <f>'Финасирование, до'!CQ21</f>
        <v>599646690881.74512</v>
      </c>
      <c r="CR5" s="310">
        <f>'Финасирование, до'!CR21</f>
        <v>616968365585.24866</v>
      </c>
      <c r="CS5" s="310">
        <f>'Финасирование, до'!CS21</f>
        <v>634800270567.6355</v>
      </c>
      <c r="CT5" s="310">
        <f>'Финасирование, до'!CT21</f>
        <v>653157805205.07605</v>
      </c>
      <c r="CU5" s="310">
        <f>'Финасирование, до'!CU21</f>
        <v>672056841302.67517</v>
      </c>
      <c r="CV5" s="310">
        <f>'Финасирование, до'!CV21</f>
        <v>691513737750.43286</v>
      </c>
      <c r="CW5" s="310">
        <f>'Финасирование, до'!CW21</f>
        <v>711545355637.23474</v>
      </c>
      <c r="CX5" s="310">
        <f>'Финасирование, до'!CX21</f>
        <v>732169073837.27026</v>
      </c>
      <c r="CY5" s="310">
        <f>'Финасирование, до'!CY21</f>
        <v>753402805083.7041</v>
      </c>
      <c r="CZ5" s="310">
        <f>'Финасирование, до'!CZ21</f>
        <v>775265002544.91248</v>
      </c>
      <c r="DA5" s="310">
        <f>'Финасирование, до'!DA21</f>
        <v>797774716919.06848</v>
      </c>
      <c r="DB5" s="310">
        <f>'Финасирование, до'!DB21</f>
        <v>820951554063.3595</v>
      </c>
      <c r="DC5" s="310">
        <f>'Финасирование, до'!DC21</f>
        <v>844815733174.63745</v>
      </c>
      <c r="DD5" s="310">
        <f>'Финасирование, до'!DD21</f>
        <v>869388095538.82471</v>
      </c>
      <c r="DE5" s="310">
        <f>'Финасирование, до'!DE21</f>
        <v>894690123866.95142</v>
      </c>
      <c r="DF5" s="310">
        <f>'Финасирование, до'!DF21</f>
        <v>920743962236.25574</v>
      </c>
      <c r="DG5" s="310">
        <f>'Финасирование, до'!DG21</f>
        <v>947572436655.37036</v>
      </c>
      <c r="DH5" s="310">
        <f>'Финасирование, до'!DH21</f>
        <v>975199076273.2052</v>
      </c>
      <c r="DI5" s="310">
        <f>'Финасирование, до'!DI21</f>
        <v>1003648135251.762</v>
      </c>
      <c r="DJ5" s="310">
        <f>'Финасирование, до'!DJ21</f>
        <v>1032944615323.7606</v>
      </c>
      <c r="DK5" s="310">
        <f>'Финасирование, до'!DK21</f>
        <v>1063114289056.5928</v>
      </c>
      <c r="DL5" s="310">
        <f>'Финасирование, до'!DL21</f>
        <v>1094183713844.8281</v>
      </c>
      <c r="DM5" s="310">
        <f>'Финасирование, до'!DM21</f>
        <v>1126180296654.1704</v>
      </c>
      <c r="DN5" s="310">
        <f>'Финасирование, до'!DN21</f>
        <v>1159132259540.5</v>
      </c>
      <c r="DO5" s="310">
        <f>'Финасирование, до'!DO21</f>
        <v>1193068705968.3813</v>
      </c>
      <c r="DP5" s="310">
        <f>'Финасирование, до'!DP21</f>
        <v>1228019637954.1743</v>
      </c>
      <c r="DQ5" s="310">
        <f>'Финасирование, до'!DQ21</f>
        <v>1264015984059.6934</v>
      </c>
      <c r="DR5" s="310">
        <f>'Финасирование, до'!DR21</f>
        <v>1301089628263.1714</v>
      </c>
      <c r="DS5" s="310">
        <f>'Финасирование, до'!DS21</f>
        <v>1339273439735.1187</v>
      </c>
      <c r="DT5" s="310">
        <f>'Финасирование, до'!DT21</f>
        <v>1378601303547.5615</v>
      </c>
      <c r="DU5" s="310">
        <f>'Финасирование, до'!DU21</f>
        <v>1419108152346.0171</v>
      </c>
      <c r="DV5" s="310">
        <f>'Финасирование, до'!DV21</f>
        <v>1460829999014.5051</v>
      </c>
      <c r="DW5" s="310">
        <f>'Финасирование, до'!DW21</f>
        <v>1503803970364.845</v>
      </c>
    </row>
    <row r="6" spans="2:127">
      <c r="B6" s="409" t="s">
        <v>279</v>
      </c>
      <c r="C6" s="409"/>
      <c r="D6" s="409"/>
      <c r="E6" s="409"/>
      <c r="F6" s="4" t="s">
        <v>35</v>
      </c>
      <c r="G6" s="136">
        <f>SUM(H6:DW6)</f>
        <v>0</v>
      </c>
      <c r="H6" s="140">
        <f>'Финасирование, до'!H22</f>
        <v>0</v>
      </c>
      <c r="I6" s="140">
        <f>'Финасирование, до'!I22</f>
        <v>0</v>
      </c>
      <c r="J6" s="140">
        <f>'Финасирование, до'!J22</f>
        <v>0</v>
      </c>
      <c r="K6" s="140">
        <f>'Финасирование, до'!K22</f>
        <v>0</v>
      </c>
      <c r="L6" s="140">
        <f>'Финасирование, до'!L22</f>
        <v>0</v>
      </c>
      <c r="M6" s="140">
        <f>'Финасирование, до'!M22</f>
        <v>0</v>
      </c>
      <c r="N6" s="140">
        <f>'Финасирование, до'!N22</f>
        <v>0</v>
      </c>
      <c r="O6" s="140">
        <f>'Финасирование, до'!O22</f>
        <v>0</v>
      </c>
      <c r="P6" s="140">
        <f>'Финасирование, до'!P22</f>
        <v>0</v>
      </c>
      <c r="Q6" s="140">
        <f>'Финасирование, до'!Q22</f>
        <v>0</v>
      </c>
      <c r="R6" s="140">
        <f>'Финасирование, до'!R22</f>
        <v>0</v>
      </c>
      <c r="S6" s="140">
        <f>'Финасирование, до'!S22</f>
        <v>0</v>
      </c>
      <c r="T6" s="140">
        <f>'Финасирование, до'!T22</f>
        <v>0</v>
      </c>
      <c r="U6" s="140">
        <f>'Финасирование, до'!U22</f>
        <v>0</v>
      </c>
      <c r="V6" s="140">
        <f>'Финасирование, до'!V22</f>
        <v>0</v>
      </c>
      <c r="W6" s="140">
        <f>'Финасирование, до'!W22</f>
        <v>0</v>
      </c>
      <c r="X6" s="140">
        <f>'Финасирование, до'!X22</f>
        <v>0</v>
      </c>
      <c r="Y6" s="140">
        <f>'Финасирование, до'!Y22</f>
        <v>0</v>
      </c>
      <c r="Z6" s="140">
        <f>'Финасирование, до'!Z22</f>
        <v>0</v>
      </c>
      <c r="AA6" s="140">
        <f>'Финасирование, до'!AA22</f>
        <v>0</v>
      </c>
      <c r="AB6" s="140">
        <f>'Финасирование, до'!AB22</f>
        <v>0</v>
      </c>
      <c r="AC6" s="140">
        <f>'Финасирование, до'!AC22</f>
        <v>0</v>
      </c>
      <c r="AD6" s="140">
        <f>'Финасирование, до'!AD22</f>
        <v>0</v>
      </c>
      <c r="AE6" s="140">
        <f>'Финасирование, до'!AE22</f>
        <v>0</v>
      </c>
      <c r="AF6" s="140">
        <f>'Финасирование, до'!AF22</f>
        <v>0</v>
      </c>
      <c r="AG6" s="140">
        <f>'Финасирование, до'!AG22</f>
        <v>0</v>
      </c>
      <c r="AH6" s="140">
        <f>'Финасирование, до'!AH22</f>
        <v>0</v>
      </c>
      <c r="AI6" s="140">
        <f>'Финасирование, до'!AI22</f>
        <v>0</v>
      </c>
      <c r="AJ6" s="140">
        <f>'Финасирование, до'!AJ22</f>
        <v>0</v>
      </c>
      <c r="AK6" s="140">
        <f>'Финасирование, до'!AK22</f>
        <v>0</v>
      </c>
      <c r="AL6" s="140">
        <f>'Финасирование, до'!AL22</f>
        <v>0</v>
      </c>
      <c r="AM6" s="140">
        <f>'Финасирование, до'!AM22</f>
        <v>0</v>
      </c>
      <c r="AN6" s="140">
        <f>'Финасирование, до'!AN22</f>
        <v>0</v>
      </c>
      <c r="AO6" s="140">
        <f>'Финасирование, до'!AO22</f>
        <v>0</v>
      </c>
      <c r="AP6" s="140">
        <f>'Финасирование, до'!AP22</f>
        <v>0</v>
      </c>
      <c r="AQ6" s="140">
        <f>'Финасирование, до'!AQ22</f>
        <v>0</v>
      </c>
      <c r="AR6" s="140">
        <f>'Финасирование, до'!AR22</f>
        <v>0</v>
      </c>
      <c r="AS6" s="140">
        <f>'Финасирование, до'!AS22</f>
        <v>0</v>
      </c>
      <c r="AT6" s="140">
        <f>'Финасирование, до'!AT22</f>
        <v>0</v>
      </c>
      <c r="AU6" s="140">
        <f>'Финасирование, до'!AU22</f>
        <v>0</v>
      </c>
      <c r="AV6" s="140">
        <f>'Финасирование, до'!AV22</f>
        <v>0</v>
      </c>
      <c r="AW6" s="140">
        <f>'Финасирование, до'!AW22</f>
        <v>0</v>
      </c>
      <c r="AX6" s="140">
        <f>'Финасирование, до'!AX22</f>
        <v>0</v>
      </c>
      <c r="AY6" s="140">
        <f>'Финасирование, до'!AY22</f>
        <v>0</v>
      </c>
      <c r="AZ6" s="140">
        <f>'Финасирование, до'!AZ22</f>
        <v>0</v>
      </c>
      <c r="BA6" s="140">
        <f>'Финасирование, до'!BA22</f>
        <v>0</v>
      </c>
      <c r="BB6" s="140">
        <f>'Финасирование, до'!BB22</f>
        <v>0</v>
      </c>
      <c r="BC6" s="140">
        <f>'Финасирование, до'!BC22</f>
        <v>0</v>
      </c>
      <c r="BD6" s="140">
        <f>'Финасирование, до'!BD22</f>
        <v>0</v>
      </c>
      <c r="BE6" s="140">
        <f>'Финасирование, до'!BE22</f>
        <v>0</v>
      </c>
      <c r="BF6" s="140">
        <f>'Финасирование, до'!BF22</f>
        <v>0</v>
      </c>
      <c r="BG6" s="140">
        <f>'Финасирование, до'!BG22</f>
        <v>0</v>
      </c>
      <c r="BH6" s="140">
        <f>'Финасирование, до'!BH22</f>
        <v>0</v>
      </c>
      <c r="BI6" s="140">
        <f>'Финасирование, до'!BI22</f>
        <v>0</v>
      </c>
      <c r="BJ6" s="140">
        <f>'Финасирование, до'!BJ22</f>
        <v>0</v>
      </c>
      <c r="BK6" s="140">
        <f>'Финасирование, до'!BK22</f>
        <v>0</v>
      </c>
      <c r="BL6" s="140">
        <f>'Финасирование, до'!BL22</f>
        <v>0</v>
      </c>
      <c r="BM6" s="140">
        <f>'Финасирование, до'!BM22</f>
        <v>0</v>
      </c>
      <c r="BN6" s="140">
        <f>'Финасирование, до'!BN22</f>
        <v>0</v>
      </c>
      <c r="BO6" s="140">
        <f>'Финасирование, до'!BO22</f>
        <v>0</v>
      </c>
      <c r="BP6" s="140">
        <f>'Финасирование, до'!BP22</f>
        <v>0</v>
      </c>
      <c r="BQ6" s="140">
        <f>'Финасирование, до'!BQ22</f>
        <v>0</v>
      </c>
      <c r="BR6" s="140">
        <f>'Финасирование, до'!BR22</f>
        <v>0</v>
      </c>
      <c r="BS6" s="140">
        <f>'Финасирование, до'!BS22</f>
        <v>0</v>
      </c>
      <c r="BT6" s="140">
        <f>'Финасирование, до'!BT22</f>
        <v>0</v>
      </c>
      <c r="BU6" s="140">
        <f>'Финасирование, до'!BU22</f>
        <v>0</v>
      </c>
      <c r="BV6" s="140">
        <f>'Финасирование, до'!BV22</f>
        <v>0</v>
      </c>
      <c r="BW6" s="140">
        <f>'Финасирование, до'!BW22</f>
        <v>0</v>
      </c>
      <c r="BX6" s="140">
        <f>'Финасирование, до'!BX22</f>
        <v>0</v>
      </c>
      <c r="BY6" s="140">
        <f>'Финасирование, до'!BY22</f>
        <v>0</v>
      </c>
      <c r="BZ6" s="140">
        <f>'Финасирование, до'!BZ22</f>
        <v>0</v>
      </c>
      <c r="CA6" s="140">
        <f>'Финасирование, до'!CA22</f>
        <v>0</v>
      </c>
      <c r="CB6" s="140">
        <f>'Финасирование, до'!CB22</f>
        <v>0</v>
      </c>
      <c r="CC6" s="140">
        <f>'Финасирование, до'!CC22</f>
        <v>0</v>
      </c>
      <c r="CD6" s="140">
        <f>'Финасирование, до'!CD22</f>
        <v>0</v>
      </c>
      <c r="CE6" s="140">
        <f>'Финасирование, до'!CE22</f>
        <v>0</v>
      </c>
      <c r="CF6" s="140">
        <f>'Финасирование, до'!CF22</f>
        <v>0</v>
      </c>
      <c r="CG6" s="140">
        <f>'Финасирование, до'!CG22</f>
        <v>0</v>
      </c>
      <c r="CH6" s="140">
        <f>'Финасирование, до'!CH22</f>
        <v>0</v>
      </c>
      <c r="CI6" s="140">
        <f>'Финасирование, до'!CI22</f>
        <v>0</v>
      </c>
      <c r="CJ6" s="140">
        <f>'Финасирование, до'!CJ22</f>
        <v>0</v>
      </c>
      <c r="CK6" s="140">
        <f>'Финасирование, до'!CK22</f>
        <v>0</v>
      </c>
      <c r="CL6" s="140">
        <f>'Финасирование, до'!CL22</f>
        <v>0</v>
      </c>
      <c r="CM6" s="140">
        <f>'Финасирование, до'!CM22</f>
        <v>0</v>
      </c>
      <c r="CN6" s="140">
        <f>'Финасирование, до'!CN22</f>
        <v>0</v>
      </c>
      <c r="CO6" s="140">
        <f>'Финасирование, до'!CO22</f>
        <v>0</v>
      </c>
      <c r="CP6" s="140">
        <f>'Финасирование, до'!CP22</f>
        <v>0</v>
      </c>
      <c r="CQ6" s="140">
        <f>'Финасирование, до'!CQ22</f>
        <v>0</v>
      </c>
      <c r="CR6" s="140">
        <f>'Финасирование, до'!CR22</f>
        <v>0</v>
      </c>
      <c r="CS6" s="140">
        <f>'Финасирование, до'!CS22</f>
        <v>0</v>
      </c>
      <c r="CT6" s="140">
        <f>'Финасирование, до'!CT22</f>
        <v>0</v>
      </c>
      <c r="CU6" s="140">
        <f>'Финасирование, до'!CU22</f>
        <v>0</v>
      </c>
      <c r="CV6" s="140">
        <f>'Финасирование, до'!CV22</f>
        <v>0</v>
      </c>
      <c r="CW6" s="140">
        <f>'Финасирование, до'!CW22</f>
        <v>0</v>
      </c>
      <c r="CX6" s="140">
        <f>'Финасирование, до'!CX22</f>
        <v>0</v>
      </c>
      <c r="CY6" s="140">
        <f>'Финасирование, до'!CY22</f>
        <v>0</v>
      </c>
      <c r="CZ6" s="140">
        <f>'Финасирование, до'!CZ22</f>
        <v>0</v>
      </c>
      <c r="DA6" s="140">
        <f>'Финасирование, до'!DA22</f>
        <v>0</v>
      </c>
      <c r="DB6" s="140">
        <f>'Финасирование, до'!DB22</f>
        <v>0</v>
      </c>
      <c r="DC6" s="140">
        <f>'Финасирование, до'!DC22</f>
        <v>0</v>
      </c>
      <c r="DD6" s="140">
        <f>'Финасирование, до'!DD22</f>
        <v>0</v>
      </c>
      <c r="DE6" s="140">
        <f>'Финасирование, до'!DE22</f>
        <v>0</v>
      </c>
      <c r="DF6" s="140">
        <f>'Финасирование, до'!DF22</f>
        <v>0</v>
      </c>
      <c r="DG6" s="140">
        <f>'Финасирование, до'!DG22</f>
        <v>0</v>
      </c>
      <c r="DH6" s="140">
        <f>'Финасирование, до'!DH22</f>
        <v>0</v>
      </c>
      <c r="DI6" s="140">
        <f>'Финасирование, до'!DI22</f>
        <v>0</v>
      </c>
      <c r="DJ6" s="140">
        <f>'Финасирование, до'!DJ22</f>
        <v>0</v>
      </c>
      <c r="DK6" s="140">
        <f>'Финасирование, до'!DK22</f>
        <v>0</v>
      </c>
      <c r="DL6" s="140">
        <f>'Финасирование, до'!DL22</f>
        <v>0</v>
      </c>
      <c r="DM6" s="140">
        <f>'Финасирование, до'!DM22</f>
        <v>0</v>
      </c>
      <c r="DN6" s="140">
        <f>'Финасирование, до'!DN22</f>
        <v>0</v>
      </c>
      <c r="DO6" s="140">
        <f>'Финасирование, до'!DO22</f>
        <v>0</v>
      </c>
      <c r="DP6" s="140">
        <f>'Финасирование, до'!DP22</f>
        <v>0</v>
      </c>
      <c r="DQ6" s="140">
        <f>'Финасирование, до'!DQ22</f>
        <v>0</v>
      </c>
      <c r="DR6" s="140">
        <f>'Финасирование, до'!DR22</f>
        <v>0</v>
      </c>
      <c r="DS6" s="140">
        <f>'Финасирование, до'!DS22</f>
        <v>0</v>
      </c>
      <c r="DT6" s="140">
        <f>'Финасирование, до'!DT22</f>
        <v>0</v>
      </c>
      <c r="DU6" s="140">
        <f>'Финасирование, до'!DU22</f>
        <v>0</v>
      </c>
      <c r="DV6" s="140">
        <f>'Финасирование, до'!DV22</f>
        <v>0</v>
      </c>
      <c r="DW6" s="140">
        <f>'Финасирование, до'!DW22</f>
        <v>0</v>
      </c>
    </row>
    <row r="7" spans="2:127">
      <c r="B7" s="409" t="s">
        <v>280</v>
      </c>
      <c r="C7" s="409"/>
      <c r="D7" s="409"/>
      <c r="E7" s="409"/>
      <c r="F7" s="4" t="s">
        <v>35</v>
      </c>
      <c r="G7" s="136">
        <f>SUM(H7:DW7)</f>
        <v>0</v>
      </c>
      <c r="H7" s="138">
        <f>'Финансовый план по годам'!H50</f>
        <v>0</v>
      </c>
      <c r="I7" s="138">
        <f>'Финансовый план по годам'!I50</f>
        <v>0</v>
      </c>
      <c r="J7" s="138">
        <f>'Финансовый план по годам'!J50</f>
        <v>0</v>
      </c>
      <c r="K7" s="138">
        <f>'Финансовый план по годам'!K50</f>
        <v>0</v>
      </c>
      <c r="L7" s="138">
        <f>'Финансовый план по годам'!L50</f>
        <v>0</v>
      </c>
      <c r="M7" s="138">
        <f>'Финансовый план по годам'!M50</f>
        <v>0</v>
      </c>
      <c r="N7" s="138">
        <f>'Финансовый план по годам'!N50</f>
        <v>0</v>
      </c>
      <c r="O7" s="138">
        <f>'Финансовый план по годам'!O50</f>
        <v>0</v>
      </c>
      <c r="P7" s="138">
        <f>'Финансовый план по годам'!P50</f>
        <v>0</v>
      </c>
      <c r="Q7" s="138">
        <f>'Финансовый план по годам'!Q50</f>
        <v>0</v>
      </c>
      <c r="R7" s="138">
        <f>'Финансовый план по годам'!R50</f>
        <v>0</v>
      </c>
      <c r="S7" s="138">
        <f>'Финансовый план по годам'!S50</f>
        <v>0</v>
      </c>
      <c r="T7" s="138">
        <f>'Финансовый план по годам'!T50</f>
        <v>0</v>
      </c>
      <c r="U7" s="138">
        <f>'Финансовый план по годам'!U50</f>
        <v>0</v>
      </c>
      <c r="V7" s="138">
        <f>'Финансовый план по годам'!V50</f>
        <v>0</v>
      </c>
      <c r="W7" s="138">
        <f>'Финансовый план по годам'!W50</f>
        <v>0</v>
      </c>
      <c r="X7" s="138">
        <f>'Финансовый план по годам'!X50</f>
        <v>0</v>
      </c>
      <c r="Y7" s="138">
        <f>'Финансовый план по годам'!Y50</f>
        <v>0</v>
      </c>
      <c r="Z7" s="138">
        <f>'Финансовый план по годам'!Z50</f>
        <v>0</v>
      </c>
      <c r="AA7" s="138">
        <f>'Финансовый план по годам'!AA50</f>
        <v>0</v>
      </c>
      <c r="AB7" s="138">
        <f>'Финансовый план по годам'!AB50</f>
        <v>0</v>
      </c>
      <c r="AC7" s="138">
        <f>'Финансовый план по годам'!AC50</f>
        <v>0</v>
      </c>
      <c r="AD7" s="138">
        <f>'Финансовый план по годам'!AD50</f>
        <v>0</v>
      </c>
      <c r="AE7" s="138">
        <f>'Финансовый план по годам'!AE50</f>
        <v>0</v>
      </c>
      <c r="AF7" s="138">
        <f>'Финансовый план по годам'!AF50</f>
        <v>0</v>
      </c>
      <c r="AG7" s="138">
        <f>'Финансовый план по годам'!AG50</f>
        <v>0</v>
      </c>
      <c r="AH7" s="138">
        <f>'Финансовый план по годам'!AH50</f>
        <v>0</v>
      </c>
      <c r="AI7" s="138">
        <f>'Финансовый план по годам'!AI50</f>
        <v>0</v>
      </c>
      <c r="AJ7" s="138">
        <f>'Финансовый план по годам'!AJ50</f>
        <v>0</v>
      </c>
      <c r="AK7" s="138">
        <f>'Финансовый план по годам'!AK50</f>
        <v>0</v>
      </c>
      <c r="AL7" s="138">
        <f>'Финансовый план по годам'!AL50</f>
        <v>0</v>
      </c>
      <c r="AM7" s="138">
        <f>'Финансовый план по годам'!AM50</f>
        <v>0</v>
      </c>
      <c r="AN7" s="138">
        <f>'Финансовый план по годам'!AN50</f>
        <v>0</v>
      </c>
      <c r="AO7" s="138">
        <f>'Финансовый план по годам'!AO50</f>
        <v>0</v>
      </c>
      <c r="AP7" s="138">
        <f>'Финансовый план по годам'!AP50</f>
        <v>0</v>
      </c>
      <c r="AQ7" s="138">
        <f>'Финансовый план по годам'!AQ50</f>
        <v>0</v>
      </c>
      <c r="AR7" s="138">
        <f>'Финансовый план по годам'!AR50</f>
        <v>0</v>
      </c>
      <c r="AS7" s="138">
        <f>'Финансовый план по годам'!AS50</f>
        <v>0</v>
      </c>
      <c r="AT7" s="138">
        <f>'Финансовый план по годам'!AT50</f>
        <v>0</v>
      </c>
      <c r="AU7" s="138">
        <f>'Финансовый план по годам'!AU50</f>
        <v>0</v>
      </c>
      <c r="AV7" s="138">
        <f>'Финансовый план по годам'!AV50</f>
        <v>0</v>
      </c>
      <c r="AW7" s="138">
        <f>'Финансовый план по годам'!AW50</f>
        <v>0</v>
      </c>
      <c r="AX7" s="138">
        <f>'Финансовый план по годам'!AX50</f>
        <v>0</v>
      </c>
      <c r="AY7" s="138">
        <f>'Финансовый план по годам'!AY50</f>
        <v>0</v>
      </c>
      <c r="AZ7" s="138">
        <f>'Финансовый план по годам'!AZ50</f>
        <v>0</v>
      </c>
      <c r="BA7" s="138">
        <f>'Финансовый план по годам'!BA50</f>
        <v>0</v>
      </c>
      <c r="BB7" s="138">
        <f>'Финансовый план по годам'!BB50</f>
        <v>0</v>
      </c>
      <c r="BC7" s="138">
        <f>'Финансовый план по годам'!BC50</f>
        <v>0</v>
      </c>
      <c r="BD7" s="138">
        <f>'Финансовый план по годам'!BD50</f>
        <v>0</v>
      </c>
      <c r="BE7" s="138">
        <f>'Финансовый план по годам'!BE50</f>
        <v>0</v>
      </c>
      <c r="BF7" s="138">
        <f>'Финансовый план по годам'!BF50</f>
        <v>0</v>
      </c>
      <c r="BG7" s="138">
        <f>'Финансовый план по годам'!BG50</f>
        <v>0</v>
      </c>
      <c r="BH7" s="138">
        <f>'Финансовый план по годам'!BH50</f>
        <v>0</v>
      </c>
      <c r="BI7" s="138">
        <f>'Финансовый план по годам'!BI50</f>
        <v>0</v>
      </c>
      <c r="BJ7" s="138">
        <f>'Финансовый план по годам'!BJ50</f>
        <v>0</v>
      </c>
      <c r="BK7" s="138">
        <f>'Финансовый план по годам'!BK50</f>
        <v>0</v>
      </c>
      <c r="BL7" s="138">
        <f>'Финансовый план по годам'!BL50</f>
        <v>0</v>
      </c>
      <c r="BM7" s="138">
        <f>'Финансовый план по годам'!BM50</f>
        <v>0</v>
      </c>
      <c r="BN7" s="138">
        <f>'Финансовый план по годам'!BN50</f>
        <v>0</v>
      </c>
      <c r="BO7" s="138">
        <f>'Финансовый план по годам'!BO50</f>
        <v>0</v>
      </c>
      <c r="BP7" s="138">
        <f>'Финансовый план по годам'!BP50</f>
        <v>0</v>
      </c>
      <c r="BQ7" s="138">
        <f>'Финансовый план по годам'!BQ50</f>
        <v>0</v>
      </c>
      <c r="BR7" s="138">
        <f>'Финансовый план по годам'!BR50</f>
        <v>0</v>
      </c>
      <c r="BS7" s="138">
        <f>'Финансовый план по годам'!BS50</f>
        <v>0</v>
      </c>
      <c r="BT7" s="138">
        <f>'Финансовый план по годам'!BT50</f>
        <v>0</v>
      </c>
      <c r="BU7" s="138">
        <f>'Финансовый план по годам'!BU50</f>
        <v>0</v>
      </c>
      <c r="BV7" s="138">
        <f>'Финансовый план по годам'!BV50</f>
        <v>0</v>
      </c>
      <c r="BW7" s="138">
        <f>'Финансовый план по годам'!BW50</f>
        <v>0</v>
      </c>
      <c r="BX7" s="138">
        <f>'Финансовый план по годам'!BX50</f>
        <v>0</v>
      </c>
      <c r="BY7" s="138">
        <f>'Финансовый план по годам'!BY50</f>
        <v>0</v>
      </c>
      <c r="BZ7" s="138">
        <f>'Финансовый план по годам'!BZ50</f>
        <v>0</v>
      </c>
      <c r="CA7" s="138">
        <f>'Финансовый план по годам'!CA50</f>
        <v>0</v>
      </c>
      <c r="CB7" s="138">
        <f>'Финансовый план по годам'!CB50</f>
        <v>0</v>
      </c>
      <c r="CC7" s="138">
        <f>'Финансовый план по годам'!CC50</f>
        <v>0</v>
      </c>
      <c r="CD7" s="138">
        <f>'Финансовый план по годам'!CD50</f>
        <v>0</v>
      </c>
      <c r="CE7" s="138">
        <f>'Финансовый план по годам'!CE50</f>
        <v>0</v>
      </c>
      <c r="CF7" s="138">
        <f>'Финансовый план по годам'!CF50</f>
        <v>0</v>
      </c>
      <c r="CG7" s="138">
        <f>'Финансовый план по годам'!CG50</f>
        <v>0</v>
      </c>
      <c r="CH7" s="138">
        <f>'Финансовый план по годам'!CH50</f>
        <v>0</v>
      </c>
      <c r="CI7" s="138">
        <f>'Финансовый план по годам'!CI50</f>
        <v>0</v>
      </c>
      <c r="CJ7" s="138">
        <f>'Финансовый план по годам'!CJ50</f>
        <v>0</v>
      </c>
      <c r="CK7" s="138">
        <f>'Финансовый план по годам'!CK50</f>
        <v>0</v>
      </c>
      <c r="CL7" s="138">
        <f>'Финансовый план по годам'!CL50</f>
        <v>0</v>
      </c>
      <c r="CM7" s="138">
        <f>'Финансовый план по годам'!CM50</f>
        <v>0</v>
      </c>
      <c r="CN7" s="138">
        <f>'Финансовый план по годам'!CN50</f>
        <v>0</v>
      </c>
      <c r="CO7" s="138">
        <f>'Финансовый план по годам'!CO50</f>
        <v>0</v>
      </c>
      <c r="CP7" s="138">
        <f>'Финансовый план по годам'!CP50</f>
        <v>0</v>
      </c>
      <c r="CQ7" s="138">
        <f>'Финансовый план по годам'!CQ50</f>
        <v>0</v>
      </c>
      <c r="CR7" s="138">
        <f>'Финансовый план по годам'!CR50</f>
        <v>0</v>
      </c>
      <c r="CS7" s="138">
        <f>'Финансовый план по годам'!CS50</f>
        <v>0</v>
      </c>
      <c r="CT7" s="138">
        <f>'Финансовый план по годам'!CT50</f>
        <v>0</v>
      </c>
      <c r="CU7" s="138">
        <f>'Финансовый план по годам'!CU50</f>
        <v>0</v>
      </c>
      <c r="CV7" s="138">
        <f>'Финансовый план по годам'!CV50</f>
        <v>0</v>
      </c>
      <c r="CW7" s="138">
        <f>'Финансовый план по годам'!CW50</f>
        <v>0</v>
      </c>
      <c r="CX7" s="138">
        <f>'Финансовый план по годам'!CX50</f>
        <v>0</v>
      </c>
      <c r="CY7" s="138">
        <f>'Финансовый план по годам'!CY50</f>
        <v>0</v>
      </c>
      <c r="CZ7" s="138">
        <f>'Финансовый план по годам'!CZ50</f>
        <v>0</v>
      </c>
      <c r="DA7" s="138">
        <f>'Финансовый план по годам'!DA50</f>
        <v>0</v>
      </c>
      <c r="DB7" s="138">
        <f>'Финансовый план по годам'!DB50</f>
        <v>0</v>
      </c>
      <c r="DC7" s="138">
        <f>'Финансовый план по годам'!DC50</f>
        <v>0</v>
      </c>
      <c r="DD7" s="138">
        <f>'Финансовый план по годам'!DD50</f>
        <v>0</v>
      </c>
      <c r="DE7" s="138">
        <f>'Финансовый план по годам'!DE50</f>
        <v>0</v>
      </c>
      <c r="DF7" s="138">
        <f>'Финансовый план по годам'!DF50</f>
        <v>0</v>
      </c>
      <c r="DG7" s="138">
        <f>'Финансовый план по годам'!DG50</f>
        <v>0</v>
      </c>
      <c r="DH7" s="138">
        <f>'Финансовый план по годам'!DH50</f>
        <v>0</v>
      </c>
      <c r="DI7" s="138">
        <f>'Финансовый план по годам'!DI50</f>
        <v>0</v>
      </c>
      <c r="DJ7" s="138">
        <f>'Финансовый план по годам'!DJ50</f>
        <v>0</v>
      </c>
      <c r="DK7" s="138">
        <f>'Финансовый план по годам'!DK50</f>
        <v>0</v>
      </c>
      <c r="DL7" s="138">
        <f>'Финансовый план по годам'!DL50</f>
        <v>0</v>
      </c>
      <c r="DM7" s="138">
        <f>'Финансовый план по годам'!DM50</f>
        <v>0</v>
      </c>
      <c r="DN7" s="138">
        <f>'Финансовый план по годам'!DN50</f>
        <v>0</v>
      </c>
      <c r="DO7" s="138">
        <f>'Финансовый план по годам'!DO50</f>
        <v>0</v>
      </c>
      <c r="DP7" s="138">
        <f>'Финансовый план по годам'!DP50</f>
        <v>0</v>
      </c>
      <c r="DQ7" s="138">
        <f>'Финансовый план по годам'!DQ50</f>
        <v>0</v>
      </c>
      <c r="DR7" s="138">
        <f>'Финансовый план по годам'!DR50</f>
        <v>0</v>
      </c>
      <c r="DS7" s="138">
        <f>'Финансовый план по годам'!DS50</f>
        <v>0</v>
      </c>
      <c r="DT7" s="138">
        <f>'Финансовый план по годам'!DT50</f>
        <v>0</v>
      </c>
      <c r="DU7" s="138">
        <f>'Финансовый план по годам'!DU50</f>
        <v>0</v>
      </c>
      <c r="DV7" s="138">
        <f>'Финансовый план по годам'!DV50</f>
        <v>0</v>
      </c>
      <c r="DW7" s="138">
        <f>'Финансовый план по годам'!DW50</f>
        <v>0</v>
      </c>
    </row>
    <row r="8" spans="2:127">
      <c r="B8" s="3"/>
      <c r="C8" s="3"/>
      <c r="D8" s="3"/>
      <c r="E8" s="3"/>
      <c r="F8" s="3"/>
      <c r="G8" s="3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34"/>
      <c r="AU8" s="134"/>
      <c r="AV8" s="134"/>
      <c r="AW8" s="134"/>
      <c r="AX8" s="134"/>
      <c r="AY8" s="134"/>
      <c r="AZ8" s="134"/>
      <c r="BA8" s="134"/>
      <c r="BB8" s="134"/>
      <c r="BC8" s="134"/>
      <c r="BD8" s="134"/>
      <c r="BE8" s="134"/>
      <c r="BF8" s="134"/>
      <c r="BG8" s="134"/>
      <c r="BH8" s="134"/>
      <c r="BI8" s="134"/>
      <c r="BJ8" s="134"/>
      <c r="BK8" s="134"/>
      <c r="BL8" s="134"/>
      <c r="BM8" s="134"/>
      <c r="BN8" s="134"/>
      <c r="BO8" s="134"/>
      <c r="BP8" s="134"/>
      <c r="BQ8" s="134"/>
      <c r="BR8" s="134"/>
      <c r="BS8" s="134"/>
      <c r="BT8" s="134"/>
      <c r="BU8" s="134"/>
      <c r="BV8" s="134"/>
      <c r="BW8" s="134"/>
      <c r="BX8" s="134"/>
      <c r="BY8" s="134"/>
      <c r="BZ8" s="134"/>
      <c r="CA8" s="134"/>
      <c r="CB8" s="134"/>
      <c r="CC8" s="134"/>
      <c r="CD8" s="134"/>
      <c r="CE8" s="134"/>
      <c r="CF8" s="134"/>
      <c r="CG8" s="134"/>
      <c r="CH8" s="134"/>
      <c r="CI8" s="134"/>
      <c r="CJ8" s="134"/>
      <c r="CK8" s="134"/>
      <c r="CL8" s="134"/>
      <c r="CM8" s="134"/>
      <c r="CN8" s="134"/>
      <c r="CO8" s="134"/>
      <c r="CP8" s="134"/>
      <c r="CQ8" s="134"/>
      <c r="CR8" s="134"/>
      <c r="CS8" s="134"/>
      <c r="CT8" s="134"/>
      <c r="CU8" s="134"/>
      <c r="CV8" s="134"/>
      <c r="CW8" s="134"/>
      <c r="CX8" s="134"/>
      <c r="CY8" s="134"/>
      <c r="CZ8" s="134"/>
      <c r="DA8" s="134"/>
      <c r="DB8" s="134"/>
      <c r="DC8" s="134"/>
      <c r="DD8" s="134"/>
      <c r="DE8" s="134"/>
      <c r="DF8" s="134"/>
      <c r="DG8" s="134"/>
      <c r="DH8" s="134"/>
      <c r="DI8" s="134"/>
      <c r="DJ8" s="134"/>
      <c r="DK8" s="134"/>
      <c r="DL8" s="134"/>
      <c r="DM8" s="134"/>
      <c r="DN8" s="134"/>
      <c r="DO8" s="134"/>
      <c r="DP8" s="134"/>
      <c r="DQ8" s="134"/>
      <c r="DR8" s="134"/>
      <c r="DS8" s="134"/>
      <c r="DT8" s="134"/>
      <c r="DU8" s="134"/>
      <c r="DV8" s="134"/>
      <c r="DW8" s="134"/>
    </row>
    <row r="9" spans="2:127">
      <c r="B9" s="45" t="s">
        <v>281</v>
      </c>
      <c r="C9" s="45"/>
      <c r="D9" s="45"/>
      <c r="E9" s="45"/>
      <c r="F9" s="4" t="s">
        <v>35</v>
      </c>
      <c r="G9" s="136">
        <f>SUM(H9:DW9)</f>
        <v>276961520</v>
      </c>
      <c r="H9" s="139">
        <f>'Финасирование, до'!H15</f>
        <v>276961520</v>
      </c>
      <c r="I9" s="139">
        <f>'Финасирование, до'!I15</f>
        <v>0</v>
      </c>
      <c r="J9" s="139">
        <f>'Финасирование, до'!J15</f>
        <v>0</v>
      </c>
      <c r="K9" s="139">
        <f>'Финасирование, до'!K15</f>
        <v>0</v>
      </c>
      <c r="L9" s="139">
        <f>'Финасирование, до'!L15</f>
        <v>0</v>
      </c>
      <c r="M9" s="139">
        <f>'Финасирование, до'!M15</f>
        <v>0</v>
      </c>
      <c r="N9" s="139">
        <f>'Финасирование, до'!N15</f>
        <v>0</v>
      </c>
      <c r="O9" s="139">
        <f>'Финасирование, до'!O15</f>
        <v>0</v>
      </c>
      <c r="P9" s="139">
        <f>'Финасирование, до'!P15</f>
        <v>0</v>
      </c>
      <c r="Q9" s="139">
        <f>'Финасирование, до'!Q15</f>
        <v>0</v>
      </c>
      <c r="R9" s="139">
        <f>'Финасирование, до'!R15</f>
        <v>0</v>
      </c>
      <c r="S9" s="139">
        <f>'Финасирование, до'!S15</f>
        <v>0</v>
      </c>
      <c r="T9" s="139">
        <f>'Финасирование, до'!T15</f>
        <v>0</v>
      </c>
      <c r="U9" s="139">
        <f>'Финасирование, до'!U15</f>
        <v>0</v>
      </c>
      <c r="V9" s="139">
        <f>'Финасирование, до'!V15</f>
        <v>0</v>
      </c>
      <c r="W9" s="139">
        <f>'Финасирование, до'!W15</f>
        <v>0</v>
      </c>
      <c r="X9" s="139">
        <f>'Финасирование, до'!X15</f>
        <v>0</v>
      </c>
      <c r="Y9" s="139">
        <f>'Финасирование, до'!Y15</f>
        <v>0</v>
      </c>
      <c r="Z9" s="139">
        <f>'Финасирование, до'!Z15</f>
        <v>0</v>
      </c>
      <c r="AA9" s="139">
        <f>'Финасирование, до'!AA15</f>
        <v>0</v>
      </c>
      <c r="AB9" s="139">
        <f>'Финасирование, до'!AB15</f>
        <v>0</v>
      </c>
      <c r="AC9" s="139">
        <f>'Финасирование, до'!AC15</f>
        <v>0</v>
      </c>
      <c r="AD9" s="139">
        <f>'Финасирование, до'!AD15</f>
        <v>0</v>
      </c>
      <c r="AE9" s="139">
        <f>'Финасирование, до'!AE15</f>
        <v>0</v>
      </c>
      <c r="AF9" s="139">
        <f>'Финасирование, до'!AF15</f>
        <v>0</v>
      </c>
      <c r="AG9" s="139">
        <f>'Финасирование, до'!AG15</f>
        <v>0</v>
      </c>
      <c r="AH9" s="139">
        <f>'Финасирование, до'!AH15</f>
        <v>0</v>
      </c>
      <c r="AI9" s="139">
        <f>'Финасирование, до'!AI15</f>
        <v>0</v>
      </c>
      <c r="AJ9" s="139">
        <f>'Финасирование, до'!AJ15</f>
        <v>0</v>
      </c>
      <c r="AK9" s="139">
        <f>'Финасирование, до'!AK15</f>
        <v>0</v>
      </c>
      <c r="AL9" s="139">
        <f>'Финасирование, до'!AL15</f>
        <v>0</v>
      </c>
      <c r="AM9" s="139">
        <f>'Финасирование, до'!AM15</f>
        <v>0</v>
      </c>
      <c r="AN9" s="139">
        <f>'Финасирование, до'!AN15</f>
        <v>0</v>
      </c>
      <c r="AO9" s="139">
        <f>'Финасирование, до'!AO15</f>
        <v>0</v>
      </c>
      <c r="AP9" s="139">
        <f>'Финасирование, до'!AP15</f>
        <v>0</v>
      </c>
      <c r="AQ9" s="139">
        <f>'Финасирование, до'!AQ15</f>
        <v>0</v>
      </c>
      <c r="AR9" s="139">
        <f>'Финасирование, до'!AR15</f>
        <v>0</v>
      </c>
      <c r="AS9" s="139">
        <f>'Финасирование, до'!AS15</f>
        <v>0</v>
      </c>
      <c r="AT9" s="139">
        <f>'Финасирование, до'!AT15</f>
        <v>0</v>
      </c>
      <c r="AU9" s="139">
        <f>'Финасирование, до'!AU15</f>
        <v>0</v>
      </c>
      <c r="AV9" s="139">
        <f>'Финасирование, до'!AV15</f>
        <v>0</v>
      </c>
      <c r="AW9" s="139">
        <f>'Финасирование, до'!AW15</f>
        <v>0</v>
      </c>
      <c r="AX9" s="139">
        <f>'Финасирование, до'!AX15</f>
        <v>0</v>
      </c>
      <c r="AY9" s="139">
        <f>'Финасирование, до'!AY15</f>
        <v>0</v>
      </c>
      <c r="AZ9" s="139">
        <f>'Финасирование, до'!AZ15</f>
        <v>0</v>
      </c>
      <c r="BA9" s="139">
        <f>'Финасирование, до'!BA15</f>
        <v>0</v>
      </c>
      <c r="BB9" s="139">
        <f>'Финасирование, до'!BB15</f>
        <v>0</v>
      </c>
      <c r="BC9" s="139">
        <f>'Финасирование, до'!BC15</f>
        <v>0</v>
      </c>
      <c r="BD9" s="139">
        <f>'Финасирование, до'!BD15</f>
        <v>0</v>
      </c>
      <c r="BE9" s="139">
        <f>'Финасирование, до'!BE15</f>
        <v>0</v>
      </c>
      <c r="BF9" s="139">
        <f>'Финасирование, до'!BF15</f>
        <v>0</v>
      </c>
      <c r="BG9" s="139">
        <f>'Финасирование, до'!BG15</f>
        <v>0</v>
      </c>
      <c r="BH9" s="139">
        <f>'Финасирование, до'!BH15</f>
        <v>0</v>
      </c>
      <c r="BI9" s="139">
        <f>'Финасирование, до'!BI15</f>
        <v>0</v>
      </c>
      <c r="BJ9" s="139">
        <f>'Финасирование, до'!BJ15</f>
        <v>0</v>
      </c>
      <c r="BK9" s="139">
        <f>'Финасирование, до'!BK15</f>
        <v>0</v>
      </c>
      <c r="BL9" s="139">
        <f>'Финасирование, до'!BL15</f>
        <v>0</v>
      </c>
      <c r="BM9" s="139">
        <f>'Финасирование, до'!BM15</f>
        <v>0</v>
      </c>
      <c r="BN9" s="139">
        <f>'Финасирование, до'!BN15</f>
        <v>0</v>
      </c>
      <c r="BO9" s="139">
        <f>'Финасирование, до'!BO15</f>
        <v>0</v>
      </c>
      <c r="BP9" s="139">
        <f>'Финасирование, до'!BP15</f>
        <v>0</v>
      </c>
      <c r="BQ9" s="139">
        <f>'Финасирование, до'!BQ15</f>
        <v>0</v>
      </c>
      <c r="BR9" s="139">
        <f>'Финасирование, до'!BR15</f>
        <v>0</v>
      </c>
      <c r="BS9" s="139">
        <f>'Финасирование, до'!BS15</f>
        <v>0</v>
      </c>
      <c r="BT9" s="139">
        <f>'Финасирование, до'!BT15</f>
        <v>0</v>
      </c>
      <c r="BU9" s="139">
        <f>'Финасирование, до'!BU15</f>
        <v>0</v>
      </c>
      <c r="BV9" s="139">
        <f>'Финасирование, до'!BV15</f>
        <v>0</v>
      </c>
      <c r="BW9" s="139">
        <f>'Финасирование, до'!BW15</f>
        <v>0</v>
      </c>
      <c r="BX9" s="139">
        <f>'Финасирование, до'!BX15</f>
        <v>0</v>
      </c>
      <c r="BY9" s="139">
        <f>'Финасирование, до'!BY15</f>
        <v>0</v>
      </c>
      <c r="BZ9" s="139">
        <f>'Финасирование, до'!BZ15</f>
        <v>0</v>
      </c>
      <c r="CA9" s="139">
        <f>'Финасирование, до'!CA15</f>
        <v>0</v>
      </c>
      <c r="CB9" s="139">
        <f>'Финасирование, до'!CB15</f>
        <v>0</v>
      </c>
      <c r="CC9" s="139">
        <f>'Финасирование, до'!CC15</f>
        <v>0</v>
      </c>
      <c r="CD9" s="139">
        <f>'Финасирование, до'!CD15</f>
        <v>0</v>
      </c>
      <c r="CE9" s="139">
        <f>'Финасирование, до'!CE15</f>
        <v>0</v>
      </c>
      <c r="CF9" s="139">
        <f>'Финасирование, до'!CF15</f>
        <v>0</v>
      </c>
      <c r="CG9" s="139">
        <f>'Финасирование, до'!CG15</f>
        <v>0</v>
      </c>
      <c r="CH9" s="139">
        <f>'Финасирование, до'!CH15</f>
        <v>0</v>
      </c>
      <c r="CI9" s="139">
        <f>'Финасирование, до'!CI15</f>
        <v>0</v>
      </c>
      <c r="CJ9" s="139">
        <f>'Финасирование, до'!CJ15</f>
        <v>0</v>
      </c>
      <c r="CK9" s="139">
        <f>'Финасирование, до'!CK15</f>
        <v>0</v>
      </c>
      <c r="CL9" s="139">
        <f>'Финасирование, до'!CL15</f>
        <v>0</v>
      </c>
      <c r="CM9" s="139">
        <f>'Финасирование, до'!CM15</f>
        <v>0</v>
      </c>
      <c r="CN9" s="139">
        <f>'Финасирование, до'!CN15</f>
        <v>0</v>
      </c>
      <c r="CO9" s="139">
        <f>'Финасирование, до'!CO15</f>
        <v>0</v>
      </c>
      <c r="CP9" s="139">
        <f>'Финасирование, до'!CP15</f>
        <v>0</v>
      </c>
      <c r="CQ9" s="139">
        <f>'Финасирование, до'!CQ15</f>
        <v>0</v>
      </c>
      <c r="CR9" s="139">
        <f>'Финасирование, до'!CR15</f>
        <v>0</v>
      </c>
      <c r="CS9" s="139">
        <f>'Финасирование, до'!CS15</f>
        <v>0</v>
      </c>
      <c r="CT9" s="139">
        <f>'Финасирование, до'!CT15</f>
        <v>0</v>
      </c>
      <c r="CU9" s="139">
        <f>'Финасирование, до'!CU15</f>
        <v>0</v>
      </c>
      <c r="CV9" s="139">
        <f>'Финасирование, до'!CV15</f>
        <v>0</v>
      </c>
      <c r="CW9" s="139">
        <f>'Финасирование, до'!CW15</f>
        <v>0</v>
      </c>
      <c r="CX9" s="139">
        <f>'Финасирование, до'!CX15</f>
        <v>0</v>
      </c>
      <c r="CY9" s="139">
        <f>'Финасирование, до'!CY15</f>
        <v>0</v>
      </c>
      <c r="CZ9" s="139">
        <f>'Финасирование, до'!CZ15</f>
        <v>0</v>
      </c>
      <c r="DA9" s="139">
        <f>'Финасирование, до'!DA15</f>
        <v>0</v>
      </c>
      <c r="DB9" s="139">
        <f>'Финасирование, до'!DB15</f>
        <v>0</v>
      </c>
      <c r="DC9" s="139">
        <f>'Финасирование, до'!DC15</f>
        <v>0</v>
      </c>
      <c r="DD9" s="139">
        <f>'Финасирование, до'!DD15</f>
        <v>0</v>
      </c>
      <c r="DE9" s="139">
        <f>'Финасирование, до'!DE15</f>
        <v>0</v>
      </c>
      <c r="DF9" s="139">
        <f>'Финасирование, до'!DF15</f>
        <v>0</v>
      </c>
      <c r="DG9" s="139">
        <f>'Финасирование, до'!DG15</f>
        <v>0</v>
      </c>
      <c r="DH9" s="139">
        <f>'Финасирование, до'!DH15</f>
        <v>0</v>
      </c>
      <c r="DI9" s="139">
        <f>'Финасирование, до'!DI15</f>
        <v>0</v>
      </c>
      <c r="DJ9" s="139">
        <f>'Финасирование, до'!DJ15</f>
        <v>0</v>
      </c>
      <c r="DK9" s="139">
        <f>'Финасирование, до'!DK15</f>
        <v>0</v>
      </c>
      <c r="DL9" s="139">
        <f>'Финасирование, до'!DL15</f>
        <v>0</v>
      </c>
      <c r="DM9" s="139">
        <f>'Финасирование, до'!DM15</f>
        <v>0</v>
      </c>
      <c r="DN9" s="139">
        <f>'Финасирование, до'!DN15</f>
        <v>0</v>
      </c>
      <c r="DO9" s="139">
        <f>'Финасирование, до'!DO15</f>
        <v>0</v>
      </c>
      <c r="DP9" s="139">
        <f>'Финасирование, до'!DP15</f>
        <v>0</v>
      </c>
      <c r="DQ9" s="139">
        <f>'Финасирование, до'!DQ15</f>
        <v>0</v>
      </c>
      <c r="DR9" s="139">
        <f>'Финасирование, до'!DR15</f>
        <v>0</v>
      </c>
      <c r="DS9" s="139">
        <f>'Финасирование, до'!DS15</f>
        <v>0</v>
      </c>
      <c r="DT9" s="139">
        <f>'Финасирование, до'!DT15</f>
        <v>0</v>
      </c>
      <c r="DU9" s="139">
        <f>'Финасирование, до'!DU15</f>
        <v>0</v>
      </c>
      <c r="DV9" s="139">
        <f>'Финасирование, до'!DV15</f>
        <v>0</v>
      </c>
      <c r="DW9" s="139">
        <f>'Финасирование, до'!DW15</f>
        <v>0</v>
      </c>
    </row>
    <row r="10" spans="2:127">
      <c r="B10" s="45" t="s">
        <v>186</v>
      </c>
      <c r="C10" s="45"/>
      <c r="D10" s="45"/>
      <c r="E10" s="45"/>
      <c r="F10" s="4" t="s">
        <v>35</v>
      </c>
      <c r="G10" s="136">
        <f>SUM(H10:DW10)</f>
        <v>51613589954967.203</v>
      </c>
      <c r="H10" s="140">
        <f>'Финасирование, до'!H33</f>
        <v>51632780200.9683</v>
      </c>
      <c r="I10" s="140">
        <f>'Финасирование, до'!I33</f>
        <v>53164066096.479599</v>
      </c>
      <c r="J10" s="140">
        <f>'Финасирование, до'!J33</f>
        <v>54736511160.932144</v>
      </c>
      <c r="K10" s="140">
        <f>'Финасирование, до'!K33</f>
        <v>56351284940.670074</v>
      </c>
      <c r="L10" s="140">
        <f>'Финасирование, до'!L33</f>
        <v>58009591293.494827</v>
      </c>
      <c r="M10" s="140">
        <f>'Финасирование, до'!M33</f>
        <v>59712669420.639961</v>
      </c>
      <c r="N10" s="140">
        <f>'Финасирование, до'!N33</f>
        <v>61461794930.331673</v>
      </c>
      <c r="O10" s="140">
        <f>'Финасирование, до'!O33</f>
        <v>63258280933.912811</v>
      </c>
      <c r="P10" s="140">
        <f>'Финасирование, до'!P33</f>
        <v>65103479175.539948</v>
      </c>
      <c r="Q10" s="140">
        <f>'Финасирование, до'!Q33</f>
        <v>66998781196.493057</v>
      </c>
      <c r="R10" s="140">
        <f>'Финасирование, до'!R33</f>
        <v>68945619535.171234</v>
      </c>
      <c r="S10" s="140">
        <f>'Финасирование, до'!S33</f>
        <v>70945468963.880875</v>
      </c>
      <c r="T10" s="140">
        <f>'Финасирование, до'!T33</f>
        <v>71861124808.985413</v>
      </c>
      <c r="U10" s="140">
        <f>'Финасирование, до'!U33</f>
        <v>73967805949.668121</v>
      </c>
      <c r="V10" s="140">
        <f>'Финасирование, до'!V33</f>
        <v>76132119968.24054</v>
      </c>
      <c r="W10" s="140">
        <f>'Финасирование, до'!W33</f>
        <v>78355722363.52594</v>
      </c>
      <c r="X10" s="140">
        <f>'Финасирование, до'!X33</f>
        <v>80640317617.48053</v>
      </c>
      <c r="Y10" s="140">
        <f>'Финасирование, до'!Y33</f>
        <v>82987660677.397644</v>
      </c>
      <c r="Z10" s="140">
        <f>'Финасирование, до'!Z33</f>
        <v>85399558483.667786</v>
      </c>
      <c r="AA10" s="140">
        <f>'Финасирование, до'!AA33</f>
        <v>87877871544.508316</v>
      </c>
      <c r="AB10" s="140">
        <f>'Финасирование, до'!AB33</f>
        <v>90424515559.123459</v>
      </c>
      <c r="AC10" s="140">
        <f>'Финасирование, до'!AC33</f>
        <v>93041463090.798096</v>
      </c>
      <c r="AD10" s="140">
        <f>'Финасирование, до'!AD33</f>
        <v>95730745291.478531</v>
      </c>
      <c r="AE10" s="140">
        <f>'Финасирование, до'!AE33</f>
        <v>98494453679.439789</v>
      </c>
      <c r="AF10" s="140">
        <f>'Финасирование, до'!AF33</f>
        <v>101334731971.6907</v>
      </c>
      <c r="AG10" s="140">
        <f>'Финасирование, до'!AG33</f>
        <v>104253817972.81882</v>
      </c>
      <c r="AH10" s="140">
        <f>'Финасирование, до'!AH33</f>
        <v>107253985522.03056</v>
      </c>
      <c r="AI10" s="140">
        <f>'Финасирование, до'!AI33</f>
        <v>110337586500.19742</v>
      </c>
      <c r="AJ10" s="140">
        <f>'Финасирование, до'!AJ33</f>
        <v>113507042898.77515</v>
      </c>
      <c r="AK10" s="140">
        <f>'Финасирование, до'!AK33</f>
        <v>116764848952.52206</v>
      </c>
      <c r="AL10" s="140">
        <f>'Финасирование, до'!AL33</f>
        <v>120113573338.00188</v>
      </c>
      <c r="AM10" s="140">
        <f>'Финасирование, до'!AM33</f>
        <v>123555861439.91936</v>
      </c>
      <c r="AN10" s="140">
        <f>'Финасирование, до'!AN33</f>
        <v>127094437687.40192</v>
      </c>
      <c r="AO10" s="140">
        <f>'Финасирование, до'!AO33</f>
        <v>130732107962.40465</v>
      </c>
      <c r="AP10" s="140">
        <f>'Финасирование, до'!AP33</f>
        <v>134471762082.48624</v>
      </c>
      <c r="AQ10" s="140">
        <f>'Финасирование, до'!AQ33</f>
        <v>138316376360.27267</v>
      </c>
      <c r="AR10" s="140">
        <f>'Финасирование, до'!AR33</f>
        <v>142269006241.99921</v>
      </c>
      <c r="AS10" s="140">
        <f>'Финасирование, до'!AS33</f>
        <v>146332829027.59412</v>
      </c>
      <c r="AT10" s="140">
        <f>'Финасирование, до'!AT33</f>
        <v>150511086674.84772</v>
      </c>
      <c r="AU10" s="140">
        <f>'Финасирование, до'!AU33</f>
        <v>154807128690.28711</v>
      </c>
      <c r="AV10" s="140">
        <f>'Финасирование, до'!AV33</f>
        <v>159224405109.46161</v>
      </c>
      <c r="AW10" s="140">
        <f>'Финасирование, до'!AW33</f>
        <v>163766469569.42657</v>
      </c>
      <c r="AX10" s="140">
        <f>'Финасирование, до'!AX33</f>
        <v>168436982476.30289</v>
      </c>
      <c r="AY10" s="140">
        <f>'Финасирование, до'!AY33</f>
        <v>173239714270.87756</v>
      </c>
      <c r="AZ10" s="140">
        <f>'Финасирование, до'!AZ33</f>
        <v>178178548795.3053</v>
      </c>
      <c r="BA10" s="140">
        <f>'Финасирование, до'!BA33</f>
        <v>183257486764.06677</v>
      </c>
      <c r="BB10" s="140">
        <f>'Финасирование, до'!BB33</f>
        <v>188480649342.43738</v>
      </c>
      <c r="BC10" s="140">
        <f>'Финасирование, до'!BC33</f>
        <v>193852281835.82358</v>
      </c>
      <c r="BD10" s="140">
        <f>'Финасирование, до'!BD33</f>
        <v>199376747493.42834</v>
      </c>
      <c r="BE10" s="140">
        <f>'Финасирование, до'!BE33</f>
        <v>205058571429.81683</v>
      </c>
      <c r="BF10" s="140">
        <f>'Финасирование, до'!BF33</f>
        <v>210902384668.06433</v>
      </c>
      <c r="BG10" s="140">
        <f>'Финасирование, до'!BG33</f>
        <v>216912968308.28461</v>
      </c>
      <c r="BH10" s="140">
        <f>'Финасирование, до'!BH33</f>
        <v>223095247825.45746</v>
      </c>
      <c r="BI10" s="140">
        <f>'Финасирование, до'!BI33</f>
        <v>229454297500.59381</v>
      </c>
      <c r="BJ10" s="140">
        <f>'Финасирование, до'!BJ33</f>
        <v>235995344989.40787</v>
      </c>
      <c r="BK10" s="140">
        <f>'Финасирование, до'!BK33</f>
        <v>242723776032.79297</v>
      </c>
      <c r="BL10" s="140">
        <f>'Финасирование, до'!BL33</f>
        <v>249645139313.53568</v>
      </c>
      <c r="BM10" s="140">
        <f>'Финасирование, до'!BM33</f>
        <v>256765151463.83923</v>
      </c>
      <c r="BN10" s="140">
        <f>'Финасирование, до'!BN33</f>
        <v>264089702228.3736</v>
      </c>
      <c r="BO10" s="140">
        <f>'Финасирование, до'!BO33</f>
        <v>271624859787.71664</v>
      </c>
      <c r="BP10" s="140">
        <f>'Финасирование, до'!BP33</f>
        <v>279376866247.20166</v>
      </c>
      <c r="BQ10" s="140">
        <f>'Финасирование, до'!BQ33</f>
        <v>287352183296.34851</v>
      </c>
      <c r="BR10" s="140">
        <f>'Финасирование, до'!BR33</f>
        <v>295557438044.21387</v>
      </c>
      <c r="BS10" s="140">
        <f>'Финасирование, до'!BS33</f>
        <v>303999469036.16669</v>
      </c>
      <c r="BT10" s="140">
        <f>'Финасирование, до'!BT33</f>
        <v>312685322457.76721</v>
      </c>
      <c r="BU10" s="140">
        <f>'Финасирование, до'!BU33</f>
        <v>321622258531.60474</v>
      </c>
      <c r="BV10" s="140">
        <f>'Финасирование, до'!BV33</f>
        <v>330817758113.13684</v>
      </c>
      <c r="BW10" s="140">
        <f>'Финасирование, до'!BW33</f>
        <v>340279529491.75964</v>
      </c>
      <c r="BX10" s="140">
        <f>'Финасирование, до'!BX33</f>
        <v>350015515403.53503</v>
      </c>
      <c r="BY10" s="140">
        <f>'Финасирование, до'!BY33</f>
        <v>360033900262.20557</v>
      </c>
      <c r="BZ10" s="140">
        <f>'Финасирование, до'!BZ33</f>
        <v>370343117615.33142</v>
      </c>
      <c r="CA10" s="140">
        <f>'Финасирование, до'!CA33</f>
        <v>380951857832.60413</v>
      </c>
      <c r="CB10" s="140">
        <f>'Финасирование, до'!CB33</f>
        <v>391869066033.60907</v>
      </c>
      <c r="CC10" s="140">
        <f>'Финасирование, до'!CC33</f>
        <v>403103990262.53967</v>
      </c>
      <c r="CD10" s="140">
        <f>'Финасирование, до'!CD33</f>
        <v>414666129917.6037</v>
      </c>
      <c r="CE10" s="140">
        <f>'Финасирование, до'!CE33</f>
        <v>426565284443.10107</v>
      </c>
      <c r="CF10" s="140">
        <f>'Финасирование, до'!CF33</f>
        <v>438811552292.40881</v>
      </c>
      <c r="CG10" s="140">
        <f>'Финасирование, до'!CG33</f>
        <v>451415340170.36401</v>
      </c>
      <c r="CH10" s="140">
        <f>'Финасирование, до'!CH33</f>
        <v>464387372563.80481</v>
      </c>
      <c r="CI10" s="140">
        <f>'Финасирование, до'!CI33</f>
        <v>477738701569.30414</v>
      </c>
      <c r="CJ10" s="140">
        <f>'Финасирование, до'!CJ33</f>
        <v>491480717027.41748</v>
      </c>
      <c r="CK10" s="140">
        <f>'Финасирование, до'!CK33</f>
        <v>505625156973.05365</v>
      </c>
      <c r="CL10" s="140">
        <f>'Финасирование, до'!CL33</f>
        <v>520184118411.88953</v>
      </c>
      <c r="CM10" s="140">
        <f>'Финасирование, до'!CM33</f>
        <v>535170068433.04883</v>
      </c>
      <c r="CN10" s="140">
        <f>'Финасирование, до'!CN33</f>
        <v>550595845668.60315</v>
      </c>
      <c r="CO10" s="140">
        <f>'Финасирование, до'!CO33</f>
        <v>566474712110.76819</v>
      </c>
      <c r="CP10" s="140">
        <f>'Финасирование, до'!CP33</f>
        <v>582820305298.02588</v>
      </c>
      <c r="CQ10" s="140">
        <f>'Финасирование, до'!CQ33</f>
        <v>599646690881.74512</v>
      </c>
      <c r="CR10" s="140">
        <f>'Финасирование, до'!CR33</f>
        <v>616968365585.24878</v>
      </c>
      <c r="CS10" s="140">
        <f>'Финасирование, до'!CS33</f>
        <v>634800270567.6355</v>
      </c>
      <c r="CT10" s="140">
        <f>'Финасирование, до'!CT33</f>
        <v>653157805205.07593</v>
      </c>
      <c r="CU10" s="140">
        <f>'Финасирование, до'!CU33</f>
        <v>672056841302.67529</v>
      </c>
      <c r="CV10" s="140">
        <f>'Финасирование, до'!CV33</f>
        <v>691513737750.43286</v>
      </c>
      <c r="CW10" s="140">
        <f>'Финасирование, до'!CW33</f>
        <v>711545355637.23486</v>
      </c>
      <c r="CX10" s="140">
        <f>'Финасирование, до'!CX33</f>
        <v>732169073837.27026</v>
      </c>
      <c r="CY10" s="140">
        <f>'Финасирование, до'!CY33</f>
        <v>753402805083.70398</v>
      </c>
      <c r="CZ10" s="140">
        <f>'Финасирование, до'!CZ33</f>
        <v>775265002544.9126</v>
      </c>
      <c r="DA10" s="140">
        <f>'Финасирование, до'!DA33</f>
        <v>797774716919.06848</v>
      </c>
      <c r="DB10" s="140">
        <f>'Финасирование, до'!DB33</f>
        <v>820951554063.35938</v>
      </c>
      <c r="DC10" s="140">
        <f>'Финасирование, до'!DC33</f>
        <v>844815733174.63745</v>
      </c>
      <c r="DD10" s="140">
        <f>'Финасирование, до'!DD33</f>
        <v>869388095538.82483</v>
      </c>
      <c r="DE10" s="140">
        <f>'Финасирование, до'!DE33</f>
        <v>894690123866.95142</v>
      </c>
      <c r="DF10" s="140">
        <f>'Финасирование, до'!DF33</f>
        <v>920743962236.25562</v>
      </c>
      <c r="DG10" s="140">
        <f>'Финасирование, до'!DG33</f>
        <v>947572436655.37036</v>
      </c>
      <c r="DH10" s="140">
        <f>'Финасирование, до'!DH33</f>
        <v>975199076273.20532</v>
      </c>
      <c r="DI10" s="140">
        <f>'Финасирование, до'!DI33</f>
        <v>1003648135251.762</v>
      </c>
      <c r="DJ10" s="140">
        <f>'Финасирование, до'!DJ33</f>
        <v>1032944615323.7606</v>
      </c>
      <c r="DK10" s="140">
        <f>'Финасирование, до'!DK33</f>
        <v>1063114289056.5928</v>
      </c>
      <c r="DL10" s="140">
        <f>'Финасирование, до'!DL33</f>
        <v>1094183713844.8281</v>
      </c>
      <c r="DM10" s="140">
        <f>'Финасирование, до'!DM33</f>
        <v>1126180296654.1704</v>
      </c>
      <c r="DN10" s="140">
        <f>'Финасирование, до'!DN33</f>
        <v>1159132259540.5</v>
      </c>
      <c r="DO10" s="140">
        <f>'Финасирование, до'!DO33</f>
        <v>1193068705968.3813</v>
      </c>
      <c r="DP10" s="140">
        <f>'Финасирование, до'!DP33</f>
        <v>1228019637954.1743</v>
      </c>
      <c r="DQ10" s="140">
        <f>'Финасирование, до'!DQ33</f>
        <v>1264015984059.6934</v>
      </c>
      <c r="DR10" s="140">
        <f>'Финасирование, до'!DR33</f>
        <v>1301089628263.1714</v>
      </c>
      <c r="DS10" s="140">
        <f>'Финасирование, до'!DS33</f>
        <v>1339273439735.1187</v>
      </c>
      <c r="DT10" s="140">
        <f>'Финасирование, до'!DT33</f>
        <v>1378601303547.5615</v>
      </c>
      <c r="DU10" s="140">
        <f>'Финасирование, до'!DU33</f>
        <v>1419108152346.0173</v>
      </c>
      <c r="DV10" s="140">
        <f>'Финасирование, до'!DV33</f>
        <v>1460829999014.5049</v>
      </c>
      <c r="DW10" s="140">
        <f>'Финасирование, до'!DW33</f>
        <v>1503803970364.8447</v>
      </c>
    </row>
    <row r="11" spans="2:127">
      <c r="B11" s="45" t="s">
        <v>192</v>
      </c>
      <c r="C11" s="45"/>
      <c r="D11" s="45"/>
      <c r="E11" s="45"/>
      <c r="F11" s="4" t="s">
        <v>35</v>
      </c>
      <c r="G11" s="136">
        <f>SUM(H11:DW11)</f>
        <v>35365602084521.492</v>
      </c>
      <c r="H11" s="140">
        <f>'Финасирование, до'!H45</f>
        <v>0</v>
      </c>
      <c r="I11" s="140">
        <f>'Финасирование, до'!I45</f>
        <v>0</v>
      </c>
      <c r="J11" s="140">
        <f>'Финасирование, до'!J45</f>
        <v>0</v>
      </c>
      <c r="K11" s="140">
        <f>'Финасирование, до'!K45</f>
        <v>0</v>
      </c>
      <c r="L11" s="140">
        <f>'Финасирование, до'!L45</f>
        <v>0</v>
      </c>
      <c r="M11" s="140">
        <f>'Финасирование, до'!M45</f>
        <v>0</v>
      </c>
      <c r="N11" s="140">
        <f>'Финасирование, до'!N45</f>
        <v>0</v>
      </c>
      <c r="O11" s="140">
        <f>'Финасирование, до'!O45</f>
        <v>0</v>
      </c>
      <c r="P11" s="140">
        <f>'Финасирование, до'!P45</f>
        <v>0</v>
      </c>
      <c r="Q11" s="140">
        <f>'Финасирование, до'!Q45</f>
        <v>0</v>
      </c>
      <c r="R11" s="140">
        <f>'Финасирование, до'!R45</f>
        <v>0</v>
      </c>
      <c r="S11" s="140">
        <f>'Финасирование, до'!S45</f>
        <v>0</v>
      </c>
      <c r="T11" s="140">
        <f>'Финасирование, до'!T45</f>
        <v>0</v>
      </c>
      <c r="U11" s="140">
        <f>'Финасирование, до'!U45</f>
        <v>0</v>
      </c>
      <c r="V11" s="140">
        <f>'Финасирование, до'!V45</f>
        <v>0</v>
      </c>
      <c r="W11" s="140">
        <f>'Финасирование, до'!W45</f>
        <v>0</v>
      </c>
      <c r="X11" s="140">
        <f>'Финасирование, до'!X45</f>
        <v>0</v>
      </c>
      <c r="Y11" s="140">
        <f>'Финасирование, до'!Y45</f>
        <v>0</v>
      </c>
      <c r="Z11" s="140">
        <f>'Финасирование, до'!Z45</f>
        <v>0</v>
      </c>
      <c r="AA11" s="140">
        <f>'Финасирование, до'!AA45</f>
        <v>0</v>
      </c>
      <c r="AB11" s="140">
        <f>'Финасирование, до'!AB45</f>
        <v>0</v>
      </c>
      <c r="AC11" s="140">
        <f>'Финасирование, до'!AC45</f>
        <v>0</v>
      </c>
      <c r="AD11" s="140">
        <f>'Финасирование, до'!AD45</f>
        <v>0</v>
      </c>
      <c r="AE11" s="140">
        <f>'Финасирование, до'!AE45</f>
        <v>199829185651.13049</v>
      </c>
      <c r="AF11" s="140">
        <f>'Финасирование, до'!AF45</f>
        <v>205588549944.50952</v>
      </c>
      <c r="AG11" s="140">
        <f>'Финасирование, до'!AG45</f>
        <v>211507803494.84937</v>
      </c>
      <c r="AH11" s="140">
        <f>'Финасирование, до'!AH45</f>
        <v>217591572022.22797</v>
      </c>
      <c r="AI11" s="140">
        <f>'Финасирование, до'!AI45</f>
        <v>223844629398.97256</v>
      </c>
      <c r="AJ11" s="140">
        <f>'Финасирование, до'!AJ45</f>
        <v>230271891851.29721</v>
      </c>
      <c r="AK11" s="140">
        <f>'Финасирование, до'!AK45</f>
        <v>236878422290.52393</v>
      </c>
      <c r="AL11" s="140">
        <f>'Финасирование, до'!AL45</f>
        <v>243669434777.92123</v>
      </c>
      <c r="AM11" s="140">
        <f>'Финасирование, до'!AM45</f>
        <v>250650299127.32129</v>
      </c>
      <c r="AN11" s="140">
        <f>'Финасирование, до'!AN45</f>
        <v>257826545649.80658</v>
      </c>
      <c r="AO11" s="140">
        <f>'Финасирование, до'!AO45</f>
        <v>265203870044.89087</v>
      </c>
      <c r="AP11" s="140">
        <f>'Финасирование, до'!AP45</f>
        <v>272788138442.75891</v>
      </c>
      <c r="AQ11" s="140">
        <f>'Финасирование, до'!AQ45</f>
        <v>280585382602.27185</v>
      </c>
      <c r="AR11" s="140">
        <f>'Финасирование, до'!AR45</f>
        <v>0</v>
      </c>
      <c r="AS11" s="140">
        <f>'Финасирование, до'!AS45</f>
        <v>0</v>
      </c>
      <c r="AT11" s="140">
        <f>'Финасирование, до'!AT45</f>
        <v>0</v>
      </c>
      <c r="AU11" s="140">
        <f>'Финасирование, до'!AU45</f>
        <v>0</v>
      </c>
      <c r="AV11" s="140">
        <f>'Финасирование, до'!AV45</f>
        <v>0</v>
      </c>
      <c r="AW11" s="140">
        <f>'Финасирование, до'!AW45</f>
        <v>0</v>
      </c>
      <c r="AX11" s="140">
        <f>'Финасирование, до'!AX45</f>
        <v>0</v>
      </c>
      <c r="AY11" s="140">
        <f>'Финасирование, до'!AY45</f>
        <v>0</v>
      </c>
      <c r="AZ11" s="140">
        <f>'Финасирование, до'!AZ45</f>
        <v>0</v>
      </c>
      <c r="BA11" s="140">
        <f>'Финасирование, до'!BA45</f>
        <v>0</v>
      </c>
      <c r="BB11" s="140">
        <f>'Финасирование, до'!BB45</f>
        <v>0</v>
      </c>
      <c r="BC11" s="140">
        <f>'Финасирование, до'!BC45</f>
        <v>0</v>
      </c>
      <c r="BD11" s="140">
        <f>'Финасирование, до'!BD45</f>
        <v>0</v>
      </c>
      <c r="BE11" s="140">
        <f>'Финасирование, до'!BE45</f>
        <v>0</v>
      </c>
      <c r="BF11" s="140">
        <f>'Финасирование, до'!BF45</f>
        <v>0</v>
      </c>
      <c r="BG11" s="140">
        <f>'Финасирование, до'!BG45</f>
        <v>0</v>
      </c>
      <c r="BH11" s="140">
        <f>'Финасирование, до'!BH45</f>
        <v>0</v>
      </c>
      <c r="BI11" s="140">
        <f>'Финасирование, до'!BI45</f>
        <v>0</v>
      </c>
      <c r="BJ11" s="140">
        <f>'Финасирование, до'!BJ45</f>
        <v>0</v>
      </c>
      <c r="BK11" s="140">
        <f>'Финасирование, до'!BK45</f>
        <v>0</v>
      </c>
      <c r="BL11" s="140">
        <f>'Финасирование, до'!BL45</f>
        <v>0</v>
      </c>
      <c r="BM11" s="140">
        <f>'Финасирование, до'!BM45</f>
        <v>0</v>
      </c>
      <c r="BN11" s="140">
        <f>'Финасирование, до'!BN45</f>
        <v>0</v>
      </c>
      <c r="BO11" s="140">
        <f>'Финасирование, до'!BO45</f>
        <v>551001726034.91833</v>
      </c>
      <c r="BP11" s="140">
        <f>'Финасирование, до'!BP45</f>
        <v>566729049543.55017</v>
      </c>
      <c r="BQ11" s="140">
        <f>'Финасирование, до'!BQ45</f>
        <v>582909621340.56238</v>
      </c>
      <c r="BR11" s="140">
        <f>'Финасирование, до'!BR45</f>
        <v>599556907080.38062</v>
      </c>
      <c r="BS11" s="140">
        <f>'Финасирование, до'!BS45</f>
        <v>616684791493.93384</v>
      </c>
      <c r="BT11" s="140">
        <f>'Финасирование, до'!BT45</f>
        <v>634307580989.37195</v>
      </c>
      <c r="BU11" s="140">
        <f>'Финасирование, до'!BU45</f>
        <v>652440016644.74158</v>
      </c>
      <c r="BV11" s="140">
        <f>'Финасирование, до'!BV45</f>
        <v>671097287604.89648</v>
      </c>
      <c r="BW11" s="140">
        <f>'Финасирование, до'!BW45</f>
        <v>690295044895.29468</v>
      </c>
      <c r="BX11" s="140">
        <f>'Финасирование, до'!BX45</f>
        <v>710049415665.7406</v>
      </c>
      <c r="BY11" s="140">
        <f>'Финасирование, до'!BY45</f>
        <v>730377017877.53699</v>
      </c>
      <c r="BZ11" s="140">
        <f>'Финасирование, до'!BZ45</f>
        <v>751294975447.93555</v>
      </c>
      <c r="CA11" s="140">
        <f>'Финасирование, до'!CA45</f>
        <v>772820923866.21313</v>
      </c>
      <c r="CB11" s="140">
        <f>'Финасирование, до'!CB45</f>
        <v>0</v>
      </c>
      <c r="CC11" s="140">
        <f>'Финасирование, до'!CC45</f>
        <v>0</v>
      </c>
      <c r="CD11" s="140">
        <f>'Финасирование, до'!CD45</f>
        <v>0</v>
      </c>
      <c r="CE11" s="140">
        <f>'Финасирование, до'!CE45</f>
        <v>0</v>
      </c>
      <c r="CF11" s="140">
        <f>'Финасирование, до'!CF45</f>
        <v>0</v>
      </c>
      <c r="CG11" s="140">
        <f>'Финасирование, до'!CG45</f>
        <v>0</v>
      </c>
      <c r="CH11" s="140">
        <f>'Финасирование, до'!CH45</f>
        <v>0</v>
      </c>
      <c r="CI11" s="140">
        <f>'Финасирование, до'!CI45</f>
        <v>0</v>
      </c>
      <c r="CJ11" s="140">
        <f>'Финасирование, до'!CJ45</f>
        <v>0</v>
      </c>
      <c r="CK11" s="140">
        <f>'Финасирование, до'!CK45</f>
        <v>0</v>
      </c>
      <c r="CL11" s="140">
        <f>'Финасирование, до'!CL45</f>
        <v>0</v>
      </c>
      <c r="CM11" s="140">
        <f>'Финасирование, до'!CM45</f>
        <v>0</v>
      </c>
      <c r="CN11" s="140">
        <f>'Финасирование, до'!CN45</f>
        <v>0</v>
      </c>
      <c r="CO11" s="140">
        <f>'Финасирование, до'!CO45</f>
        <v>0</v>
      </c>
      <c r="CP11" s="140">
        <f>'Финасирование, до'!CP45</f>
        <v>0</v>
      </c>
      <c r="CQ11" s="140">
        <f>'Финасирование, до'!CQ45</f>
        <v>0</v>
      </c>
      <c r="CR11" s="140">
        <f>'Финасирование, до'!CR45</f>
        <v>0</v>
      </c>
      <c r="CS11" s="140">
        <f>'Финасирование, до'!CS45</f>
        <v>0</v>
      </c>
      <c r="CT11" s="140">
        <f>'Финасирование, до'!CT45</f>
        <v>0</v>
      </c>
      <c r="CU11" s="140">
        <f>'Финасирование, до'!CU45</f>
        <v>0</v>
      </c>
      <c r="CV11" s="140">
        <f>'Финасирование, до'!CV45</f>
        <v>0</v>
      </c>
      <c r="CW11" s="140">
        <f>'Финасирование, до'!CW45</f>
        <v>0</v>
      </c>
      <c r="CX11" s="140">
        <f>'Финасирование, до'!CX45</f>
        <v>0</v>
      </c>
      <c r="CY11" s="140">
        <f>'Финасирование, до'!CY45</f>
        <v>1528667807628.6167</v>
      </c>
      <c r="CZ11" s="140">
        <f>'Финасирование, до'!CZ45</f>
        <v>1573039719463.981</v>
      </c>
      <c r="DA11" s="140">
        <f>'Финасирование, до'!DA45</f>
        <v>1618726270982.4277</v>
      </c>
      <c r="DB11" s="140">
        <f>'Финасирование, до'!DB45</f>
        <v>1665767287237.9968</v>
      </c>
      <c r="DC11" s="140">
        <f>'Финасирование, до'!DC45</f>
        <v>1714203828713.4624</v>
      </c>
      <c r="DD11" s="140">
        <f>'Финасирование, до'!DD45</f>
        <v>1764078219405.7764</v>
      </c>
      <c r="DE11" s="140">
        <f>'Финасирование, до'!DE45</f>
        <v>1815434086103.207</v>
      </c>
      <c r="DF11" s="140">
        <f>'Финасирование, до'!DF45</f>
        <v>1868316398891.626</v>
      </c>
      <c r="DG11" s="140">
        <f>'Финасирование, до'!DG45</f>
        <v>1922771512928.5757</v>
      </c>
      <c r="DH11" s="140">
        <f>'Финасирование, до'!DH45</f>
        <v>1978847211524.9673</v>
      </c>
      <c r="DI11" s="140">
        <f>'Финасирование, до'!DI45</f>
        <v>2036592750575.5225</v>
      </c>
      <c r="DJ11" s="140">
        <f>'Финасирование, до'!DJ45</f>
        <v>2096058904380.3535</v>
      </c>
      <c r="DK11" s="140">
        <f>'Финасирование, до'!DK45</f>
        <v>2157298002901.4209</v>
      </c>
      <c r="DL11" s="140">
        <f>'Финасирование, до'!DL45</f>
        <v>0</v>
      </c>
      <c r="DM11" s="140">
        <f>'Финасирование, до'!DM45</f>
        <v>0</v>
      </c>
      <c r="DN11" s="140">
        <f>'Финасирование, до'!DN45</f>
        <v>0</v>
      </c>
      <c r="DO11" s="140">
        <f>'Финасирование, до'!DO45</f>
        <v>0</v>
      </c>
      <c r="DP11" s="140">
        <f>'Финасирование, до'!DP45</f>
        <v>0</v>
      </c>
      <c r="DQ11" s="140">
        <f>'Финасирование, до'!DQ45</f>
        <v>0</v>
      </c>
      <c r="DR11" s="140">
        <f>'Финасирование, до'!DR45</f>
        <v>0</v>
      </c>
      <c r="DS11" s="140">
        <f>'Финасирование, до'!DS45</f>
        <v>0</v>
      </c>
      <c r="DT11" s="140">
        <f>'Финасирование, до'!DT45</f>
        <v>0</v>
      </c>
      <c r="DU11" s="140">
        <f>'Финасирование, до'!DU45</f>
        <v>0</v>
      </c>
      <c r="DV11" s="140">
        <f>'Финасирование, до'!DV45</f>
        <v>0</v>
      </c>
      <c r="DW11" s="140">
        <f>'Финасирование, до'!DW45</f>
        <v>0</v>
      </c>
    </row>
    <row r="12" spans="2:127">
      <c r="B12" s="3"/>
      <c r="C12" s="3"/>
      <c r="D12" s="3"/>
      <c r="E12" s="3"/>
      <c r="F12" s="3"/>
      <c r="G12" s="3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4"/>
      <c r="AT12" s="134"/>
      <c r="AU12" s="134"/>
      <c r="AV12" s="134"/>
      <c r="AW12" s="134"/>
      <c r="AX12" s="134"/>
      <c r="AY12" s="134"/>
      <c r="AZ12" s="134"/>
      <c r="BA12" s="134"/>
      <c r="BB12" s="134"/>
      <c r="BC12" s="134"/>
      <c r="BD12" s="134"/>
      <c r="BE12" s="134"/>
      <c r="BF12" s="134"/>
      <c r="BG12" s="134"/>
      <c r="BH12" s="134"/>
      <c r="BI12" s="134"/>
      <c r="BJ12" s="134"/>
      <c r="BK12" s="134"/>
      <c r="BL12" s="134"/>
      <c r="BM12" s="134"/>
      <c r="BN12" s="134"/>
      <c r="BO12" s="134"/>
      <c r="BP12" s="134"/>
      <c r="BQ12" s="134"/>
      <c r="BR12" s="134"/>
      <c r="BS12" s="134"/>
      <c r="BT12" s="134"/>
      <c r="BU12" s="134"/>
      <c r="BV12" s="134"/>
      <c r="BW12" s="134"/>
      <c r="BX12" s="134"/>
      <c r="BY12" s="134"/>
      <c r="BZ12" s="134"/>
      <c r="CA12" s="134"/>
      <c r="CB12" s="134"/>
      <c r="CC12" s="134"/>
      <c r="CD12" s="134"/>
      <c r="CE12" s="134"/>
      <c r="CF12" s="134"/>
      <c r="CG12" s="134"/>
      <c r="CH12" s="134"/>
      <c r="CI12" s="134"/>
      <c r="CJ12" s="134"/>
      <c r="CK12" s="134"/>
      <c r="CL12" s="134"/>
      <c r="CM12" s="134"/>
      <c r="CN12" s="134"/>
      <c r="CO12" s="134"/>
      <c r="CP12" s="134"/>
      <c r="CQ12" s="134"/>
      <c r="CR12" s="134"/>
      <c r="CS12" s="134"/>
      <c r="CT12" s="134"/>
      <c r="CU12" s="134"/>
      <c r="CV12" s="134"/>
      <c r="CW12" s="134"/>
      <c r="CX12" s="134"/>
      <c r="CY12" s="134"/>
      <c r="CZ12" s="134"/>
      <c r="DA12" s="134"/>
      <c r="DB12" s="134"/>
      <c r="DC12" s="134"/>
      <c r="DD12" s="134"/>
      <c r="DE12" s="134"/>
      <c r="DF12" s="134"/>
      <c r="DG12" s="134"/>
      <c r="DH12" s="134"/>
      <c r="DI12" s="134"/>
      <c r="DJ12" s="134"/>
      <c r="DK12" s="134"/>
      <c r="DL12" s="134"/>
      <c r="DM12" s="134"/>
      <c r="DN12" s="134"/>
      <c r="DO12" s="134"/>
      <c r="DP12" s="134"/>
      <c r="DQ12" s="134"/>
      <c r="DR12" s="134"/>
      <c r="DS12" s="134"/>
      <c r="DT12" s="134"/>
      <c r="DU12" s="134"/>
      <c r="DV12" s="134"/>
      <c r="DW12" s="134"/>
    </row>
    <row r="13" spans="2:127">
      <c r="B13" s="409" t="s">
        <v>57</v>
      </c>
      <c r="C13" s="409"/>
      <c r="D13" s="409"/>
      <c r="E13" s="409"/>
      <c r="F13" s="4" t="s">
        <v>35</v>
      </c>
      <c r="G13" s="136">
        <f>SUM(H13:DW13)</f>
        <v>0</v>
      </c>
      <c r="H13" s="140">
        <f>'Исходные данные'!F30</f>
        <v>0</v>
      </c>
      <c r="I13" s="140">
        <f>'Исходные данные'!G30</f>
        <v>0</v>
      </c>
      <c r="J13" s="140">
        <f>'Исходные данные'!H30</f>
        <v>0</v>
      </c>
      <c r="K13" s="140">
        <f>'Исходные данные'!I30</f>
        <v>0</v>
      </c>
      <c r="L13" s="140">
        <f>'Исходные данные'!J30</f>
        <v>0</v>
      </c>
      <c r="M13" s="140">
        <f>'Исходные данные'!K30</f>
        <v>0</v>
      </c>
      <c r="N13" s="140">
        <f>'Исходные данные'!L30</f>
        <v>0</v>
      </c>
      <c r="O13" s="140">
        <f>'Исходные данные'!M30</f>
        <v>0</v>
      </c>
      <c r="P13" s="140">
        <f>'Исходные данные'!N30</f>
        <v>0</v>
      </c>
      <c r="Q13" s="140">
        <f>'Исходные данные'!O30</f>
        <v>0</v>
      </c>
      <c r="R13" s="140">
        <f>'Исходные данные'!P30</f>
        <v>0</v>
      </c>
      <c r="S13" s="140">
        <f>'Исходные данные'!Q30</f>
        <v>0</v>
      </c>
      <c r="T13" s="140">
        <f>'Исходные данные'!R30</f>
        <v>0</v>
      </c>
      <c r="U13" s="140">
        <f>'Исходные данные'!S30</f>
        <v>0</v>
      </c>
      <c r="V13" s="140">
        <f>'Исходные данные'!T30</f>
        <v>0</v>
      </c>
      <c r="W13" s="140">
        <f>'Исходные данные'!U30</f>
        <v>0</v>
      </c>
      <c r="X13" s="140">
        <f>'Исходные данные'!V30</f>
        <v>0</v>
      </c>
      <c r="Y13" s="140">
        <f>'Исходные данные'!W30</f>
        <v>0</v>
      </c>
      <c r="Z13" s="140">
        <f>'Исходные данные'!X30</f>
        <v>0</v>
      </c>
      <c r="AA13" s="140">
        <f>'Исходные данные'!Y30</f>
        <v>0</v>
      </c>
      <c r="AB13" s="140">
        <f>'Исходные данные'!Z30</f>
        <v>0</v>
      </c>
      <c r="AC13" s="140">
        <f>'Исходные данные'!AA30</f>
        <v>0</v>
      </c>
      <c r="AD13" s="140">
        <f>'Исходные данные'!AB30</f>
        <v>0</v>
      </c>
      <c r="AE13" s="140">
        <f>'Исходные данные'!AC30</f>
        <v>0</v>
      </c>
      <c r="AF13" s="140">
        <f>'Исходные данные'!AD30</f>
        <v>0</v>
      </c>
      <c r="AG13" s="140">
        <f>'Исходные данные'!AE30</f>
        <v>0</v>
      </c>
      <c r="AH13" s="140">
        <f>'Исходные данные'!AF30</f>
        <v>0</v>
      </c>
      <c r="AI13" s="140">
        <f>'Исходные данные'!AG30</f>
        <v>0</v>
      </c>
      <c r="AJ13" s="140">
        <f>'Исходные данные'!AH30</f>
        <v>0</v>
      </c>
      <c r="AK13" s="140">
        <f>'Исходные данные'!AI30</f>
        <v>0</v>
      </c>
      <c r="AL13" s="140">
        <f>'Исходные данные'!AJ30</f>
        <v>0</v>
      </c>
      <c r="AM13" s="140">
        <f>'Исходные данные'!AK30</f>
        <v>0</v>
      </c>
      <c r="AN13" s="140">
        <f>'Исходные данные'!AL30</f>
        <v>0</v>
      </c>
      <c r="AO13" s="140">
        <f>'Исходные данные'!AM30</f>
        <v>0</v>
      </c>
      <c r="AP13" s="140">
        <f>'Исходные данные'!AN30</f>
        <v>0</v>
      </c>
      <c r="AQ13" s="140">
        <f>'Исходные данные'!AO30</f>
        <v>0</v>
      </c>
      <c r="AR13" s="140">
        <f>'Исходные данные'!AP30</f>
        <v>0</v>
      </c>
      <c r="AS13" s="140">
        <f>'Исходные данные'!AQ30</f>
        <v>0</v>
      </c>
      <c r="AT13" s="140">
        <f>'Исходные данные'!AR30</f>
        <v>0</v>
      </c>
      <c r="AU13" s="140">
        <f>'Исходные данные'!AS30</f>
        <v>0</v>
      </c>
      <c r="AV13" s="140">
        <f>'Исходные данные'!AT30</f>
        <v>0</v>
      </c>
      <c r="AW13" s="140">
        <f>'Исходные данные'!AU30</f>
        <v>0</v>
      </c>
      <c r="AX13" s="140">
        <f>'Исходные данные'!AV30</f>
        <v>0</v>
      </c>
      <c r="AY13" s="140">
        <f>'Исходные данные'!AW30</f>
        <v>0</v>
      </c>
      <c r="AZ13" s="140">
        <f>'Исходные данные'!AX30</f>
        <v>0</v>
      </c>
      <c r="BA13" s="140">
        <f>'Исходные данные'!AY30</f>
        <v>0</v>
      </c>
      <c r="BB13" s="140">
        <f>'Исходные данные'!AZ30</f>
        <v>0</v>
      </c>
      <c r="BC13" s="140">
        <f>'Исходные данные'!BA30</f>
        <v>0</v>
      </c>
      <c r="BD13" s="140">
        <f>'Исходные данные'!BB30</f>
        <v>0</v>
      </c>
      <c r="BE13" s="140">
        <f>'Исходные данные'!BC30</f>
        <v>0</v>
      </c>
      <c r="BF13" s="140">
        <f>'Исходные данные'!BD30</f>
        <v>0</v>
      </c>
      <c r="BG13" s="140">
        <f>'Исходные данные'!BE30</f>
        <v>0</v>
      </c>
      <c r="BH13" s="140">
        <f>'Исходные данные'!BF30</f>
        <v>0</v>
      </c>
      <c r="BI13" s="140">
        <f>'Исходные данные'!BG30</f>
        <v>0</v>
      </c>
      <c r="BJ13" s="140">
        <f>'Исходные данные'!BH30</f>
        <v>0</v>
      </c>
      <c r="BK13" s="140">
        <f>'Исходные данные'!BI30</f>
        <v>0</v>
      </c>
      <c r="BL13" s="140">
        <f>'Исходные данные'!BJ30</f>
        <v>0</v>
      </c>
      <c r="BM13" s="140">
        <f>'Исходные данные'!BK30</f>
        <v>0</v>
      </c>
      <c r="BN13" s="140">
        <f>'Исходные данные'!BL30</f>
        <v>0</v>
      </c>
      <c r="BO13" s="140">
        <f>'Исходные данные'!BM30</f>
        <v>0</v>
      </c>
      <c r="BP13" s="140">
        <f>'Исходные данные'!BN30</f>
        <v>0</v>
      </c>
      <c r="BQ13" s="140">
        <f>'Исходные данные'!BO30</f>
        <v>0</v>
      </c>
      <c r="BR13" s="140">
        <f>'Исходные данные'!BP30</f>
        <v>0</v>
      </c>
      <c r="BS13" s="140">
        <f>'Исходные данные'!BQ30</f>
        <v>0</v>
      </c>
      <c r="BT13" s="140">
        <f>'Исходные данные'!BR30</f>
        <v>0</v>
      </c>
      <c r="BU13" s="140">
        <f>'Исходные данные'!BS30</f>
        <v>0</v>
      </c>
      <c r="BV13" s="140">
        <f>'Исходные данные'!BT30</f>
        <v>0</v>
      </c>
      <c r="BW13" s="140">
        <f>'Исходные данные'!BU30</f>
        <v>0</v>
      </c>
      <c r="BX13" s="140">
        <f>'Исходные данные'!BV30</f>
        <v>0</v>
      </c>
      <c r="BY13" s="140">
        <f>'Исходные данные'!BW30</f>
        <v>0</v>
      </c>
      <c r="BZ13" s="140">
        <f>'Исходные данные'!BX30</f>
        <v>0</v>
      </c>
      <c r="CA13" s="140">
        <f>'Исходные данные'!BY30</f>
        <v>0</v>
      </c>
      <c r="CB13" s="140">
        <f>'Исходные данные'!BZ30</f>
        <v>0</v>
      </c>
      <c r="CC13" s="140">
        <f>'Исходные данные'!CA30</f>
        <v>0</v>
      </c>
      <c r="CD13" s="140">
        <f>'Исходные данные'!CB30</f>
        <v>0</v>
      </c>
      <c r="CE13" s="140">
        <f>'Исходные данные'!CC30</f>
        <v>0</v>
      </c>
      <c r="CF13" s="140">
        <f>'Исходные данные'!CD30</f>
        <v>0</v>
      </c>
      <c r="CG13" s="140">
        <f>'Исходные данные'!CE30</f>
        <v>0</v>
      </c>
      <c r="CH13" s="140">
        <f>'Исходные данные'!CF30</f>
        <v>0</v>
      </c>
      <c r="CI13" s="140">
        <f>'Исходные данные'!CG30</f>
        <v>0</v>
      </c>
      <c r="CJ13" s="140">
        <f>'Исходные данные'!CH30</f>
        <v>0</v>
      </c>
      <c r="CK13" s="140">
        <f>'Исходные данные'!CI30</f>
        <v>0</v>
      </c>
      <c r="CL13" s="140">
        <f>'Исходные данные'!CJ30</f>
        <v>0</v>
      </c>
      <c r="CM13" s="140">
        <f>'Исходные данные'!CK30</f>
        <v>0</v>
      </c>
      <c r="CN13" s="140">
        <f>'Исходные данные'!CL30</f>
        <v>0</v>
      </c>
      <c r="CO13" s="140">
        <f>'Исходные данные'!CM30</f>
        <v>0</v>
      </c>
      <c r="CP13" s="140">
        <f>'Исходные данные'!CN30</f>
        <v>0</v>
      </c>
      <c r="CQ13" s="140">
        <f>'Исходные данные'!CO30</f>
        <v>0</v>
      </c>
      <c r="CR13" s="140">
        <f>'Исходные данные'!CP30</f>
        <v>0</v>
      </c>
      <c r="CS13" s="140">
        <f>'Исходные данные'!CQ30</f>
        <v>0</v>
      </c>
      <c r="CT13" s="140">
        <f>'Исходные данные'!CR30</f>
        <v>0</v>
      </c>
      <c r="CU13" s="140">
        <f>'Исходные данные'!CS30</f>
        <v>0</v>
      </c>
      <c r="CV13" s="140">
        <f>'Исходные данные'!CT30</f>
        <v>0</v>
      </c>
      <c r="CW13" s="140">
        <f>'Исходные данные'!CU30</f>
        <v>0</v>
      </c>
      <c r="CX13" s="140">
        <f>'Исходные данные'!CV30</f>
        <v>0</v>
      </c>
      <c r="CY13" s="140">
        <f>'Исходные данные'!CW30</f>
        <v>0</v>
      </c>
      <c r="CZ13" s="140">
        <f>'Исходные данные'!CX30</f>
        <v>0</v>
      </c>
      <c r="DA13" s="140">
        <f>'Исходные данные'!CY30</f>
        <v>0</v>
      </c>
      <c r="DB13" s="140">
        <f>'Исходные данные'!CZ30</f>
        <v>0</v>
      </c>
      <c r="DC13" s="140">
        <f>'Исходные данные'!DA30</f>
        <v>0</v>
      </c>
      <c r="DD13" s="140">
        <f>'Исходные данные'!DB30</f>
        <v>0</v>
      </c>
      <c r="DE13" s="140">
        <f>'Исходные данные'!DC30</f>
        <v>0</v>
      </c>
      <c r="DF13" s="140">
        <f>'Исходные данные'!DD30</f>
        <v>0</v>
      </c>
      <c r="DG13" s="140">
        <f>'Исходные данные'!DE30</f>
        <v>0</v>
      </c>
      <c r="DH13" s="140">
        <f>'Исходные данные'!DF30</f>
        <v>0</v>
      </c>
      <c r="DI13" s="140">
        <f>'Исходные данные'!DG30</f>
        <v>0</v>
      </c>
      <c r="DJ13" s="140">
        <f>'Исходные данные'!DH30</f>
        <v>0</v>
      </c>
      <c r="DK13" s="140">
        <f>'Исходные данные'!DI30</f>
        <v>0</v>
      </c>
      <c r="DL13" s="140">
        <f>'Исходные данные'!DJ30</f>
        <v>0</v>
      </c>
      <c r="DM13" s="140">
        <f>'Исходные данные'!DK30</f>
        <v>0</v>
      </c>
      <c r="DN13" s="140">
        <f>'Исходные данные'!DL30</f>
        <v>0</v>
      </c>
      <c r="DO13" s="140">
        <f>'Исходные данные'!DM30</f>
        <v>0</v>
      </c>
      <c r="DP13" s="140">
        <f>'Исходные данные'!DN30</f>
        <v>0</v>
      </c>
      <c r="DQ13" s="140">
        <f>'Исходные данные'!DO30</f>
        <v>0</v>
      </c>
      <c r="DR13" s="140">
        <f>'Исходные данные'!DP30</f>
        <v>0</v>
      </c>
      <c r="DS13" s="140">
        <f>'Исходные данные'!DQ30</f>
        <v>0</v>
      </c>
      <c r="DT13" s="140">
        <f>'Исходные данные'!DR30</f>
        <v>0</v>
      </c>
      <c r="DU13" s="140">
        <f>'Исходные данные'!DS30</f>
        <v>0</v>
      </c>
      <c r="DV13" s="140">
        <f>'Исходные данные'!DT30</f>
        <v>0</v>
      </c>
      <c r="DW13" s="140">
        <f>'Исходные данные'!DU30</f>
        <v>0</v>
      </c>
    </row>
    <row r="14" spans="2:127">
      <c r="B14" s="409" t="s">
        <v>63</v>
      </c>
      <c r="C14" s="409"/>
      <c r="D14" s="409"/>
      <c r="E14" s="409"/>
      <c r="F14" s="45"/>
      <c r="G14" s="136">
        <f>SUM(H14:DW14)</f>
        <v>72012059992.799911</v>
      </c>
      <c r="H14" s="140">
        <f>'Исходные данные'!F31</f>
        <v>600171666</v>
      </c>
      <c r="I14" s="140">
        <f>'Исходные данные'!G31</f>
        <v>600171666</v>
      </c>
      <c r="J14" s="140">
        <f>'Исходные данные'!H31</f>
        <v>600171666</v>
      </c>
      <c r="K14" s="140">
        <f>'Исходные данные'!I31</f>
        <v>600171666</v>
      </c>
      <c r="L14" s="140">
        <f>'Исходные данные'!J31</f>
        <v>600171666</v>
      </c>
      <c r="M14" s="140">
        <f>'Исходные данные'!K31</f>
        <v>600171666</v>
      </c>
      <c r="N14" s="140">
        <f>'Исходные данные'!L31</f>
        <v>600171666</v>
      </c>
      <c r="O14" s="140">
        <f>'Исходные данные'!M31</f>
        <v>600171666</v>
      </c>
      <c r="P14" s="140">
        <f>'Исходные данные'!N31</f>
        <v>600171666</v>
      </c>
      <c r="Q14" s="140">
        <f>'Исходные данные'!O31</f>
        <v>600171666</v>
      </c>
      <c r="R14" s="140">
        <f>'Исходные данные'!P31</f>
        <v>600171666</v>
      </c>
      <c r="S14" s="140">
        <f>'Исходные данные'!Q31</f>
        <v>600171666</v>
      </c>
      <c r="T14" s="140">
        <f>'Исходные данные'!R31</f>
        <v>600092592.60000002</v>
      </c>
      <c r="U14" s="140">
        <f>'Исходные данные'!S31</f>
        <v>600092592.60000002</v>
      </c>
      <c r="V14" s="140">
        <f>'Исходные данные'!T31</f>
        <v>600092592.60000002</v>
      </c>
      <c r="W14" s="140">
        <f>'Исходные данные'!U31</f>
        <v>600092592.60000002</v>
      </c>
      <c r="X14" s="140">
        <f>'Исходные данные'!V31</f>
        <v>600092592.60000002</v>
      </c>
      <c r="Y14" s="140">
        <f>'Исходные данные'!W31</f>
        <v>600092592.60000002</v>
      </c>
      <c r="Z14" s="140">
        <f>'Исходные данные'!X31</f>
        <v>600092592.60000002</v>
      </c>
      <c r="AA14" s="140">
        <f>'Исходные данные'!Y31</f>
        <v>600092592.60000002</v>
      </c>
      <c r="AB14" s="140">
        <f>'Исходные данные'!Z31</f>
        <v>600092592.60000002</v>
      </c>
      <c r="AC14" s="140">
        <f>'Исходные данные'!AA31</f>
        <v>600092592.60000002</v>
      </c>
      <c r="AD14" s="140">
        <f>'Исходные данные'!AB31</f>
        <v>600092592.60000002</v>
      </c>
      <c r="AE14" s="140">
        <f>'Исходные данные'!AC31</f>
        <v>600092592.60000002</v>
      </c>
      <c r="AF14" s="140">
        <f>'Исходные данные'!AD31</f>
        <v>600092592.60000002</v>
      </c>
      <c r="AG14" s="140">
        <f>'Исходные данные'!AE31</f>
        <v>600092592.60000002</v>
      </c>
      <c r="AH14" s="140">
        <f>'Исходные данные'!AF31</f>
        <v>600092592.60000002</v>
      </c>
      <c r="AI14" s="140">
        <f>'Исходные данные'!AG31</f>
        <v>600092592.60000002</v>
      </c>
      <c r="AJ14" s="140">
        <f>'Исходные данные'!AH31</f>
        <v>600092592.60000002</v>
      </c>
      <c r="AK14" s="140">
        <f>'Исходные данные'!AI31</f>
        <v>600092592.60000002</v>
      </c>
      <c r="AL14" s="140">
        <f>'Исходные данные'!AJ31</f>
        <v>600092592.60000002</v>
      </c>
      <c r="AM14" s="140">
        <f>'Исходные данные'!AK31</f>
        <v>600092592.60000002</v>
      </c>
      <c r="AN14" s="140">
        <f>'Исходные данные'!AL31</f>
        <v>600092592.60000002</v>
      </c>
      <c r="AO14" s="140">
        <f>'Исходные данные'!AM31</f>
        <v>600092592.60000002</v>
      </c>
      <c r="AP14" s="140">
        <f>'Исходные данные'!AN31</f>
        <v>600092592.60000002</v>
      </c>
      <c r="AQ14" s="140">
        <f>'Исходные данные'!AO31</f>
        <v>600092592.60000002</v>
      </c>
      <c r="AR14" s="140">
        <f>'Исходные данные'!AP31</f>
        <v>600092592.60000002</v>
      </c>
      <c r="AS14" s="140">
        <f>'Исходные данные'!AQ31</f>
        <v>600092592.60000002</v>
      </c>
      <c r="AT14" s="140">
        <f>'Исходные данные'!AR31</f>
        <v>600092592.60000002</v>
      </c>
      <c r="AU14" s="140">
        <f>'Исходные данные'!AS31</f>
        <v>600092592.60000002</v>
      </c>
      <c r="AV14" s="140">
        <f>'Исходные данные'!AT31</f>
        <v>600092592.60000002</v>
      </c>
      <c r="AW14" s="140">
        <f>'Исходные данные'!AU31</f>
        <v>600092592.60000002</v>
      </c>
      <c r="AX14" s="140">
        <f>'Исходные данные'!AV31</f>
        <v>600092592.60000002</v>
      </c>
      <c r="AY14" s="140">
        <f>'Исходные данные'!AW31</f>
        <v>600092592.60000002</v>
      </c>
      <c r="AZ14" s="140">
        <f>'Исходные данные'!AX31</f>
        <v>600092592.60000002</v>
      </c>
      <c r="BA14" s="140">
        <f>'Исходные данные'!AY31</f>
        <v>600092592.60000002</v>
      </c>
      <c r="BB14" s="140">
        <f>'Исходные данные'!AZ31</f>
        <v>600092592.60000002</v>
      </c>
      <c r="BC14" s="140">
        <f>'Исходные данные'!BA31</f>
        <v>600092592.60000002</v>
      </c>
      <c r="BD14" s="140">
        <f>'Исходные данные'!BB31</f>
        <v>600092592.60000002</v>
      </c>
      <c r="BE14" s="140">
        <f>'Исходные данные'!BC31</f>
        <v>600092592.60000002</v>
      </c>
      <c r="BF14" s="140">
        <f>'Исходные данные'!BD31</f>
        <v>600092592.60000002</v>
      </c>
      <c r="BG14" s="140">
        <f>'Исходные данные'!BE31</f>
        <v>600092592.60000002</v>
      </c>
      <c r="BH14" s="140">
        <f>'Исходные данные'!BF31</f>
        <v>600092592.60000002</v>
      </c>
      <c r="BI14" s="140">
        <f>'Исходные данные'!BG31</f>
        <v>600092592.60000002</v>
      </c>
      <c r="BJ14" s="140">
        <f>'Исходные данные'!BH31</f>
        <v>600092592.60000002</v>
      </c>
      <c r="BK14" s="140">
        <f>'Исходные данные'!BI31</f>
        <v>600092592.60000002</v>
      </c>
      <c r="BL14" s="140">
        <f>'Исходные данные'!BJ31</f>
        <v>600092592.60000002</v>
      </c>
      <c r="BM14" s="140">
        <f>'Исходные данные'!BK31</f>
        <v>600092592.60000002</v>
      </c>
      <c r="BN14" s="140">
        <f>'Исходные данные'!BL31</f>
        <v>600092592.60000002</v>
      </c>
      <c r="BO14" s="140">
        <f>'Исходные данные'!BM31</f>
        <v>600092592.60000002</v>
      </c>
      <c r="BP14" s="140">
        <f>'Исходные данные'!BN31</f>
        <v>600092592.60000002</v>
      </c>
      <c r="BQ14" s="140">
        <f>'Исходные данные'!BO31</f>
        <v>600092592.60000002</v>
      </c>
      <c r="BR14" s="140">
        <f>'Исходные данные'!BP31</f>
        <v>600092592.60000002</v>
      </c>
      <c r="BS14" s="140">
        <f>'Исходные данные'!BQ31</f>
        <v>600092592.60000002</v>
      </c>
      <c r="BT14" s="140">
        <f>'Исходные данные'!BR31</f>
        <v>600092592.60000002</v>
      </c>
      <c r="BU14" s="140">
        <f>'Исходные данные'!BS31</f>
        <v>600092592.60000002</v>
      </c>
      <c r="BV14" s="140">
        <f>'Исходные данные'!BT31</f>
        <v>600092592.60000002</v>
      </c>
      <c r="BW14" s="140">
        <f>'Исходные данные'!BU31</f>
        <v>600092592.60000002</v>
      </c>
      <c r="BX14" s="140">
        <f>'Исходные данные'!BV31</f>
        <v>600092592.60000002</v>
      </c>
      <c r="BY14" s="140">
        <f>'Исходные данные'!BW31</f>
        <v>600092592.60000002</v>
      </c>
      <c r="BZ14" s="140">
        <f>'Исходные данные'!BX31</f>
        <v>600092592.60000002</v>
      </c>
      <c r="CA14" s="140">
        <f>'Исходные данные'!BY31</f>
        <v>600092592.60000002</v>
      </c>
      <c r="CB14" s="140">
        <f>'Исходные данные'!BZ31</f>
        <v>600092592.60000002</v>
      </c>
      <c r="CC14" s="140">
        <f>'Исходные данные'!CA31</f>
        <v>600092592.60000002</v>
      </c>
      <c r="CD14" s="140">
        <f>'Исходные данные'!CB31</f>
        <v>600092592.60000002</v>
      </c>
      <c r="CE14" s="140">
        <f>'Исходные данные'!CC31</f>
        <v>600092592.60000002</v>
      </c>
      <c r="CF14" s="140">
        <f>'Исходные данные'!CD31</f>
        <v>600092592.60000002</v>
      </c>
      <c r="CG14" s="140">
        <f>'Исходные данные'!CE31</f>
        <v>600092592.60000002</v>
      </c>
      <c r="CH14" s="140">
        <f>'Исходные данные'!CF31</f>
        <v>600092592.60000002</v>
      </c>
      <c r="CI14" s="140">
        <f>'Исходные данные'!CG31</f>
        <v>600092592.60000002</v>
      </c>
      <c r="CJ14" s="140">
        <f>'Исходные данные'!CH31</f>
        <v>600092592.60000002</v>
      </c>
      <c r="CK14" s="140">
        <f>'Исходные данные'!CI31</f>
        <v>600092592.60000002</v>
      </c>
      <c r="CL14" s="140">
        <f>'Исходные данные'!CJ31</f>
        <v>600092592.60000002</v>
      </c>
      <c r="CM14" s="140">
        <f>'Исходные данные'!CK31</f>
        <v>600092592.60000002</v>
      </c>
      <c r="CN14" s="140">
        <f>'Исходные данные'!CL31</f>
        <v>600092592.60000002</v>
      </c>
      <c r="CO14" s="140">
        <f>'Исходные данные'!CM31</f>
        <v>600092592.60000002</v>
      </c>
      <c r="CP14" s="140">
        <f>'Исходные данные'!CN31</f>
        <v>600092592.60000002</v>
      </c>
      <c r="CQ14" s="140">
        <f>'Исходные данные'!CO31</f>
        <v>600092592.60000002</v>
      </c>
      <c r="CR14" s="140">
        <f>'Исходные данные'!CP31</f>
        <v>600092592.60000002</v>
      </c>
      <c r="CS14" s="140">
        <f>'Исходные данные'!CQ31</f>
        <v>600092592.60000002</v>
      </c>
      <c r="CT14" s="140">
        <f>'Исходные данные'!CR31</f>
        <v>600092592.60000002</v>
      </c>
      <c r="CU14" s="140">
        <f>'Исходные данные'!CS31</f>
        <v>600092592.60000002</v>
      </c>
      <c r="CV14" s="140">
        <f>'Исходные данные'!CT31</f>
        <v>600092592.60000002</v>
      </c>
      <c r="CW14" s="140">
        <f>'Исходные данные'!CU31</f>
        <v>600092592.60000002</v>
      </c>
      <c r="CX14" s="140">
        <f>'Исходные данные'!CV31</f>
        <v>600092592.60000002</v>
      </c>
      <c r="CY14" s="140">
        <f>'Исходные данные'!CW31</f>
        <v>600092592.60000002</v>
      </c>
      <c r="CZ14" s="140">
        <f>'Исходные данные'!CX31</f>
        <v>600092592.60000002</v>
      </c>
      <c r="DA14" s="140">
        <f>'Исходные данные'!CY31</f>
        <v>600092592.60000002</v>
      </c>
      <c r="DB14" s="140">
        <f>'Исходные данные'!CZ31</f>
        <v>600092592.60000002</v>
      </c>
      <c r="DC14" s="140">
        <f>'Исходные данные'!DA31</f>
        <v>600092592.60000002</v>
      </c>
      <c r="DD14" s="140">
        <f>'Исходные данные'!DB31</f>
        <v>600092592.60000002</v>
      </c>
      <c r="DE14" s="140">
        <f>'Исходные данные'!DC31</f>
        <v>600092592.60000002</v>
      </c>
      <c r="DF14" s="140">
        <f>'Исходные данные'!DD31</f>
        <v>600092592.60000002</v>
      </c>
      <c r="DG14" s="140">
        <f>'Исходные данные'!DE31</f>
        <v>600092592.60000002</v>
      </c>
      <c r="DH14" s="140">
        <f>'Исходные данные'!DF31</f>
        <v>600092592.60000002</v>
      </c>
      <c r="DI14" s="140">
        <f>'Исходные данные'!DG31</f>
        <v>600092592.60000002</v>
      </c>
      <c r="DJ14" s="140">
        <f>'Исходные данные'!DH31</f>
        <v>600092592.60000002</v>
      </c>
      <c r="DK14" s="140">
        <f>'Исходные данные'!DI31</f>
        <v>600092592.60000002</v>
      </c>
      <c r="DL14" s="140">
        <f>'Исходные данные'!DJ31</f>
        <v>600092592.60000002</v>
      </c>
      <c r="DM14" s="140">
        <f>'Исходные данные'!DK31</f>
        <v>600092592.60000002</v>
      </c>
      <c r="DN14" s="140">
        <f>'Исходные данные'!DL31</f>
        <v>600092592.60000002</v>
      </c>
      <c r="DO14" s="140">
        <f>'Исходные данные'!DM31</f>
        <v>600092592.60000002</v>
      </c>
      <c r="DP14" s="140">
        <f>'Исходные данные'!DN31</f>
        <v>600092592.60000002</v>
      </c>
      <c r="DQ14" s="140">
        <f>'Исходные данные'!DO31</f>
        <v>600092592.60000002</v>
      </c>
      <c r="DR14" s="140">
        <f>'Исходные данные'!DP31</f>
        <v>600092592.60000002</v>
      </c>
      <c r="DS14" s="140">
        <f>'Исходные данные'!DQ31</f>
        <v>600092592.60000002</v>
      </c>
      <c r="DT14" s="140">
        <f>'Исходные данные'!DR31</f>
        <v>600092592.60000002</v>
      </c>
      <c r="DU14" s="140">
        <f>'Исходные данные'!DS31</f>
        <v>600092592.60000002</v>
      </c>
      <c r="DV14" s="140">
        <f>'Исходные данные'!DT31</f>
        <v>600092592.60000002</v>
      </c>
      <c r="DW14" s="140">
        <f>'Исходные данные'!DU31</f>
        <v>600092592.60000002</v>
      </c>
    </row>
    <row r="15" spans="2:127">
      <c r="B15" s="141"/>
      <c r="C15" s="141"/>
      <c r="D15" s="141"/>
      <c r="E15" s="141"/>
      <c r="F15" s="3"/>
      <c r="G15" s="3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  <c r="AN15" s="134"/>
      <c r="AO15" s="134"/>
      <c r="AP15" s="134"/>
      <c r="AQ15" s="134"/>
      <c r="AR15" s="134"/>
      <c r="AS15" s="134"/>
      <c r="AT15" s="134"/>
      <c r="AU15" s="134"/>
      <c r="AV15" s="134"/>
      <c r="AW15" s="134"/>
      <c r="AX15" s="134"/>
      <c r="AY15" s="134"/>
      <c r="AZ15" s="134"/>
      <c r="BA15" s="134"/>
      <c r="BB15" s="134"/>
      <c r="BC15" s="134"/>
      <c r="BD15" s="134"/>
      <c r="BE15" s="134"/>
      <c r="BF15" s="134"/>
      <c r="BG15" s="134"/>
      <c r="BH15" s="134"/>
      <c r="BI15" s="134"/>
      <c r="BJ15" s="134"/>
      <c r="BK15" s="134"/>
      <c r="BL15" s="134"/>
      <c r="BM15" s="134"/>
      <c r="BN15" s="134"/>
      <c r="BO15" s="134"/>
      <c r="BP15" s="134"/>
      <c r="BQ15" s="134"/>
      <c r="BR15" s="134"/>
      <c r="BS15" s="134"/>
      <c r="BT15" s="134"/>
      <c r="BU15" s="134"/>
      <c r="BV15" s="134"/>
      <c r="BW15" s="134"/>
      <c r="BX15" s="134"/>
      <c r="BY15" s="134"/>
      <c r="BZ15" s="134"/>
      <c r="CA15" s="134"/>
      <c r="CB15" s="134"/>
      <c r="CC15" s="134"/>
      <c r="CD15" s="134"/>
      <c r="CE15" s="134"/>
      <c r="CF15" s="134"/>
      <c r="CG15" s="134"/>
      <c r="CH15" s="134"/>
      <c r="CI15" s="134"/>
      <c r="CJ15" s="134"/>
      <c r="CK15" s="134"/>
      <c r="CL15" s="134"/>
      <c r="CM15" s="134"/>
      <c r="CN15" s="134"/>
      <c r="CO15" s="134"/>
      <c r="CP15" s="134"/>
      <c r="CQ15" s="134"/>
      <c r="CR15" s="134"/>
      <c r="CS15" s="134"/>
      <c r="CT15" s="134"/>
      <c r="CU15" s="134"/>
      <c r="CV15" s="134"/>
      <c r="CW15" s="134"/>
      <c r="CX15" s="134"/>
      <c r="CY15" s="134"/>
      <c r="CZ15" s="134"/>
      <c r="DA15" s="134"/>
      <c r="DB15" s="134"/>
      <c r="DC15" s="134"/>
      <c r="DD15" s="134"/>
      <c r="DE15" s="134"/>
      <c r="DF15" s="134"/>
      <c r="DG15" s="134"/>
      <c r="DH15" s="134"/>
      <c r="DI15" s="134"/>
      <c r="DJ15" s="134"/>
      <c r="DK15" s="134"/>
      <c r="DL15" s="134"/>
      <c r="DM15" s="134"/>
      <c r="DN15" s="134"/>
      <c r="DO15" s="134"/>
      <c r="DP15" s="134"/>
      <c r="DQ15" s="134"/>
      <c r="DR15" s="134"/>
      <c r="DS15" s="134"/>
      <c r="DT15" s="134"/>
      <c r="DU15" s="134"/>
      <c r="DV15" s="134"/>
      <c r="DW15" s="134"/>
    </row>
    <row r="16" spans="2:127">
      <c r="B16" s="409" t="s">
        <v>184</v>
      </c>
      <c r="C16" s="409"/>
      <c r="D16" s="409"/>
      <c r="E16" s="409"/>
      <c r="F16" s="4" t="s">
        <v>35</v>
      </c>
      <c r="G16" s="136">
        <f>SUM(H16:DW16)</f>
        <v>82014455400623.422</v>
      </c>
      <c r="H16" s="139">
        <f>'Выручка, до'!D9</f>
        <v>91278535241.475464</v>
      </c>
      <c r="I16" s="139">
        <f>'Выручка, до'!E9</f>
        <v>93644521246.794586</v>
      </c>
      <c r="J16" s="139">
        <f>'Выручка, до'!F9</f>
        <v>96074892476.972198</v>
      </c>
      <c r="K16" s="139">
        <f>'Выручка, до'!G9</f>
        <v>98571476142.548843</v>
      </c>
      <c r="L16" s="139">
        <f>'Выручка, до'!H9</f>
        <v>101136153066.28827</v>
      </c>
      <c r="M16" s="139">
        <f>'Выручка, до'!I9</f>
        <v>103770859295.63654</v>
      </c>
      <c r="N16" s="139">
        <f>'Выручка, до'!J9</f>
        <v>106477587764.53366</v>
      </c>
      <c r="O16" s="139">
        <f>'Выручка, до'!K9</f>
        <v>109258390006.10591</v>
      </c>
      <c r="P16" s="139">
        <f>'Выручка, до'!L9</f>
        <v>112115377917.8158</v>
      </c>
      <c r="Q16" s="139">
        <f>'Выручка, до'!M9</f>
        <v>115050725580.69447</v>
      </c>
      <c r="R16" s="139">
        <f>'Выручка, до'!N9</f>
        <v>118066671134.33347</v>
      </c>
      <c r="S16" s="139">
        <f>'Выручка, до'!O9</f>
        <v>121165518709.36453</v>
      </c>
      <c r="T16" s="139">
        <f>'Выручка, до'!P9</f>
        <v>124349640419.20969</v>
      </c>
      <c r="U16" s="139">
        <f>'Выручка, до'!Q9</f>
        <v>127621478412.94052</v>
      </c>
      <c r="V16" s="139">
        <f>'Выручка, до'!R9</f>
        <v>130983546991.14232</v>
      </c>
      <c r="W16" s="139">
        <f>'Выручка, до'!S9</f>
        <v>134438434786.73795</v>
      </c>
      <c r="X16" s="139">
        <f>'Выручка, до'!T9</f>
        <v>137988807012.78815</v>
      </c>
      <c r="Y16" s="139">
        <f>'Выручка, до'!U9</f>
        <v>141637407779.34702</v>
      </c>
      <c r="Z16" s="139">
        <f>'Выручка, до'!V9</f>
        <v>145387062481.51724</v>
      </c>
      <c r="AA16" s="139">
        <f>'Выручка, до'!W9</f>
        <v>149240680260.91635</v>
      </c>
      <c r="AB16" s="139">
        <f>'Выручка, до'!X9</f>
        <v>153201256542.83444</v>
      </c>
      <c r="AC16" s="139">
        <f>'Выручка, до'!Y9</f>
        <v>157271875651.43488</v>
      </c>
      <c r="AD16" s="139">
        <f>'Выручка, до'!Z9</f>
        <v>161455713505.42404</v>
      </c>
      <c r="AE16" s="139">
        <f>'Выручка, до'!AA9</f>
        <v>165756040396.6908</v>
      </c>
      <c r="AF16" s="139">
        <f>'Выручка, до'!AB9</f>
        <v>170176223854.4953</v>
      </c>
      <c r="AG16" s="139">
        <f>'Выручка, до'!AC9</f>
        <v>174719731597.86774</v>
      </c>
      <c r="AH16" s="139">
        <f>'Выручка, до'!AD9</f>
        <v>179390134578.96024</v>
      </c>
      <c r="AI16" s="139">
        <f>'Выручка, до'!AE9</f>
        <v>184191110120.18152</v>
      </c>
      <c r="AJ16" s="139">
        <f>'Выручка, до'!AF9</f>
        <v>189126445148.03214</v>
      </c>
      <c r="AK16" s="139">
        <f>'Выручка, до'!AG9</f>
        <v>194200039526.65012</v>
      </c>
      <c r="AL16" s="139">
        <f>'Выручка, до'!AH9</f>
        <v>199415909494.17014</v>
      </c>
      <c r="AM16" s="139">
        <f>'Выручка, до'!AI9</f>
        <v>204778191205.0972</v>
      </c>
      <c r="AN16" s="139">
        <f>'Выручка, до'!AJ9</f>
        <v>210291144381.9964</v>
      </c>
      <c r="AO16" s="139">
        <f>'Выручка, до'!AK9</f>
        <v>215959156079.90256</v>
      </c>
      <c r="AP16" s="139">
        <f>'Выручка, до'!AL9</f>
        <v>221786744566.96155</v>
      </c>
      <c r="AQ16" s="139">
        <f>'Выручка, до'!AM9</f>
        <v>227778563324.92413</v>
      </c>
      <c r="AR16" s="139">
        <f>'Выручка, до'!AN9</f>
        <v>233939405173.22748</v>
      </c>
      <c r="AS16" s="139">
        <f>'Выручка, до'!AO9</f>
        <v>240274206520.51562</v>
      </c>
      <c r="AT16" s="139">
        <f>'Выручка, до'!AP9</f>
        <v>246788051747.57178</v>
      </c>
      <c r="AU16" s="139">
        <f>'Выручка, до'!AQ9</f>
        <v>253486177725.75928</v>
      </c>
      <c r="AV16" s="139">
        <f>'Выручка, до'!AR9</f>
        <v>260373978475.19733</v>
      </c>
      <c r="AW16" s="139">
        <f>'Выручка, до'!AS9</f>
        <v>267457009967.02826</v>
      </c>
      <c r="AX16" s="139">
        <f>'Выручка, до'!AT9</f>
        <v>274740995074.27289</v>
      </c>
      <c r="AY16" s="139">
        <f>'Выручка, до'!AU9</f>
        <v>282231828675.90784</v>
      </c>
      <c r="AZ16" s="139">
        <f>'Выручка, до'!AV9</f>
        <v>289935582918.94702</v>
      </c>
      <c r="BA16" s="139">
        <f>'Выручка, до'!AW9</f>
        <v>297858512643.45813</v>
      </c>
      <c r="BB16" s="139">
        <f>'Выручка, до'!AX9</f>
        <v>306007060975.59979</v>
      </c>
      <c r="BC16" s="139">
        <f>'Выручка, до'!AY9</f>
        <v>314387865093.92462</v>
      </c>
      <c r="BD16" s="139">
        <f>'Выручка, до'!AZ9</f>
        <v>323007762174.35895</v>
      </c>
      <c r="BE16" s="139">
        <f>'Выручка, до'!BA9</f>
        <v>331873795519.43768</v>
      </c>
      <c r="BF16" s="139">
        <f>'Выручка, до'!BB9</f>
        <v>340993220877.55115</v>
      </c>
      <c r="BG16" s="139">
        <f>'Выручка, до'!BC9</f>
        <v>350373512958.1366</v>
      </c>
      <c r="BH16" s="139">
        <f>'Выручка, до'!BD9</f>
        <v>360022372148.94019</v>
      </c>
      <c r="BI16" s="139">
        <f>'Выручка, до'!BE9</f>
        <v>369947731441.65918</v>
      </c>
      <c r="BJ16" s="139">
        <f>'Выручка, до'!BF9</f>
        <v>380157763572.48083</v>
      </c>
      <c r="BK16" s="139">
        <f>'Выручка, до'!BG9</f>
        <v>390660888384.23169</v>
      </c>
      <c r="BL16" s="139">
        <f>'Выручка, до'!BH9</f>
        <v>401465780417.0675</v>
      </c>
      <c r="BM16" s="139">
        <f>'Выручка, до'!BI9</f>
        <v>412581376734.84717</v>
      </c>
      <c r="BN16" s="139">
        <f>'Выручка, до'!BJ9</f>
        <v>424016884994.56213</v>
      </c>
      <c r="BO16" s="139">
        <f>'Выручка, до'!BK9</f>
        <v>435781791766.42285</v>
      </c>
      <c r="BP16" s="139">
        <f>'Выручка, до'!BL9</f>
        <v>447885871112.44031</v>
      </c>
      <c r="BQ16" s="139">
        <f>'Выручка, до'!BM9</f>
        <v>460339193431.59229</v>
      </c>
      <c r="BR16" s="139">
        <f>'Выручка, до'!BN9</f>
        <v>473152134579.91248</v>
      </c>
      <c r="BS16" s="139">
        <f>'Выручка, до'!BO9</f>
        <v>486335385274.10681</v>
      </c>
      <c r="BT16" s="139">
        <f>'Выручка, до'!BP9</f>
        <v>499899960787.57031</v>
      </c>
      <c r="BU16" s="139">
        <f>'Выручка, до'!BQ9</f>
        <v>513857210947.95453</v>
      </c>
      <c r="BV16" s="139">
        <f>'Выручка, до'!BR9</f>
        <v>528218830445.72852</v>
      </c>
      <c r="BW16" s="139">
        <f>'Выручка, до'!BS9</f>
        <v>542996869463.46735</v>
      </c>
      <c r="BX16" s="139">
        <f>'Выручка, до'!BT9</f>
        <v>558203744635.91125</v>
      </c>
      <c r="BY16" s="139">
        <f>'Выручка, до'!BU9</f>
        <v>573852250351.15564</v>
      </c>
      <c r="BZ16" s="139">
        <f>'Выручка, до'!BV9</f>
        <v>589955570403.65381</v>
      </c>
      <c r="CA16" s="139">
        <f>'Выручка, до'!BW9</f>
        <v>606527290010.0531</v>
      </c>
      <c r="CB16" s="139">
        <f>'Выручка, до'!BX9</f>
        <v>623581408199.2334</v>
      </c>
      <c r="CC16" s="139">
        <f>'Выручка, до'!BY9</f>
        <v>641132350588.26782</v>
      </c>
      <c r="CD16" s="139">
        <f>'Выручка, до'!BZ9</f>
        <v>659194982556.40344</v>
      </c>
      <c r="CE16" s="139">
        <f>'Выручка, до'!CA9</f>
        <v>677784622829.53198</v>
      </c>
      <c r="CF16" s="139">
        <f>'Выручка, до'!CB9</f>
        <v>696917057488.01843</v>
      </c>
      <c r="CG16" s="139">
        <f>'Выручка, до'!CC9</f>
        <v>716608554411.15637</v>
      </c>
      <c r="CH16" s="139">
        <f>'Выручка, до'!CD9</f>
        <v>736875878171.94031</v>
      </c>
      <c r="CI16" s="139">
        <f>'Выручка, до'!CE9</f>
        <v>757736305396.271</v>
      </c>
      <c r="CJ16" s="139">
        <f>'Выручка, до'!CF9</f>
        <v>779207640601.16162</v>
      </c>
      <c r="CK16" s="139">
        <f>'Выручка, до'!CG9</f>
        <v>801308232526.96008</v>
      </c>
      <c r="CL16" s="139">
        <f>'Выручка, до'!CH9</f>
        <v>824056990979.08838</v>
      </c>
      <c r="CM16" s="139">
        <f>'Выручка, до'!CI9</f>
        <v>847473404195.27466</v>
      </c>
      <c r="CN16" s="139">
        <f>'Выручка, до'!CJ9</f>
        <v>871577556754.76978</v>
      </c>
      <c r="CO16" s="139">
        <f>'Выручка, до'!CK9</f>
        <v>896390148046.54517</v>
      </c>
      <c r="CP16" s="139">
        <f>'Выручка, до'!CL9</f>
        <v>921932511314.0177</v>
      </c>
      <c r="CQ16" s="139">
        <f>'Выручка, до'!CM9</f>
        <v>948226633294.38904</v>
      </c>
      <c r="CR16" s="139">
        <f>'Выручка, до'!CN9</f>
        <v>975295174471.26428</v>
      </c>
      <c r="CS16" s="139">
        <f>'Выручка, до'!CO9</f>
        <v>1003161489959.7925</v>
      </c>
      <c r="CT16" s="139">
        <f>'Выручка, до'!CP9</f>
        <v>1031849651044.1936</v>
      </c>
      <c r="CU16" s="139">
        <f>'Выручка, до'!CQ9</f>
        <v>1061384467388.1416</v>
      </c>
      <c r="CV16" s="139">
        <f>'Выручка, до'!CR9</f>
        <v>1091791509939.1392</v>
      </c>
      <c r="CW16" s="139">
        <f>'Выручка, до'!CS9</f>
        <v>1123097134548.6646</v>
      </c>
      <c r="CX16" s="139">
        <f>'Выручка, до'!CT9</f>
        <v>1155328506330.5784</v>
      </c>
      <c r="CY16" s="139">
        <f>'Выручка, до'!CU9</f>
        <v>1188513624780.9651</v>
      </c>
      <c r="CZ16" s="139">
        <f>'Выручка, до'!CV9</f>
        <v>1222681349683.333</v>
      </c>
      <c r="DA16" s="139">
        <f>'Выручка, до'!CW9</f>
        <v>1257861427823.8369</v>
      </c>
      <c r="DB16" s="139">
        <f>'Выручка, до'!CX9</f>
        <v>1294084520541.9709</v>
      </c>
      <c r="DC16" s="139">
        <f>'Выручка, до'!CY9</f>
        <v>1331382232142.9805</v>
      </c>
      <c r="DD16" s="139">
        <f>'Выручка, до'!CZ9</f>
        <v>1369787139199.0657</v>
      </c>
      <c r="DE16" s="139">
        <f>'Выручка, до'!DA9</f>
        <v>1409332820767.3103</v>
      </c>
      <c r="DF16" s="139">
        <f>'Выручка, до'!DB9</f>
        <v>1450053889553.135</v>
      </c>
      <c r="DG16" s="139">
        <f>'Выручка, до'!DC9</f>
        <v>1491986024049.002</v>
      </c>
      <c r="DH16" s="139">
        <f>'Выручка, до'!DD9</f>
        <v>1535166001679.0156</v>
      </c>
      <c r="DI16" s="139">
        <f>'Выручка, до'!DE9</f>
        <v>1579631732981.0408</v>
      </c>
      <c r="DJ16" s="139">
        <f>'Выручка, до'!DF9</f>
        <v>1625422296858.9597</v>
      </c>
      <c r="DK16" s="139">
        <f>'Выручка, до'!DG9</f>
        <v>1672577976938.6987</v>
      </c>
      <c r="DL16" s="139">
        <f>'Выручка, до'!DH9</f>
        <v>1721140299062.7432</v>
      </c>
      <c r="DM16" s="139">
        <f>'Выручка, до'!DI9</f>
        <v>1771152069958.9316</v>
      </c>
      <c r="DN16" s="139">
        <f>'Выручка, до'!DJ9</f>
        <v>1822657417120.4541</v>
      </c>
      <c r="DO16" s="139">
        <f>'Выручка, до'!DK9</f>
        <v>1875701829935.1536</v>
      </c>
      <c r="DP16" s="139">
        <f>'Выручка, до'!DL9</f>
        <v>1930332202103.417</v>
      </c>
      <c r="DQ16" s="139">
        <f>'Выручка, до'!DM9</f>
        <v>1986596875385.1885</v>
      </c>
      <c r="DR16" s="139">
        <f>'Выручка, до'!DN9</f>
        <v>2044545684717.9182</v>
      </c>
      <c r="DS16" s="139">
        <f>'Выручка, до'!DO9</f>
        <v>2104230004748.5667</v>
      </c>
      <c r="DT16" s="139">
        <f>'Выручка, до'!DP9</f>
        <v>2165702797824.1626</v>
      </c>
      <c r="DU16" s="139">
        <f>'Выручка, до'!DQ9</f>
        <v>2229018663486.7983</v>
      </c>
      <c r="DV16" s="139">
        <f>'Выручка, до'!DR9</f>
        <v>2294233889520.4053</v>
      </c>
      <c r="DW16" s="139">
        <f>'Выручка, до'!DS9</f>
        <v>2361406504598.1382</v>
      </c>
    </row>
    <row r="17" spans="2:127">
      <c r="B17" s="141"/>
      <c r="C17" s="141"/>
      <c r="D17" s="141"/>
      <c r="E17" s="141"/>
      <c r="F17" s="3"/>
      <c r="G17" s="3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  <c r="AN17" s="134"/>
      <c r="AO17" s="134"/>
      <c r="AP17" s="134"/>
      <c r="AQ17" s="134"/>
      <c r="AR17" s="134"/>
      <c r="AS17" s="134"/>
      <c r="AT17" s="134"/>
      <c r="AU17" s="134"/>
      <c r="AV17" s="134"/>
      <c r="AW17" s="134"/>
      <c r="AX17" s="134"/>
      <c r="AY17" s="134"/>
      <c r="AZ17" s="134"/>
      <c r="BA17" s="134"/>
      <c r="BB17" s="134"/>
      <c r="BC17" s="134"/>
      <c r="BD17" s="134"/>
      <c r="BE17" s="134"/>
      <c r="BF17" s="134"/>
      <c r="BG17" s="134"/>
      <c r="BH17" s="134"/>
      <c r="BI17" s="134"/>
      <c r="BJ17" s="134"/>
      <c r="BK17" s="134"/>
      <c r="BL17" s="134"/>
      <c r="BM17" s="134"/>
      <c r="BN17" s="134"/>
      <c r="BO17" s="134"/>
      <c r="BP17" s="134"/>
      <c r="BQ17" s="134"/>
      <c r="BR17" s="134"/>
      <c r="BS17" s="134"/>
      <c r="BT17" s="134"/>
      <c r="BU17" s="134"/>
      <c r="BV17" s="134"/>
      <c r="BW17" s="134"/>
      <c r="BX17" s="134"/>
      <c r="BY17" s="134"/>
      <c r="BZ17" s="134"/>
      <c r="CA17" s="134"/>
      <c r="CB17" s="134"/>
      <c r="CC17" s="134"/>
      <c r="CD17" s="134"/>
      <c r="CE17" s="134"/>
      <c r="CF17" s="134"/>
      <c r="CG17" s="134"/>
      <c r="CH17" s="134"/>
      <c r="CI17" s="134"/>
      <c r="CJ17" s="134"/>
      <c r="CK17" s="134"/>
      <c r="CL17" s="134"/>
      <c r="CM17" s="134"/>
      <c r="CN17" s="134"/>
      <c r="CO17" s="134"/>
      <c r="CP17" s="134"/>
      <c r="CQ17" s="134"/>
      <c r="CR17" s="134"/>
      <c r="CS17" s="134"/>
      <c r="CT17" s="134"/>
      <c r="CU17" s="134"/>
      <c r="CV17" s="134"/>
      <c r="CW17" s="134"/>
      <c r="CX17" s="134"/>
      <c r="CY17" s="134"/>
      <c r="CZ17" s="134"/>
      <c r="DA17" s="134"/>
      <c r="DB17" s="134"/>
      <c r="DC17" s="134"/>
      <c r="DD17" s="134"/>
      <c r="DE17" s="134"/>
      <c r="DF17" s="134"/>
      <c r="DG17" s="134"/>
      <c r="DH17" s="134"/>
      <c r="DI17" s="134"/>
      <c r="DJ17" s="134"/>
      <c r="DK17" s="134"/>
      <c r="DL17" s="134"/>
      <c r="DM17" s="134"/>
      <c r="DN17" s="134"/>
      <c r="DO17" s="134"/>
      <c r="DP17" s="134"/>
      <c r="DQ17" s="134"/>
      <c r="DR17" s="134"/>
      <c r="DS17" s="134"/>
      <c r="DT17" s="134"/>
      <c r="DU17" s="134"/>
      <c r="DV17" s="134"/>
      <c r="DW17" s="134"/>
    </row>
    <row r="18" spans="2:127">
      <c r="B18" s="409" t="s">
        <v>69</v>
      </c>
      <c r="C18" s="409"/>
      <c r="D18" s="409"/>
      <c r="E18" s="409"/>
      <c r="F18" s="4" t="s">
        <v>35</v>
      </c>
      <c r="G18" s="136">
        <f>SUM(H18:DW18)</f>
        <v>30157958055964.957</v>
      </c>
      <c r="H18" s="140">
        <f>'Налоги и сборы до'!E10</f>
        <v>39045583374.507164</v>
      </c>
      <c r="I18" s="140">
        <f>'Налоги и сборы до'!F10</f>
        <v>39880283484.314987</v>
      </c>
      <c r="J18" s="140">
        <f>'Налоги и сборы до'!G10</f>
        <v>40738209650.040054</v>
      </c>
      <c r="K18" s="140">
        <f>'Налоги и сборы до'!H10</f>
        <v>41620019535.878769</v>
      </c>
      <c r="L18" s="140">
        <f>'Налоги и сборы до'!I10</f>
        <v>42526390106.793442</v>
      </c>
      <c r="M18" s="140">
        <f>'Налоги и сборы до'!J10</f>
        <v>43458018208.996574</v>
      </c>
      <c r="N18" s="140">
        <f>'Налоги и сборы до'!K10</f>
        <v>44415621168.201988</v>
      </c>
      <c r="O18" s="140">
        <f>'Налоги и сборы до'!L10</f>
        <v>45399937406.1931</v>
      </c>
      <c r="P18" s="140">
        <f>'Налоги и сборы до'!M10</f>
        <v>46411727076.275848</v>
      </c>
      <c r="Q18" s="140">
        <f>'Налоги и сборы до'!N10</f>
        <v>47451772718.201416</v>
      </c>
      <c r="R18" s="140">
        <f>'Налоги и сборы до'!O10</f>
        <v>48520879933.162224</v>
      </c>
      <c r="S18" s="140">
        <f>'Налоги и сборы до'!P10</f>
        <v>49619878079.483658</v>
      </c>
      <c r="T18" s="140">
        <f>'Налоги и сборы до'!Q10</f>
        <v>50749607943.037132</v>
      </c>
      <c r="U18" s="140">
        <f>'Налоги и сборы до'!R10</f>
        <v>51910974662.732391</v>
      </c>
      <c r="V18" s="140">
        <f>'Налоги и сборы до'!S10</f>
        <v>53104870212.531677</v>
      </c>
      <c r="W18" s="140">
        <f>'Налоги и сборы до'!T10</f>
        <v>54332226373.009254</v>
      </c>
      <c r="X18" s="140">
        <f>'Налоги и сборы до'!U10</f>
        <v>55594002493.942589</v>
      </c>
      <c r="Y18" s="140">
        <f>'Налоги и сборы до'!V10</f>
        <v>56891186328.379356</v>
      </c>
      <c r="Z18" s="140">
        <f>'Налоги и сборы до'!W10</f>
        <v>58224794892.336273</v>
      </c>
      <c r="AA18" s="140">
        <f>'Налоги и сборы до'!X10</f>
        <v>59595875350.926041</v>
      </c>
      <c r="AB18" s="140">
        <f>'Налоги и сборы до'!Y10</f>
        <v>61005505931.733109</v>
      </c>
      <c r="AC18" s="140">
        <f>'Налоги и сборы до'!Z10</f>
        <v>62454796866.284981</v>
      </c>
      <c r="AD18" s="140">
        <f>'Налоги и сборы до'!AA10</f>
        <v>63944891360.492355</v>
      </c>
      <c r="AE18" s="140">
        <f>'Налоги и сборы до'!AB10</f>
        <v>65476966594.958344</v>
      </c>
      <c r="AF18" s="140">
        <f>'Налоги и сборы до'!AC10</f>
        <v>67052234756.08551</v>
      </c>
      <c r="AG18" s="140">
        <f>'Налоги и сборы до'!AD10</f>
        <v>68671944098.938416</v>
      </c>
      <c r="AH18" s="140">
        <f>'Налоги и сборы до'!AE10</f>
        <v>70337380042.849411</v>
      </c>
      <c r="AI18" s="140">
        <f>'Налоги и сборы до'!AF10</f>
        <v>72049866300.786072</v>
      </c>
      <c r="AJ18" s="140">
        <f>'Налоги и сборы до'!AG10</f>
        <v>73810766043.531036</v>
      </c>
      <c r="AK18" s="140">
        <f>'Налоги и сборы до'!AH10</f>
        <v>75621483099.757385</v>
      </c>
      <c r="AL18" s="140">
        <f>'Налоги и сборы до'!AI10</f>
        <v>77483463193.11705</v>
      </c>
      <c r="AM18" s="140">
        <f>'Налоги и сборы до'!AJ10</f>
        <v>79398195217.4944</v>
      </c>
      <c r="AN18" s="140">
        <f>'Налоги и сборы до'!AK10</f>
        <v>81367212551.613586</v>
      </c>
      <c r="AO18" s="140">
        <f>'Налоги и сборы до'!AL10</f>
        <v>83392094414.225082</v>
      </c>
      <c r="AP18" s="140">
        <f>'Налоги и сборы до'!AM10</f>
        <v>85474467261.13562</v>
      </c>
      <c r="AQ18" s="140">
        <f>'Налоги и сборы до'!AN10</f>
        <v>87616006225.385101</v>
      </c>
      <c r="AR18" s="140">
        <f>'Налоги и сборы до'!AO10</f>
        <v>89818436601.914856</v>
      </c>
      <c r="AS18" s="140">
        <f>'Налоги и сборы до'!AP10</f>
        <v>92083535378.114258</v>
      </c>
      <c r="AT18" s="140">
        <f>'Налоги и сборы до'!AQ10</f>
        <v>94413132811.675323</v>
      </c>
      <c r="AU18" s="140">
        <f>'Налоги и сборы до'!AR10</f>
        <v>96809114057.23053</v>
      </c>
      <c r="AV18" s="140">
        <f>'Налоги и сборы до'!AS10</f>
        <v>99273420843.295242</v>
      </c>
      <c r="AW18" s="140">
        <f>'Налоги и сборы до'!AT10</f>
        <v>101808053201.0829</v>
      </c>
      <c r="AX18" s="140">
        <f>'Налоги и сборы до'!AU10</f>
        <v>104415071246.8121</v>
      </c>
      <c r="AY18" s="140">
        <f>'Налоги и сборы до'!AV10</f>
        <v>107096597019.17351</v>
      </c>
      <c r="AZ18" s="140">
        <f>'Налоги и сборы до'!AW10</f>
        <v>109854816373.6783</v>
      </c>
      <c r="BA18" s="140">
        <f>'Налоги и сборы до'!AX10</f>
        <v>112691980935.6631</v>
      </c>
      <c r="BB18" s="140">
        <f>'Налоги и сборы до'!AY10</f>
        <v>115610410113.78258</v>
      </c>
      <c r="BC18" s="140">
        <f>'Налоги и сборы до'!AZ10</f>
        <v>118612493175.87753</v>
      </c>
      <c r="BD18" s="140">
        <f>'Налоги и сборы до'!BA10</f>
        <v>121700691389.16679</v>
      </c>
      <c r="BE18" s="140">
        <f>'Налоги и сборы до'!BB10</f>
        <v>124877540226.77075</v>
      </c>
      <c r="BF18" s="140">
        <f>'Налоги и сборы до'!BC10</f>
        <v>128145651642.63948</v>
      </c>
      <c r="BG18" s="140">
        <f>'Налоги и сборы до'!BD10</f>
        <v>131507716417.02063</v>
      </c>
      <c r="BH18" s="140">
        <f>'Налоги и сборы до'!BE10</f>
        <v>134966506574.67297</v>
      </c>
      <c r="BI18" s="140">
        <f>'Налоги и сборы до'!BF10</f>
        <v>138524877878.09662</v>
      </c>
      <c r="BJ18" s="140">
        <f>'Налоги и сборы до'!BG10</f>
        <v>142185772398.12613</v>
      </c>
      <c r="BK18" s="140">
        <f>'Налоги и сборы до'!BH10</f>
        <v>145952221164.30353</v>
      </c>
      <c r="BL18" s="140">
        <f>'Налоги и сборы до'!BI10</f>
        <v>149827346897.52554</v>
      </c>
      <c r="BM18" s="140">
        <f>'Налоги и сборы до'!BJ10</f>
        <v>153814366827.5376</v>
      </c>
      <c r="BN18" s="140">
        <f>'Налоги и сборы до'!BK10</f>
        <v>157916595597.92731</v>
      </c>
      <c r="BO18" s="140">
        <f>'Налоги и сборы до'!BL10</f>
        <v>162137448261.35489</v>
      </c>
      <c r="BP18" s="140">
        <f>'Налоги и сборы до'!BM10</f>
        <v>166480443367.84152</v>
      </c>
      <c r="BQ18" s="140">
        <f>'Налоги и сборы до'!BN10</f>
        <v>170949206149.02847</v>
      </c>
      <c r="BR18" s="140">
        <f>'Налоги и сборы до'!BO10</f>
        <v>175547471801.40811</v>
      </c>
      <c r="BS18" s="140">
        <f>'Налоги и сборы до'!BP10</f>
        <v>180279088871.62512</v>
      </c>
      <c r="BT18" s="140">
        <f>'Налоги и сборы до'!BQ10</f>
        <v>185148022747.04156</v>
      </c>
      <c r="BU18" s="140">
        <f>'Налоги и сборы до'!BR10</f>
        <v>190158359254.86038</v>
      </c>
      <c r="BV18" s="140">
        <f>'Налоги и сборы до'!BS10</f>
        <v>195314308373.20654</v>
      </c>
      <c r="BW18" s="140">
        <f>'Налоги и сборы до'!BT10</f>
        <v>200620208057.6698</v>
      </c>
      <c r="BX18" s="140">
        <f>'Налоги и сборы до'!BU10</f>
        <v>206080528186.92538</v>
      </c>
      <c r="BY18" s="140">
        <f>'Налоги и сборы до'!BV10</f>
        <v>211699874631.16159</v>
      </c>
      <c r="BZ18" s="140">
        <f>'Налоги и сборы до'!BW10</f>
        <v>217482993447.15967</v>
      </c>
      <c r="CA18" s="140">
        <f>'Налоги и сборы до'!BX10</f>
        <v>223434775203.99411</v>
      </c>
      <c r="CB18" s="140">
        <f>'Налоги и сборы до'!BY10</f>
        <v>229560259443.44574</v>
      </c>
      <c r="CC18" s="140">
        <f>'Налоги и сборы до'!BZ10</f>
        <v>235864639279.34665</v>
      </c>
      <c r="CD18" s="140">
        <f>'Налоги и сборы до'!CA10</f>
        <v>242353266140.21234</v>
      </c>
      <c r="CE18" s="140">
        <f>'Налоги и сборы до'!CB10</f>
        <v>249031654659.65063</v>
      </c>
      <c r="CF18" s="140">
        <f>'Налоги и сборы до'!CC10</f>
        <v>255905487719.17868</v>
      </c>
      <c r="CG18" s="140">
        <f>'Налоги и сборы до'!CD10</f>
        <v>262980621648.22647</v>
      </c>
      <c r="CH18" s="140">
        <f>'Налоги и сборы до'!CE10</f>
        <v>270263091586.25381</v>
      </c>
      <c r="CI18" s="140">
        <f>'Налоги и сборы до'!CF10</f>
        <v>277759117012.06354</v>
      </c>
      <c r="CJ18" s="140">
        <f>'Налоги и сборы до'!CG10</f>
        <v>285475107445.55481</v>
      </c>
      <c r="CK18" s="140">
        <f>'Налоги и сборы до'!CH10</f>
        <v>293417668327.32233</v>
      </c>
      <c r="CL18" s="140">
        <f>'Налоги и сборы до'!CI10</f>
        <v>301593607081.68164</v>
      </c>
      <c r="CM18" s="140">
        <f>'Налоги и сборы до'!CJ10</f>
        <v>310009939368.87219</v>
      </c>
      <c r="CN18" s="140">
        <f>'Налоги и сборы до'!CK10</f>
        <v>318673895532.37415</v>
      </c>
      <c r="CO18" s="140">
        <f>'Налоги и сборы до'!CL10</f>
        <v>327592927247.45862</v>
      </c>
      <c r="CP18" s="140">
        <f>'Налоги и сборы до'!CM10</f>
        <v>336774714377.28851</v>
      </c>
      <c r="CQ18" s="140">
        <f>'Налоги и сборы до'!CN10</f>
        <v>346227172043.0791</v>
      </c>
      <c r="CR18" s="140">
        <f>'Налоги и сборы до'!CO10</f>
        <v>355958457915.04034</v>
      </c>
      <c r="CS18" s="140">
        <f>'Налоги и сборы до'!CP10</f>
        <v>365976979731.02673</v>
      </c>
      <c r="CT18" s="140">
        <f>'Налоги и сборы до'!CQ10</f>
        <v>376291403050.04596</v>
      </c>
      <c r="CU18" s="140">
        <f>'Налоги и сборы до'!CR10</f>
        <v>386910659247.99628</v>
      </c>
      <c r="CV18" s="140">
        <f>'Налоги и сборы до'!CS10</f>
        <v>397843953763.24017</v>
      </c>
      <c r="CW18" s="140">
        <f>'Налоги и сборы до'!CT10</f>
        <v>409100774599.85699</v>
      </c>
      <c r="CX18" s="140">
        <f>'Налоги и сборы до'!CU10</f>
        <v>420690901096.66821</v>
      </c>
      <c r="CY18" s="140">
        <f>'Налоги и сборы до'!CV10</f>
        <v>432624412970.37976</v>
      </c>
      <c r="CZ18" s="140">
        <f>'Налоги и сборы до'!CW10</f>
        <v>444911699641.45306</v>
      </c>
      <c r="DA18" s="140">
        <f>'Налоги и сборы до'!CX10</f>
        <v>457563469851.58459</v>
      </c>
      <c r="DB18" s="140">
        <f>'Налоги и сборы до'!CY10</f>
        <v>470590761581.95435</v>
      </c>
      <c r="DC18" s="140">
        <f>'Налоги и сборы до'!CZ10</f>
        <v>484004952281.69354</v>
      </c>
      <c r="DD18" s="140">
        <f>'Налоги и сборы до'!DA10</f>
        <v>497817769416.31702</v>
      </c>
      <c r="DE18" s="140">
        <f>'Налоги и сборы до'!DB10</f>
        <v>512041301346.17657</v>
      </c>
      <c r="DF18" s="140">
        <f>'Налоги и сборы до'!DC10</f>
        <v>526688008545.30402</v>
      </c>
      <c r="DG18" s="140">
        <f>'Налоги и сборы до'!DD10</f>
        <v>541770735171.3432</v>
      </c>
      <c r="DH18" s="140">
        <f>'Налоги и сборы до'!DE10</f>
        <v>557302720997.6062</v>
      </c>
      <c r="DI18" s="140">
        <f>'Налоги и сборы до'!DF10</f>
        <v>573297613718.63525</v>
      </c>
      <c r="DJ18" s="140">
        <f>'Налоги и сборы до'!DG10</f>
        <v>589769481641.01331</v>
      </c>
      <c r="DK18" s="140">
        <f>'Налоги и сборы до'!DH10</f>
        <v>606732826771.53442</v>
      </c>
      <c r="DL18" s="140">
        <f>'Налоги и сборы до'!DI10</f>
        <v>624202598315.22681</v>
      </c>
      <c r="DM18" s="140">
        <f>'Налоги и сборы до'!DJ10</f>
        <v>642194206596.11975</v>
      </c>
      <c r="DN18" s="140">
        <f>'Налоги и сборы до'!DK10</f>
        <v>660723537414.04077</v>
      </c>
      <c r="DO18" s="140">
        <f>'Налоги и сборы до'!DL10</f>
        <v>679806966851.16357</v>
      </c>
      <c r="DP18" s="140">
        <f>'Налоги и сборы до'!DM10</f>
        <v>699461376542.44897</v>
      </c>
      <c r="DQ18" s="140">
        <f>'Налоги и сборы до'!DN10</f>
        <v>719704169424.56836</v>
      </c>
      <c r="DR18" s="140">
        <f>'Налоги и сборы до'!DO10</f>
        <v>740553285978.36353</v>
      </c>
      <c r="DS18" s="140">
        <f>'Налоги и сборы до'!DP10</f>
        <v>762027220980.36963</v>
      </c>
      <c r="DT18" s="140">
        <f>'Налоги и сборы до'!DQ10</f>
        <v>784145040779.41345</v>
      </c>
      <c r="DU18" s="140">
        <f>'Налоги и сборы до'!DR10</f>
        <v>806926401114.81177</v>
      </c>
      <c r="DV18" s="140">
        <f>'Налоги и сборы до'!DS10</f>
        <v>830391565493.20984</v>
      </c>
      <c r="DW18" s="140">
        <f>'Налоги и сборы до'!DT10</f>
        <v>854561424141.63818</v>
      </c>
    </row>
    <row r="19" spans="2:127">
      <c r="B19" s="3"/>
      <c r="C19" s="3"/>
      <c r="D19" s="3"/>
      <c r="E19" s="3"/>
      <c r="F19" s="3"/>
      <c r="G19" s="3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34"/>
      <c r="AM19" s="134"/>
      <c r="AN19" s="134"/>
      <c r="AO19" s="134"/>
      <c r="AP19" s="134"/>
      <c r="AQ19" s="134"/>
      <c r="AR19" s="134"/>
      <c r="AS19" s="134"/>
      <c r="AT19" s="134"/>
      <c r="AU19" s="134"/>
      <c r="AV19" s="134"/>
      <c r="AW19" s="134"/>
      <c r="AX19" s="134"/>
      <c r="AY19" s="134"/>
      <c r="AZ19" s="134"/>
      <c r="BA19" s="134"/>
      <c r="BB19" s="134"/>
      <c r="BC19" s="134"/>
      <c r="BD19" s="134"/>
      <c r="BE19" s="134"/>
      <c r="BF19" s="134"/>
      <c r="BG19" s="134"/>
      <c r="BH19" s="134"/>
      <c r="BI19" s="134"/>
      <c r="BJ19" s="134"/>
      <c r="BK19" s="134"/>
      <c r="BL19" s="134"/>
      <c r="BM19" s="134"/>
      <c r="BN19" s="134"/>
      <c r="BO19" s="134"/>
      <c r="BP19" s="134"/>
      <c r="BQ19" s="134"/>
      <c r="BR19" s="134"/>
      <c r="BS19" s="134"/>
      <c r="BT19" s="134"/>
      <c r="BU19" s="134"/>
      <c r="BV19" s="134"/>
      <c r="BW19" s="134"/>
      <c r="BX19" s="134"/>
      <c r="BY19" s="134"/>
      <c r="BZ19" s="134"/>
      <c r="CA19" s="134"/>
      <c r="CB19" s="134"/>
      <c r="CC19" s="134"/>
      <c r="CD19" s="134"/>
      <c r="CE19" s="134"/>
      <c r="CF19" s="134"/>
      <c r="CG19" s="134"/>
      <c r="CH19" s="134"/>
      <c r="CI19" s="134"/>
      <c r="CJ19" s="134"/>
      <c r="CK19" s="134"/>
      <c r="CL19" s="134"/>
      <c r="CM19" s="134"/>
      <c r="CN19" s="134"/>
      <c r="CO19" s="134"/>
      <c r="CP19" s="134"/>
      <c r="CQ19" s="134"/>
      <c r="CR19" s="134"/>
      <c r="CS19" s="134"/>
      <c r="CT19" s="134"/>
      <c r="CU19" s="134"/>
      <c r="CV19" s="134"/>
      <c r="CW19" s="134"/>
      <c r="CX19" s="134"/>
      <c r="CY19" s="134"/>
      <c r="CZ19" s="134"/>
      <c r="DA19" s="134"/>
      <c r="DB19" s="134"/>
      <c r="DC19" s="134"/>
      <c r="DD19" s="134"/>
      <c r="DE19" s="134"/>
      <c r="DF19" s="134"/>
      <c r="DG19" s="134"/>
      <c r="DH19" s="134"/>
      <c r="DI19" s="134"/>
      <c r="DJ19" s="134"/>
      <c r="DK19" s="134"/>
      <c r="DL19" s="134"/>
      <c r="DM19" s="134"/>
      <c r="DN19" s="134"/>
      <c r="DO19" s="134"/>
      <c r="DP19" s="134"/>
      <c r="DQ19" s="134"/>
      <c r="DR19" s="134"/>
      <c r="DS19" s="134"/>
      <c r="DT19" s="134"/>
      <c r="DU19" s="134"/>
      <c r="DV19" s="134"/>
      <c r="DW19" s="134"/>
    </row>
    <row r="20" spans="2:127">
      <c r="B20" s="409" t="s">
        <v>282</v>
      </c>
      <c r="C20" s="409"/>
      <c r="D20" s="409"/>
      <c r="E20" s="409"/>
      <c r="F20" s="4" t="s">
        <v>35</v>
      </c>
      <c r="G20" s="136">
        <f>SUM(H20:DW20)</f>
        <v>16419160161664.189</v>
      </c>
      <c r="H20" s="142">
        <f t="shared" ref="H20:S20" si="0">(H5+H9+H16)-(H6+H7+H10+H11+H13+H14+H18)</f>
        <v>51909741720.968292</v>
      </c>
      <c r="I20" s="142">
        <f t="shared" si="0"/>
        <v>53164066096.479584</v>
      </c>
      <c r="J20" s="142">
        <f t="shared" si="0"/>
        <v>54736511160.932159</v>
      </c>
      <c r="K20" s="142">
        <f t="shared" si="0"/>
        <v>56351284940.67009</v>
      </c>
      <c r="L20" s="142">
        <f t="shared" si="0"/>
        <v>58009591293.494812</v>
      </c>
      <c r="M20" s="142">
        <f t="shared" si="0"/>
        <v>59712669420.639954</v>
      </c>
      <c r="N20" s="142">
        <f t="shared" si="0"/>
        <v>61461794930.331665</v>
      </c>
      <c r="O20" s="142">
        <f t="shared" si="0"/>
        <v>63258280933.912827</v>
      </c>
      <c r="P20" s="142">
        <f t="shared" si="0"/>
        <v>65103479175.539948</v>
      </c>
      <c r="Q20" s="142">
        <f t="shared" si="0"/>
        <v>66998781196.493057</v>
      </c>
      <c r="R20" s="142">
        <f t="shared" si="0"/>
        <v>68945619535.171234</v>
      </c>
      <c r="S20" s="142">
        <f t="shared" si="0"/>
        <v>70945468963.88089</v>
      </c>
      <c r="T20" s="142">
        <f>(T5+T9+T16)-(T6+T7+T10+T11+T13+T14+T18)</f>
        <v>72999939883.57254</v>
      </c>
      <c r="U20" s="142">
        <f t="shared" ref="U20:AQ20" si="1">(U5+U9+U16)-(U6+U7+U10+U11+U13+U14+U18)</f>
        <v>75110411157.608124</v>
      </c>
      <c r="V20" s="142">
        <f t="shared" si="1"/>
        <v>77278584186.010651</v>
      </c>
      <c r="W20" s="142">
        <f t="shared" si="1"/>
        <v>79506115821.128723</v>
      </c>
      <c r="X20" s="142">
        <f t="shared" si="1"/>
        <v>81794711926.245544</v>
      </c>
      <c r="Y20" s="142">
        <f t="shared" si="1"/>
        <v>84146128858.367676</v>
      </c>
      <c r="Z20" s="142">
        <f t="shared" si="1"/>
        <v>86562174996.580963</v>
      </c>
      <c r="AA20" s="142">
        <f t="shared" si="1"/>
        <v>89044712317.39032</v>
      </c>
      <c r="AB20" s="142">
        <f t="shared" si="1"/>
        <v>91595658018.501312</v>
      </c>
      <c r="AC20" s="142">
        <f t="shared" si="1"/>
        <v>94216986192.549896</v>
      </c>
      <c r="AD20" s="142">
        <f t="shared" si="1"/>
        <v>96910729552.331665</v>
      </c>
      <c r="AE20" s="142">
        <f>(AE5+AE9+AE16)-(AE6+AE7+AE10+AE11+AE13+AE14+AE18)</f>
        <v>-100150204441.99811</v>
      </c>
      <c r="AF20" s="142">
        <f t="shared" si="1"/>
        <v>-103064653438.69968</v>
      </c>
      <c r="AG20" s="142">
        <f t="shared" si="1"/>
        <v>-106060108588.52002</v>
      </c>
      <c r="AH20" s="142">
        <f t="shared" si="1"/>
        <v>-109138910078.71716</v>
      </c>
      <c r="AI20" s="142">
        <f t="shared" si="1"/>
        <v>-112303478172.17712</v>
      </c>
      <c r="AJ20" s="142">
        <f t="shared" si="1"/>
        <v>-115556305339.39612</v>
      </c>
      <c r="AK20" s="142">
        <f t="shared" si="1"/>
        <v>-118899958456.2312</v>
      </c>
      <c r="AL20" s="142">
        <f t="shared" si="1"/>
        <v>-122337081069.46814</v>
      </c>
      <c r="AM20" s="142">
        <f t="shared" si="1"/>
        <v>-125870395732.31848</v>
      </c>
      <c r="AN20" s="142">
        <f t="shared" si="1"/>
        <v>-129502706412.02374</v>
      </c>
      <c r="AO20" s="142">
        <f t="shared" si="1"/>
        <v>-133236900971.81342</v>
      </c>
      <c r="AP20" s="142">
        <f t="shared" si="1"/>
        <v>-137075953729.53296</v>
      </c>
      <c r="AQ20" s="142">
        <f t="shared" si="1"/>
        <v>-141022918095.33289</v>
      </c>
      <c r="AR20" s="142">
        <f>(AR5+AR9+AR16)-(AR6+AR7+AR10+AR11+AR13+AR14+AR18)</f>
        <v>143520875978.71262</v>
      </c>
      <c r="AS20" s="142">
        <f t="shared" ref="AS20:BC20" si="2">(AS5+AS9+AS16)-(AS6+AS7+AS10+AS11+AS13+AS14+AS18)</f>
        <v>147590578549.80136</v>
      </c>
      <c r="AT20" s="142">
        <f t="shared" si="2"/>
        <v>151774826343.29645</v>
      </c>
      <c r="AU20" s="142">
        <f t="shared" si="2"/>
        <v>156076971075.92874</v>
      </c>
      <c r="AV20" s="142">
        <f t="shared" si="2"/>
        <v>160500465039.30206</v>
      </c>
      <c r="AW20" s="142">
        <f t="shared" si="2"/>
        <v>165048864173.34534</v>
      </c>
      <c r="AX20" s="142">
        <f t="shared" si="2"/>
        <v>169725831234.86081</v>
      </c>
      <c r="AY20" s="142">
        <f t="shared" si="2"/>
        <v>174535139064.13434</v>
      </c>
      <c r="AZ20" s="142">
        <f t="shared" si="2"/>
        <v>179480673952.6687</v>
      </c>
      <c r="BA20" s="142">
        <f t="shared" si="2"/>
        <v>184566439115.19501</v>
      </c>
      <c r="BB20" s="142">
        <f t="shared" si="2"/>
        <v>189796558269.21722</v>
      </c>
      <c r="BC20" s="142">
        <f t="shared" si="2"/>
        <v>195175279325.44702</v>
      </c>
      <c r="BD20" s="142">
        <f>(BD5+BD9+BD16)-(BD6+BD7+BD10+BD11+BD13+BD14+BD18)</f>
        <v>200706978192.59216</v>
      </c>
      <c r="BE20" s="142">
        <f t="shared" ref="BE20:BN20" si="3">(BE5+BE9+BE16)-(BE6+BE7+BE10+BE11+BE13+BE14+BE18)</f>
        <v>206396162700.06689</v>
      </c>
      <c r="BF20" s="142">
        <f t="shared" si="3"/>
        <v>212247476642.31165</v>
      </c>
      <c r="BG20" s="142">
        <f t="shared" si="3"/>
        <v>218265703948.51587</v>
      </c>
      <c r="BH20" s="142">
        <f t="shared" si="3"/>
        <v>224455772981.66724</v>
      </c>
      <c r="BI20" s="142">
        <f t="shared" si="3"/>
        <v>230822760970.96252</v>
      </c>
      <c r="BJ20" s="142">
        <f t="shared" si="3"/>
        <v>237371898581.75464</v>
      </c>
      <c r="BK20" s="142">
        <f t="shared" si="3"/>
        <v>244108574627.32812</v>
      </c>
      <c r="BL20" s="142">
        <f t="shared" si="3"/>
        <v>251038340926.94189</v>
      </c>
      <c r="BM20" s="142">
        <f t="shared" si="3"/>
        <v>258166917314.70959</v>
      </c>
      <c r="BN20" s="142">
        <f t="shared" si="3"/>
        <v>265500196804.03491</v>
      </c>
      <c r="BO20" s="142">
        <f>(BO5+BO9+BO16)-(BO6+BO7+BO10+BO11+BO13+BO14+BO18)</f>
        <v>-277957475122.45032</v>
      </c>
      <c r="BP20" s="142">
        <f t="shared" ref="BP20:CA20" si="4">(BP5+BP9+BP16)-(BP6+BP7+BP10+BP11+BP13+BP14+BP18)</f>
        <v>-285923714391.55139</v>
      </c>
      <c r="BQ20" s="142">
        <f t="shared" si="4"/>
        <v>-294119726650.59851</v>
      </c>
      <c r="BR20" s="142">
        <f t="shared" si="4"/>
        <v>-302552336894.4762</v>
      </c>
      <c r="BS20" s="142">
        <f t="shared" si="4"/>
        <v>-311228587684.05225</v>
      </c>
      <c r="BT20" s="142">
        <f t="shared" si="4"/>
        <v>-320155735541.44324</v>
      </c>
      <c r="BU20" s="142">
        <f t="shared" si="4"/>
        <v>-329341257544.24731</v>
      </c>
      <c r="BV20" s="142">
        <f t="shared" si="4"/>
        <v>-338792858124.97449</v>
      </c>
      <c r="BW20" s="142">
        <f t="shared" si="4"/>
        <v>-348518476082.09717</v>
      </c>
      <c r="BX20" s="142">
        <f t="shared" si="4"/>
        <v>-358526291809.35474</v>
      </c>
      <c r="BY20" s="142">
        <f t="shared" si="4"/>
        <v>-368824734750.14307</v>
      </c>
      <c r="BZ20" s="142">
        <f t="shared" si="4"/>
        <v>-379422491084.04163</v>
      </c>
      <c r="CA20" s="142">
        <f t="shared" si="4"/>
        <v>-390328501652.75439</v>
      </c>
      <c r="CB20" s="142">
        <f>(CB5+CB9+CB16)-(CB6+CB7+CB10+CB11+CB13+CB14+CB18)</f>
        <v>393421056163.18762</v>
      </c>
      <c r="CC20" s="142">
        <f t="shared" ref="CC20:CM20" si="5">(CC5+CC9+CC16)-(CC6+CC7+CC10+CC11+CC13+CC14+CC18)</f>
        <v>404667618716.32104</v>
      </c>
      <c r="CD20" s="142">
        <f t="shared" si="5"/>
        <v>416241623823.59119</v>
      </c>
      <c r="CE20" s="142">
        <f t="shared" si="5"/>
        <v>428152875577.28137</v>
      </c>
      <c r="CF20" s="142">
        <f t="shared" si="5"/>
        <v>440411477176.23975</v>
      </c>
      <c r="CG20" s="142">
        <f t="shared" si="5"/>
        <v>453027840170.33008</v>
      </c>
      <c r="CH20" s="142">
        <f t="shared" si="5"/>
        <v>466012693993.08655</v>
      </c>
      <c r="CI20" s="142">
        <f t="shared" si="5"/>
        <v>479377095791.60754</v>
      </c>
      <c r="CJ20" s="142">
        <f t="shared" si="5"/>
        <v>493132440563.00684</v>
      </c>
      <c r="CK20" s="142">
        <f t="shared" si="5"/>
        <v>507290471607.03772</v>
      </c>
      <c r="CL20" s="142">
        <f t="shared" si="5"/>
        <v>521863291304.80688</v>
      </c>
      <c r="CM20" s="142">
        <f t="shared" si="5"/>
        <v>536863372233.80249</v>
      </c>
      <c r="CN20" s="142">
        <f>(CN5+CN9+CN16)-(CN6+CN7+CN10+CN11+CN13+CN14+CN18)</f>
        <v>552303568629.79578</v>
      </c>
      <c r="CO20" s="142">
        <f t="shared" ref="CO20:CX20" si="6">(CO5+CO9+CO16)-(CO6+CO7+CO10+CO11+CO13+CO14+CO18)</f>
        <v>568197128206.48669</v>
      </c>
      <c r="CP20" s="142">
        <f t="shared" si="6"/>
        <v>584557704344.12915</v>
      </c>
      <c r="CQ20" s="142">
        <f t="shared" si="6"/>
        <v>601399368658.71008</v>
      </c>
      <c r="CR20" s="142">
        <f t="shared" si="6"/>
        <v>618736623963.62378</v>
      </c>
      <c r="CS20" s="142">
        <f t="shared" si="6"/>
        <v>636584417636.16577</v>
      </c>
      <c r="CT20" s="142">
        <f t="shared" si="6"/>
        <v>654958155401.54761</v>
      </c>
      <c r="CU20" s="142">
        <f t="shared" si="6"/>
        <v>673873715547.54541</v>
      </c>
      <c r="CV20" s="142">
        <f t="shared" si="6"/>
        <v>693347463583.29907</v>
      </c>
      <c r="CW20" s="142">
        <f t="shared" si="6"/>
        <v>713396267356.20752</v>
      </c>
      <c r="CX20" s="142">
        <f t="shared" si="6"/>
        <v>734037512641.31006</v>
      </c>
      <c r="CY20" s="142">
        <f>(CY5+CY9+CY16)-(CY6+CY7+CY10+CY11+CY13+CY14+CY18)</f>
        <v>-773378688410.63159</v>
      </c>
      <c r="CZ20" s="142">
        <f t="shared" ref="CZ20:DK20" si="7">(CZ5+CZ9+CZ16)-(CZ6+CZ7+CZ10+CZ11+CZ13+CZ14+CZ18)</f>
        <v>-795870162014.70117</v>
      </c>
      <c r="DA20" s="142">
        <f t="shared" si="7"/>
        <v>-819028405602.77539</v>
      </c>
      <c r="DB20" s="142">
        <f t="shared" si="7"/>
        <v>-842873620870.58057</v>
      </c>
      <c r="DC20" s="142">
        <f t="shared" si="7"/>
        <v>-867426641444.77515</v>
      </c>
      <c r="DD20" s="142">
        <f t="shared" si="7"/>
        <v>-892708942215.62744</v>
      </c>
      <c r="DE20" s="142">
        <f t="shared" si="7"/>
        <v>-918742659274.67334</v>
      </c>
      <c r="DF20" s="142">
        <f t="shared" si="7"/>
        <v>-945550610476.39551</v>
      </c>
      <c r="DG20" s="142">
        <f t="shared" si="7"/>
        <v>-973156316643.51758</v>
      </c>
      <c r="DH20" s="142">
        <f t="shared" si="7"/>
        <v>-1001584023436.1582</v>
      </c>
      <c r="DI20" s="142">
        <f t="shared" si="7"/>
        <v>-1030858723905.7168</v>
      </c>
      <c r="DJ20" s="142">
        <f t="shared" si="7"/>
        <v>-1061006181755.0073</v>
      </c>
      <c r="DK20" s="142">
        <f t="shared" si="7"/>
        <v>-1092052945326.8569</v>
      </c>
      <c r="DL20" s="142">
        <f>(DL5+DL9+DL16)-(DL6+DL7+DL10+DL11+DL13+DL14+DL18)</f>
        <v>1096337608154.9165</v>
      </c>
      <c r="DM20" s="142">
        <f t="shared" ref="DM20:DW20" si="8">(DM5+DM9+DM16)-(DM6+DM7+DM10+DM11+DM13+DM14+DM18)</f>
        <v>1128357770770.2119</v>
      </c>
      <c r="DN20" s="142">
        <f t="shared" si="8"/>
        <v>1161333787113.8132</v>
      </c>
      <c r="DO20" s="142">
        <f t="shared" si="8"/>
        <v>1195294770491.3901</v>
      </c>
      <c r="DP20" s="142">
        <f t="shared" si="8"/>
        <v>1230270732968.3679</v>
      </c>
      <c r="DQ20" s="142">
        <f t="shared" si="8"/>
        <v>1266292613368.02</v>
      </c>
      <c r="DR20" s="142">
        <f t="shared" si="8"/>
        <v>1303392306146.9548</v>
      </c>
      <c r="DS20" s="142">
        <f t="shared" si="8"/>
        <v>1341602691175.5972</v>
      </c>
      <c r="DT20" s="142">
        <f t="shared" si="8"/>
        <v>1380957664452.1489</v>
      </c>
      <c r="DU20" s="142">
        <f t="shared" si="8"/>
        <v>1421492169779.3862</v>
      </c>
      <c r="DV20" s="142">
        <f t="shared" si="8"/>
        <v>1463242231434.5952</v>
      </c>
      <c r="DW20" s="142">
        <f t="shared" si="8"/>
        <v>1506244987863.9004</v>
      </c>
    </row>
    <row r="21" spans="2:127">
      <c r="B21" s="409" t="s">
        <v>283</v>
      </c>
      <c r="C21" s="409"/>
      <c r="D21" s="409"/>
      <c r="E21" s="409"/>
      <c r="F21" s="4" t="s">
        <v>35</v>
      </c>
      <c r="G21" s="136">
        <f ca="1">SUM(H21:DW21)</f>
        <v>-138766218717.75452</v>
      </c>
      <c r="H21" s="142">
        <f t="shared" ref="H21" ca="1" si="9">H20+G21</f>
        <v>-206964318.0557467</v>
      </c>
      <c r="I21" s="142">
        <f t="shared" ref="I21" ca="1" si="10">I20+H21</f>
        <v>-206964318.0557467</v>
      </c>
      <c r="J21" s="142">
        <f t="shared" ref="J21" ca="1" si="11">J20+I21</f>
        <v>-206964318.0557467</v>
      </c>
      <c r="K21" s="142">
        <f t="shared" ref="K21" ca="1" si="12">K20+J21</f>
        <v>-206964318.0557467</v>
      </c>
      <c r="L21" s="142">
        <f t="shared" ref="L21" ca="1" si="13">L20+K21</f>
        <v>-206964318.0557467</v>
      </c>
      <c r="M21" s="142">
        <f t="shared" ref="M21" ca="1" si="14">M20+L21</f>
        <v>-206964318.0557467</v>
      </c>
      <c r="N21" s="142">
        <f t="shared" ref="N21" ca="1" si="15">N20+M21</f>
        <v>-206964318.0557467</v>
      </c>
      <c r="O21" s="142">
        <f t="shared" ref="O21" ca="1" si="16">O20+N21</f>
        <v>-206964318.0557467</v>
      </c>
      <c r="P21" s="142">
        <f t="shared" ref="P21" ca="1" si="17">P20+O21</f>
        <v>-206964318.0557467</v>
      </c>
      <c r="Q21" s="142">
        <f t="shared" ref="Q21" ca="1" si="18">Q20+P21</f>
        <v>-206964318.0557467</v>
      </c>
      <c r="R21" s="142">
        <f t="shared" ref="R21" ca="1" si="19">R20+Q21</f>
        <v>-206964318.0557467</v>
      </c>
      <c r="S21" s="142">
        <f t="shared" ref="S21" ca="1" si="20">S20+R21</f>
        <v>-206964318.0557467</v>
      </c>
      <c r="T21" s="142">
        <f t="shared" ref="T21:AQ21" ca="1" si="21">T20+S21</f>
        <v>-206964318.0557467</v>
      </c>
      <c r="U21" s="142">
        <f t="shared" ca="1" si="21"/>
        <v>-136263218.28725082</v>
      </c>
      <c r="V21" s="142">
        <f t="shared" ca="1" si="21"/>
        <v>-64851181.595069945</v>
      </c>
      <c r="W21" s="142">
        <f t="shared" ca="1" si="21"/>
        <v>7278901.3900327384</v>
      </c>
      <c r="X21" s="142">
        <f t="shared" ca="1" si="21"/>
        <v>80134211.130986452</v>
      </c>
      <c r="Y21" s="142">
        <f t="shared" ca="1" si="21"/>
        <v>153721999.89534968</v>
      </c>
      <c r="Z21" s="142">
        <f t="shared" ca="1" si="21"/>
        <v>228049592.47335654</v>
      </c>
      <c r="AA21" s="142">
        <f t="shared" ca="1" si="21"/>
        <v>303124386.90314347</v>
      </c>
      <c r="AB21" s="142">
        <f t="shared" ca="1" si="21"/>
        <v>378953855.20322824</v>
      </c>
      <c r="AC21" s="142">
        <f t="shared" ca="1" si="21"/>
        <v>455545544.11231387</v>
      </c>
      <c r="AD21" s="142">
        <f t="shared" ca="1" si="21"/>
        <v>532907075.83649039</v>
      </c>
      <c r="AE21" s="142">
        <f t="shared" ca="1" si="21"/>
        <v>-2459709049.337863</v>
      </c>
      <c r="AF21" s="142">
        <f t="shared" ca="1" si="21"/>
        <v>-2551071024.0502</v>
      </c>
      <c r="AG21" s="142">
        <f t="shared" ca="1" si="21"/>
        <v>-2535212193.8897505</v>
      </c>
      <c r="AH21" s="142">
        <f t="shared" ca="1" si="21"/>
        <v>-2519822802.7840405</v>
      </c>
      <c r="AI21" s="142">
        <f t="shared" ca="1" si="21"/>
        <v>-2504920247.3845911</v>
      </c>
      <c r="AJ21" s="142">
        <f t="shared" ca="1" si="21"/>
        <v>-2490522353.6248856</v>
      </c>
      <c r="AK21" s="142">
        <f t="shared" ca="1" si="21"/>
        <v>-2476647386.1450276</v>
      </c>
      <c r="AL21" s="142">
        <f t="shared" ca="1" si="21"/>
        <v>-2463314057.9138007</v>
      </c>
      <c r="AM21" s="142">
        <f t="shared" ca="1" si="21"/>
        <v>-2450541540.0521631</v>
      </c>
      <c r="AN21" s="142">
        <f t="shared" ca="1" si="21"/>
        <v>-2438349471.8623271</v>
      </c>
      <c r="AO21" s="142">
        <f t="shared" ca="1" si="21"/>
        <v>-2426757971.066617</v>
      </c>
      <c r="AP21" s="142">
        <f t="shared" ca="1" si="21"/>
        <v>-2415787644.2604136</v>
      </c>
      <c r="AQ21" s="142">
        <f t="shared" ca="1" si="21"/>
        <v>-2405459597.5835757</v>
      </c>
      <c r="AR21" s="142">
        <f>AR20</f>
        <v>143520875978.71262</v>
      </c>
      <c r="AS21" s="142">
        <f>AS20+AR21</f>
        <v>291111454528.51398</v>
      </c>
      <c r="AT21" s="142">
        <f t="shared" ref="AT21" si="22">AT20+AS21</f>
        <v>442886280871.81042</v>
      </c>
      <c r="AU21" s="142">
        <f t="shared" ref="AU21" si="23">AU20+AT21</f>
        <v>598963251947.73914</v>
      </c>
      <c r="AV21" s="142">
        <f t="shared" ref="AV21" si="24">AV20+AU21</f>
        <v>759463716987.04126</v>
      </c>
      <c r="AW21" s="142">
        <f t="shared" ref="AW21" si="25">AW20+AV21</f>
        <v>924512581160.3866</v>
      </c>
      <c r="AX21" s="142">
        <f t="shared" ref="AX21" si="26">AX20+AW21</f>
        <v>1094238412395.2474</v>
      </c>
      <c r="AY21" s="142">
        <f t="shared" ref="AY21" si="27">AY20+AX21</f>
        <v>1268773551459.3818</v>
      </c>
      <c r="AZ21" s="142">
        <f t="shared" ref="AZ21" si="28">AZ20+AY21</f>
        <v>1448254225412.0505</v>
      </c>
      <c r="BA21" s="142">
        <f t="shared" ref="BA21" si="29">BA20+AZ21</f>
        <v>1632820664527.2456</v>
      </c>
      <c r="BB21" s="142">
        <f t="shared" ref="BB21" si="30">BB20+BA21</f>
        <v>1822617222796.4629</v>
      </c>
      <c r="BC21" s="142">
        <f t="shared" ref="BC21" si="31">BC20+BB21</f>
        <v>2017792502121.9099</v>
      </c>
      <c r="BD21" s="142">
        <f t="shared" ref="BD21" si="32">BD20+BC21</f>
        <v>2218499480314.502</v>
      </c>
      <c r="BE21" s="142">
        <f t="shared" ref="BE21" si="33">BE20+BD21</f>
        <v>2424895643014.5688</v>
      </c>
      <c r="BF21" s="142">
        <f t="shared" ref="BF21" si="34">BF20+BE21</f>
        <v>2637143119656.8804</v>
      </c>
      <c r="BG21" s="142">
        <f t="shared" ref="BG21" si="35">BG20+BF21</f>
        <v>2855408823605.3965</v>
      </c>
      <c r="BH21" s="142">
        <f t="shared" ref="BH21" si="36">BH20+BG21</f>
        <v>3079864596587.0635</v>
      </c>
      <c r="BI21" s="142">
        <f t="shared" ref="BI21" si="37">BI20+BH21</f>
        <v>3310687357558.0259</v>
      </c>
      <c r="BJ21" s="142">
        <f t="shared" ref="BJ21" si="38">BJ20+BI21</f>
        <v>3548059256139.7803</v>
      </c>
      <c r="BK21" s="142">
        <f t="shared" ref="BK21" si="39">BK20+BJ21</f>
        <v>3792167830767.1084</v>
      </c>
      <c r="BL21" s="142">
        <f t="shared" ref="BL21" si="40">BL20+BK21</f>
        <v>4043206171694.0503</v>
      </c>
      <c r="BM21" s="142">
        <f t="shared" ref="BM21" si="41">BM20+BL21</f>
        <v>4301373089008.7598</v>
      </c>
      <c r="BN21" s="142">
        <f t="shared" ref="BN21" si="42">BN20+BM21</f>
        <v>4566873285812.7949</v>
      </c>
      <c r="BO21" s="142">
        <f t="shared" ref="BO21" si="43">BO20+BN21</f>
        <v>4288915810690.3447</v>
      </c>
      <c r="BP21" s="142">
        <f t="shared" ref="BP21" si="44">BP20+BO21</f>
        <v>4002992096298.7935</v>
      </c>
      <c r="BQ21" s="142">
        <f t="shared" ref="BQ21" si="45">BQ20+BP21</f>
        <v>3708872369648.1948</v>
      </c>
      <c r="BR21" s="142">
        <f t="shared" ref="BR21" si="46">BR20+BQ21</f>
        <v>3406320032753.7188</v>
      </c>
      <c r="BS21" s="142">
        <f t="shared" ref="BS21" si="47">BS20+BR21</f>
        <v>3095091445069.6665</v>
      </c>
      <c r="BT21" s="142">
        <f t="shared" ref="BT21" si="48">BT20+BS21</f>
        <v>2774935709528.2231</v>
      </c>
      <c r="BU21" s="142">
        <f t="shared" ref="BU21" si="49">BU20+BT21</f>
        <v>2445594451983.9756</v>
      </c>
      <c r="BV21" s="142">
        <f t="shared" ref="BV21" si="50">BV20+BU21</f>
        <v>2106801593859.001</v>
      </c>
      <c r="BW21" s="142">
        <f t="shared" ref="BW21" si="51">BW20+BV21</f>
        <v>1758283117776.9038</v>
      </c>
      <c r="BX21" s="142">
        <f t="shared" ref="BX21" si="52">BX20+BW21</f>
        <v>1399756825967.5491</v>
      </c>
      <c r="BY21" s="142">
        <f t="shared" ref="BY21" si="53">BY20+BX21</f>
        <v>1030932091217.406</v>
      </c>
      <c r="BZ21" s="142">
        <f t="shared" ref="BZ21" si="54">BZ20+BY21</f>
        <v>651509600133.36438</v>
      </c>
      <c r="CA21" s="142">
        <f t="shared" ref="CA21" si="55">CA20+BZ21</f>
        <v>261181098480.60999</v>
      </c>
      <c r="CB21" s="142">
        <f>CB20</f>
        <v>393421056163.18762</v>
      </c>
      <c r="CC21" s="142">
        <f>CC20+CB21</f>
        <v>798088674879.50867</v>
      </c>
      <c r="CD21" s="142">
        <f t="shared" ref="CD21" si="56">CD20+CC21</f>
        <v>1214330298703.0999</v>
      </c>
      <c r="CE21" s="142">
        <f t="shared" ref="CE21" si="57">CE20+CD21</f>
        <v>1642483174280.3813</v>
      </c>
      <c r="CF21" s="142">
        <f t="shared" ref="CF21" si="58">CF20+CE21</f>
        <v>2082894651456.6211</v>
      </c>
      <c r="CG21" s="142">
        <f t="shared" ref="CG21" si="59">CG20+CF21</f>
        <v>2535922491626.9512</v>
      </c>
      <c r="CH21" s="142">
        <f t="shared" ref="CH21" si="60">CH20+CG21</f>
        <v>3001935185620.0376</v>
      </c>
      <c r="CI21" s="142">
        <f t="shared" ref="CI21" si="61">CI20+CH21</f>
        <v>3481312281411.645</v>
      </c>
      <c r="CJ21" s="142">
        <f t="shared" ref="CJ21" si="62">CJ20+CI21</f>
        <v>3974444721974.6519</v>
      </c>
      <c r="CK21" s="142">
        <f t="shared" ref="CK21" si="63">CK20+CJ21</f>
        <v>4481735193581.6895</v>
      </c>
      <c r="CL21" s="142">
        <f t="shared" ref="CL21" si="64">CL20+CK21</f>
        <v>5003598484886.4961</v>
      </c>
      <c r="CM21" s="142">
        <f t="shared" ref="CM21" si="65">CM20+CL21</f>
        <v>5540461857120.2988</v>
      </c>
      <c r="CN21" s="142">
        <f t="shared" ref="CN21" si="66">CN20+CM21</f>
        <v>6092765425750.0947</v>
      </c>
      <c r="CO21" s="142">
        <f t="shared" ref="CO21" si="67">CO20+CN21</f>
        <v>6660962553956.5811</v>
      </c>
      <c r="CP21" s="142">
        <f t="shared" ref="CP21" si="68">CP20+CO21</f>
        <v>7245520258300.71</v>
      </c>
      <c r="CQ21" s="142">
        <f t="shared" ref="CQ21" si="69">CQ20+CP21</f>
        <v>7846919626959.4199</v>
      </c>
      <c r="CR21" s="142">
        <f t="shared" ref="CR21" si="70">CR20+CQ21</f>
        <v>8465656250923.0439</v>
      </c>
      <c r="CS21" s="142">
        <f t="shared" ref="CS21" si="71">CS20+CR21</f>
        <v>9102240668559.209</v>
      </c>
      <c r="CT21" s="142">
        <f t="shared" ref="CT21" si="72">CT20+CS21</f>
        <v>9757198823960.7559</v>
      </c>
      <c r="CU21" s="142">
        <f t="shared" ref="CU21" si="73">CU20+CT21</f>
        <v>10431072539508.301</v>
      </c>
      <c r="CV21" s="142">
        <f t="shared" ref="CV21" si="74">CV20+CU21</f>
        <v>11124420003091.6</v>
      </c>
      <c r="CW21" s="142">
        <f t="shared" ref="CW21" si="75">CW20+CV21</f>
        <v>11837816270447.807</v>
      </c>
      <c r="CX21" s="142">
        <f t="shared" ref="CX21" si="76">CX20+CW21</f>
        <v>12571853783089.117</v>
      </c>
      <c r="CY21" s="142">
        <f t="shared" ref="CY21" si="77">CY20+CX21</f>
        <v>11798475094678.486</v>
      </c>
      <c r="CZ21" s="142">
        <f t="shared" ref="CZ21" si="78">CZ20+CY21</f>
        <v>11002604932663.785</v>
      </c>
      <c r="DA21" s="142">
        <f t="shared" ref="DA21" si="79">DA20+CZ21</f>
        <v>10183576527061.01</v>
      </c>
      <c r="DB21" s="142">
        <f t="shared" ref="DB21" si="80">DB20+DA21</f>
        <v>9340702906190.4297</v>
      </c>
      <c r="DC21" s="142">
        <f t="shared" ref="DC21" si="81">DC20+DB21</f>
        <v>8473276264745.6543</v>
      </c>
      <c r="DD21" s="142">
        <f t="shared" ref="DD21" si="82">DD20+DC21</f>
        <v>7580567322530.0273</v>
      </c>
      <c r="DE21" s="142">
        <f t="shared" ref="DE21" si="83">DE20+DD21</f>
        <v>6661824663255.3535</v>
      </c>
      <c r="DF21" s="142">
        <f t="shared" ref="DF21" si="84">DF20+DE21</f>
        <v>5716274052778.958</v>
      </c>
      <c r="DG21" s="142">
        <f t="shared" ref="DG21" si="85">DG20+DF21</f>
        <v>4743117736135.4404</v>
      </c>
      <c r="DH21" s="142">
        <f t="shared" ref="DH21" si="86">DH20+DG21</f>
        <v>3741533712699.2822</v>
      </c>
      <c r="DI21" s="142">
        <f t="shared" ref="DI21" si="87">DI20+DH21</f>
        <v>2710674988793.5654</v>
      </c>
      <c r="DJ21" s="142">
        <f t="shared" ref="DJ21" si="88">DJ20+DI21</f>
        <v>1649668807038.5581</v>
      </c>
      <c r="DK21" s="142">
        <f t="shared" ref="DK21" si="89">DK20+DJ21</f>
        <v>557615861711.70117</v>
      </c>
      <c r="DL21" s="142">
        <f>DL20</f>
        <v>1096337608154.9165</v>
      </c>
      <c r="DM21" s="142">
        <f>DM20+DL21</f>
        <v>2224695378925.1284</v>
      </c>
      <c r="DN21" s="142">
        <f t="shared" ref="DN21" si="90">DN20+DM21</f>
        <v>3386029166038.9414</v>
      </c>
      <c r="DO21" s="142">
        <f t="shared" ref="DO21" si="91">DO20+DN21</f>
        <v>4581323936530.332</v>
      </c>
      <c r="DP21" s="142">
        <f t="shared" ref="DP21" si="92">DP20+DO21</f>
        <v>5811594669498.7002</v>
      </c>
      <c r="DQ21" s="142">
        <f t="shared" ref="DQ21" si="93">DQ20+DP21</f>
        <v>7077887282866.7207</v>
      </c>
      <c r="DR21" s="142">
        <f t="shared" ref="DR21" si="94">DR20+DQ21</f>
        <v>8381279589013.6758</v>
      </c>
      <c r="DS21" s="142">
        <f t="shared" ref="DS21" si="95">DS20+DR21</f>
        <v>9722882280189.2734</v>
      </c>
      <c r="DT21" s="142">
        <f t="shared" ref="DT21" si="96">DT20+DS21</f>
        <v>11103839944641.422</v>
      </c>
      <c r="DU21" s="142">
        <f t="shared" ref="DU21" si="97">DU20+DT21</f>
        <v>12525332114420.809</v>
      </c>
      <c r="DV21" s="142">
        <f t="shared" ref="DV21" si="98">DV20+DU21</f>
        <v>13988574345855.404</v>
      </c>
      <c r="DW21" s="142">
        <f t="shared" ref="DW21" si="99">DW20+DV21</f>
        <v>15494819333719.305</v>
      </c>
    </row>
  </sheetData>
  <mergeCells count="20">
    <mergeCell ref="B18:E18"/>
    <mergeCell ref="B20:E20"/>
    <mergeCell ref="B21:E21"/>
    <mergeCell ref="B6:E6"/>
    <mergeCell ref="B7:E7"/>
    <mergeCell ref="B13:E13"/>
    <mergeCell ref="B14:E14"/>
    <mergeCell ref="B16:E16"/>
    <mergeCell ref="H2:S2"/>
    <mergeCell ref="T2:AE2"/>
    <mergeCell ref="AF2:AQ2"/>
    <mergeCell ref="B4:E4"/>
    <mergeCell ref="B5:E5"/>
    <mergeCell ref="CZ2:DK2"/>
    <mergeCell ref="DL2:DW2"/>
    <mergeCell ref="AR2:BC2"/>
    <mergeCell ref="BD2:BO2"/>
    <mergeCell ref="BP2:CA2"/>
    <mergeCell ref="CB2:CM2"/>
    <mergeCell ref="CN2:CY2"/>
  </mergeCells>
  <pageMargins left="0.7" right="0.7" top="0.75" bottom="0.75" header="0.3" footer="0.3"/>
  <pageSetup paperSize="9" firstPageNumber="4294967295" orientation="portrait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30A0"/>
  </sheetPr>
  <dimension ref="B2:Q19"/>
  <sheetViews>
    <sheetView zoomScale="90" workbookViewId="0">
      <pane xSplit="7" ySplit="2" topLeftCell="H3" activePane="bottomRight" state="frozen"/>
      <selection activeCell="B2" sqref="B2:G2"/>
      <selection pane="topRight"/>
      <selection pane="bottomLeft"/>
      <selection pane="bottomRight" activeCell="G19" sqref="G19"/>
    </sheetView>
  </sheetViews>
  <sheetFormatPr baseColWidth="10" defaultColWidth="8.83203125" defaultRowHeight="15"/>
  <cols>
    <col min="7" max="7" width="17.83203125" customWidth="1"/>
    <col min="8" max="8" width="14.33203125" customWidth="1"/>
    <col min="9" max="9" width="12.5" customWidth="1"/>
    <col min="10" max="10" width="13.83203125" customWidth="1"/>
    <col min="11" max="17" width="11.33203125" customWidth="1"/>
  </cols>
  <sheetData>
    <row r="2" spans="2:17">
      <c r="B2" s="408" t="s">
        <v>277</v>
      </c>
      <c r="C2" s="408"/>
      <c r="D2" s="408"/>
      <c r="E2" s="408"/>
      <c r="F2" s="4" t="s">
        <v>54</v>
      </c>
      <c r="G2" s="4" t="s">
        <v>27</v>
      </c>
      <c r="H2" s="21" t="s">
        <v>284</v>
      </c>
      <c r="I2" s="21" t="s">
        <v>285</v>
      </c>
      <c r="J2" s="21" t="s">
        <v>286</v>
      </c>
      <c r="K2" s="186" t="s">
        <v>365</v>
      </c>
      <c r="L2" s="186" t="s">
        <v>366</v>
      </c>
      <c r="M2" s="186" t="s">
        <v>367</v>
      </c>
      <c r="N2" s="186" t="s">
        <v>368</v>
      </c>
      <c r="O2" s="186" t="s">
        <v>369</v>
      </c>
      <c r="P2" s="186" t="s">
        <v>370</v>
      </c>
      <c r="Q2" s="186" t="s">
        <v>371</v>
      </c>
    </row>
    <row r="3" spans="2:17">
      <c r="B3" s="409" t="s">
        <v>278</v>
      </c>
      <c r="C3" s="409"/>
      <c r="D3" s="409"/>
      <c r="E3" s="409"/>
      <c r="F3" s="4" t="s">
        <v>35</v>
      </c>
      <c r="G3" s="142">
        <f t="shared" ref="G3:G9" si="0">SUM(H3:J3)</f>
        <v>3172969819571.3496</v>
      </c>
      <c r="H3" s="143">
        <f>SUM('Финансовый план по месяцам'!H5:S5)</f>
        <v>730320327848.51453</v>
      </c>
      <c r="I3" s="143">
        <f>SUM('Финансовый план по месяцам'!T5:AE5)</f>
        <v>1014913359034.3142</v>
      </c>
      <c r="J3" s="143">
        <f>SUM('Финансовый план по месяцам'!AF5:AQ5)</f>
        <v>1427736132688.5212</v>
      </c>
      <c r="K3" s="143">
        <f>SUM('Финансовый план по месяцам'!K5:V5)</f>
        <v>792748021117.02856</v>
      </c>
      <c r="L3" s="143">
        <f>SUM('Финансовый план по месяцам'!W5:AH5)</f>
        <v>1105794843773.9602</v>
      </c>
      <c r="M3" s="143">
        <f>SUM('Финансовый план по месяцам'!AI5:AT5)</f>
        <v>1554006519166.4224</v>
      </c>
      <c r="N3" s="143">
        <f>SUM('Финансовый план по месяцам'!N5:Y5)</f>
        <v>860658176120.62781</v>
      </c>
      <c r="O3" s="143">
        <f>SUM('Финансовый план по месяцам'!Z5:AK5)</f>
        <v>1204420621467.0505</v>
      </c>
      <c r="P3" s="143">
        <f>SUM('Финансовый план по месяцам'!AL5:AW5)</f>
        <v>1691195044184.103</v>
      </c>
      <c r="Q3" s="143">
        <f>SUM('Финансовый план по месяцам'!Q5:AB5)</f>
        <v>934536566668.14294</v>
      </c>
    </row>
    <row r="4" spans="2:17">
      <c r="B4" s="409" t="s">
        <v>279</v>
      </c>
      <c r="C4" s="409"/>
      <c r="D4" s="409"/>
      <c r="E4" s="409"/>
      <c r="F4" s="4" t="s">
        <v>35</v>
      </c>
      <c r="G4" s="135">
        <f t="shared" si="0"/>
        <v>0</v>
      </c>
      <c r="H4" s="138">
        <f>SUM('Финансовый план по месяцам'!H6:S6)</f>
        <v>0</v>
      </c>
      <c r="I4" s="138">
        <f>SUM('Финансовый план по месяцам'!T6:AE6)</f>
        <v>0</v>
      </c>
      <c r="J4" s="138">
        <f>SUM('Финансовый план по месяцам'!AF6:AQ6)</f>
        <v>0</v>
      </c>
      <c r="K4" s="138">
        <f>SUM('Финансовый план по месяцам'!K6:V6)</f>
        <v>0</v>
      </c>
      <c r="L4" s="138">
        <f>SUM('Финансовый план по месяцам'!W6:AH6)</f>
        <v>0</v>
      </c>
      <c r="M4" s="138">
        <f>SUM('Финансовый план по месяцам'!AI6:AT6)</f>
        <v>0</v>
      </c>
      <c r="N4" s="138">
        <f>SUM('Финансовый план по месяцам'!N6:Y6)</f>
        <v>0</v>
      </c>
      <c r="O4" s="138">
        <f>SUM('Финансовый план по месяцам'!Z6:AK6)</f>
        <v>0</v>
      </c>
      <c r="P4" s="138">
        <f>SUM('Финансовый план по месяцам'!AL6:AW6)</f>
        <v>0</v>
      </c>
      <c r="Q4" s="138">
        <f>SUM('Финансовый план по месяцам'!Q6:AB6)</f>
        <v>0</v>
      </c>
    </row>
    <row r="5" spans="2:17">
      <c r="B5" s="409" t="s">
        <v>280</v>
      </c>
      <c r="C5" s="409"/>
      <c r="D5" s="409"/>
      <c r="E5" s="409"/>
      <c r="F5" s="4" t="s">
        <v>35</v>
      </c>
      <c r="G5" s="135">
        <f t="shared" si="0"/>
        <v>0</v>
      </c>
      <c r="H5" s="138">
        <f>SUM('Финансовый план по месяцам'!H7:S7)</f>
        <v>0</v>
      </c>
      <c r="I5" s="138">
        <f>SUM('Финансовый план по месяцам'!T7:AE7)</f>
        <v>0</v>
      </c>
      <c r="J5" s="138">
        <f>SUM('Финансовый план по месяцам'!AF7:AQ7)</f>
        <v>0</v>
      </c>
      <c r="K5" s="138">
        <f>SUM('Финансовый план по месяцам'!K7:V7)</f>
        <v>0</v>
      </c>
      <c r="L5" s="138">
        <f>SUM('Финансовый план по месяцам'!W7:AH7)</f>
        <v>0</v>
      </c>
      <c r="M5" s="138">
        <f>SUM('Финансовый план по месяцам'!AI7:AT7)</f>
        <v>0</v>
      </c>
      <c r="N5" s="138">
        <f>SUM('Финансовый план по месяцам'!N7:Y7)</f>
        <v>0</v>
      </c>
      <c r="O5" s="138">
        <f>SUM('Финансовый план по месяцам'!Z7:AK7)</f>
        <v>0</v>
      </c>
      <c r="P5" s="138">
        <f>SUM('Финансовый план по месяцам'!AL7:AW7)</f>
        <v>0</v>
      </c>
      <c r="Q5" s="138">
        <f>SUM('Финансовый план по месяцам'!Q7:AB7)</f>
        <v>0</v>
      </c>
    </row>
    <row r="6" spans="2:17">
      <c r="B6" s="3"/>
      <c r="C6" s="3"/>
      <c r="D6" s="3"/>
      <c r="E6" s="3"/>
      <c r="F6" s="3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</row>
    <row r="7" spans="2:17">
      <c r="B7" s="45" t="s">
        <v>281</v>
      </c>
      <c r="C7" s="45"/>
      <c r="D7" s="45"/>
      <c r="E7" s="45"/>
      <c r="F7" s="4" t="s">
        <v>35</v>
      </c>
      <c r="G7" s="142">
        <f t="shared" si="0"/>
        <v>276961520</v>
      </c>
      <c r="H7" s="139">
        <f>SUM('Финансовый план по месяцам'!H9:S9)</f>
        <v>276961520</v>
      </c>
      <c r="I7" s="139">
        <f>SUM('Финансовый план по месяцам'!T9:AE9)</f>
        <v>0</v>
      </c>
      <c r="J7" s="139">
        <f>SUM('Финансовый план по месяцам'!AF9:AQ9)</f>
        <v>0</v>
      </c>
      <c r="K7" s="139">
        <f>SUM('Финансовый план по месяцам'!K9:V9)</f>
        <v>0</v>
      </c>
      <c r="L7" s="139">
        <f>SUM('Финансовый план по месяцам'!W9:AH9)</f>
        <v>0</v>
      </c>
      <c r="M7" s="139">
        <f>SUM('Финансовый план по месяцам'!AI9:AT9)</f>
        <v>0</v>
      </c>
      <c r="N7" s="139">
        <f>SUM('Финансовый план по месяцам'!N9:Y9)</f>
        <v>0</v>
      </c>
      <c r="O7" s="139">
        <f>SUM('Финансовый план по месяцам'!Z9:AK9)</f>
        <v>0</v>
      </c>
      <c r="P7" s="139">
        <f>SUM('Финансовый план по месяцам'!AL9:AW9)</f>
        <v>0</v>
      </c>
      <c r="Q7" s="139">
        <f>SUM('Финансовый план по месяцам'!Q9:AB9)</f>
        <v>0</v>
      </c>
    </row>
    <row r="8" spans="2:17">
      <c r="B8" s="45" t="s">
        <v>186</v>
      </c>
      <c r="C8" s="45"/>
      <c r="D8" s="45"/>
      <c r="E8" s="45"/>
      <c r="F8" s="4" t="s">
        <v>35</v>
      </c>
      <c r="G8" s="142">
        <f t="shared" si="0"/>
        <v>3172969819571.3501</v>
      </c>
      <c r="H8" s="140">
        <f>SUM('Финансовый план по месяцам'!H10:S10)</f>
        <v>730320327848.51453</v>
      </c>
      <c r="I8" s="140">
        <f>SUM('Финансовый план по месяцам'!T10:AE10)</f>
        <v>1014913359034.3142</v>
      </c>
      <c r="J8" s="140">
        <f>SUM('Финансовый план по месяцам'!AF10:AQ10)</f>
        <v>1427736132688.5215</v>
      </c>
      <c r="K8" s="140">
        <f>SUM('Финансовый план по месяцам'!K10:V10)</f>
        <v>792748021117.02856</v>
      </c>
      <c r="L8" s="140">
        <f>SUM('Финансовый план по месяцам'!W10:AH10)</f>
        <v>1105794843773.9602</v>
      </c>
      <c r="M8" s="140">
        <f>SUM('Финансовый план по месяцам'!AI10:AT10)</f>
        <v>1554006519166.4224</v>
      </c>
      <c r="N8" s="140">
        <f>SUM('Финансовый план по месяцам'!N10:Y10)</f>
        <v>860658176120.62769</v>
      </c>
      <c r="O8" s="140">
        <f>SUM('Финансовый план по месяцам'!Z10:AK10)</f>
        <v>1204420621467.0505</v>
      </c>
      <c r="P8" s="140">
        <f>SUM('Финансовый план по месяцам'!AL10:AW10)</f>
        <v>1691195044184.103</v>
      </c>
      <c r="Q8" s="140">
        <f>SUM('Финансовый план по месяцам'!Q10:AB10)</f>
        <v>934536566668.14294</v>
      </c>
    </row>
    <row r="9" spans="2:17">
      <c r="B9" s="45" t="s">
        <v>192</v>
      </c>
      <c r="C9" s="45"/>
      <c r="D9" s="45"/>
      <c r="E9" s="45"/>
      <c r="F9" s="4" t="s">
        <v>35</v>
      </c>
      <c r="G9" s="142">
        <f t="shared" si="0"/>
        <v>3096235725298.4814</v>
      </c>
      <c r="H9" s="140">
        <f>SUM('Финансовый план по месяцам'!H11:S11)</f>
        <v>0</v>
      </c>
      <c r="I9" s="140">
        <f>SUM('Финансовый план по месяцам'!T11:AE11)</f>
        <v>199829185651.13049</v>
      </c>
      <c r="J9" s="140">
        <f>SUM('Финансовый план по месяцам'!AF11:AQ11)</f>
        <v>2896406539647.3511</v>
      </c>
      <c r="K9" s="140">
        <f>SUM('Финансовый план по месяцам'!K11:V11)</f>
        <v>0</v>
      </c>
      <c r="L9" s="140">
        <f>SUM('Финансовый план по месяцам'!W11:AH11)</f>
        <v>834517111112.71729</v>
      </c>
      <c r="M9" s="140">
        <f>SUM('Финансовый план по месяцам'!AI11:AT11)</f>
        <v>2261718614185.7646</v>
      </c>
      <c r="N9" s="140">
        <f>SUM('Финансовый план по месяцам'!N11:Y11)</f>
        <v>0</v>
      </c>
      <c r="O9" s="140">
        <f>SUM('Финансовый план по месяцам'!Z11:AK11)</f>
        <v>1525512054653.511</v>
      </c>
      <c r="P9" s="140">
        <f>SUM('Финансовый план по месяцам'!AL11:AW11)</f>
        <v>1570723670644.9707</v>
      </c>
      <c r="Q9" s="140">
        <f>SUM('Финансовый план по месяцам'!Q11:AB11)</f>
        <v>0</v>
      </c>
    </row>
    <row r="10" spans="2:17">
      <c r="B10" s="3"/>
      <c r="C10" s="3"/>
      <c r="D10" s="3"/>
      <c r="E10" s="3"/>
      <c r="F10" s="3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</row>
    <row r="11" spans="2:17">
      <c r="B11" s="409" t="s">
        <v>57</v>
      </c>
      <c r="C11" s="409"/>
      <c r="D11" s="409"/>
      <c r="E11" s="409"/>
      <c r="F11" s="4" t="s">
        <v>35</v>
      </c>
      <c r="G11" s="142">
        <f t="shared" ref="G11:G19" si="1">SUM(H11:J11)</f>
        <v>0</v>
      </c>
      <c r="H11" s="140">
        <f>SUM('Финансовый план по месяцам'!H13:S13)</f>
        <v>0</v>
      </c>
      <c r="I11" s="140">
        <f>SUM('Финансовый план по месяцам'!T13:AE13)</f>
        <v>0</v>
      </c>
      <c r="J11" s="140">
        <f>SUM('Финансовый план по месяцам'!AF13:AQ13)</f>
        <v>0</v>
      </c>
      <c r="K11" s="140">
        <f>SUM('Финансовый план по месяцам'!K13:V13)</f>
        <v>0</v>
      </c>
      <c r="L11" s="140">
        <f>SUM('Финансовый план по месяцам'!W13:AH13)</f>
        <v>0</v>
      </c>
      <c r="M11" s="140">
        <f>SUM('Финансовый план по месяцам'!AI13:AT13)</f>
        <v>0</v>
      </c>
      <c r="N11" s="140">
        <f>SUM('Финансовый план по месяцам'!N13:Y13)</f>
        <v>0</v>
      </c>
      <c r="O11" s="140">
        <f>SUM('Финансовый план по месяцам'!Z13:AK13)</f>
        <v>0</v>
      </c>
      <c r="P11" s="140">
        <f>SUM('Финансовый план по месяцам'!AL13:AW13)</f>
        <v>0</v>
      </c>
      <c r="Q11" s="140">
        <f>SUM('Финансовый план по месяцам'!Q13:AB13)</f>
        <v>0</v>
      </c>
    </row>
    <row r="12" spans="2:17">
      <c r="B12" s="409" t="s">
        <v>63</v>
      </c>
      <c r="C12" s="409"/>
      <c r="D12" s="409"/>
      <c r="E12" s="409"/>
      <c r="F12" s="4" t="s">
        <v>35</v>
      </c>
      <c r="G12" s="142">
        <f t="shared" si="1"/>
        <v>21604282214.400002</v>
      </c>
      <c r="H12" s="140">
        <f>SUM('Финансовый план по месяцам'!H14:S14)</f>
        <v>7202059992</v>
      </c>
      <c r="I12" s="140">
        <f>SUM('Финансовый план по месяцам'!T14:AE14)</f>
        <v>7201111111.2000017</v>
      </c>
      <c r="J12" s="140">
        <f>SUM('Финансовый план по месяцам'!AF14:AQ14)</f>
        <v>7201111111.2000017</v>
      </c>
      <c r="K12" s="140">
        <f>SUM('Финансовый план по месяцам'!K14:V14)</f>
        <v>7201822771.8000011</v>
      </c>
      <c r="L12" s="140">
        <f>SUM('Финансовый план по месяцам'!W14:AH14)</f>
        <v>7201111111.2000017</v>
      </c>
      <c r="M12" s="140">
        <f>SUM('Финансовый план по месяцам'!AI14:AT14)</f>
        <v>7201111111.2000017</v>
      </c>
      <c r="N12" s="140">
        <f>SUM('Финансовый план по месяцам'!N14:Y14)</f>
        <v>7201585551.6000013</v>
      </c>
      <c r="O12" s="140">
        <f>SUM('Финансовый план по месяцам'!Z14:AK14)</f>
        <v>7201111111.2000017</v>
      </c>
      <c r="P12" s="140">
        <f>SUM('Финансовый план по месяцам'!AL14:AW14)</f>
        <v>7201111111.2000017</v>
      </c>
      <c r="Q12" s="140">
        <f>SUM('Финансовый план по месяцам'!Q14:AB14)</f>
        <v>7201348331.4000015</v>
      </c>
    </row>
    <row r="13" spans="2:17">
      <c r="B13" s="141"/>
      <c r="C13" s="141"/>
      <c r="D13" s="141"/>
      <c r="E13" s="141"/>
      <c r="F13" s="3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</row>
    <row r="14" spans="2:17">
      <c r="B14" s="409" t="s">
        <v>184</v>
      </c>
      <c r="C14" s="409"/>
      <c r="D14" s="409"/>
      <c r="E14" s="409"/>
      <c r="F14" s="4" t="s">
        <v>35</v>
      </c>
      <c r="G14" s="142">
        <f t="shared" si="1"/>
        <v>5367756046702.7861</v>
      </c>
      <c r="H14" s="139">
        <f>SUM('Финансовый план по месяцам'!H16:S16)</f>
        <v>1266610708582.5637</v>
      </c>
      <c r="I14" s="139">
        <f>SUM('Финансовый план по месяцам'!T16:AE16)</f>
        <v>1729331944240.9834</v>
      </c>
      <c r="J14" s="139">
        <f>SUM('Финансовый план по месяцам'!AF16:AQ16)</f>
        <v>2371813393879.2393</v>
      </c>
      <c r="K14" s="139">
        <f>SUM('Финансовый план по месяцам'!K16:V16)</f>
        <v>1368567425440.6138</v>
      </c>
      <c r="L14" s="139">
        <f>SUM('Финансовый план по месяцам'!W16:AH16)</f>
        <v>1870663368449.0142</v>
      </c>
      <c r="M14" s="139">
        <f>SUM('Финансовый план по месяцам'!AI16:AT16)</f>
        <v>2568528967289.231</v>
      </c>
      <c r="N14" s="139">
        <f>SUM('Финансовый план по месяцам'!N16:Y16)</f>
        <v>1479153586515.0134</v>
      </c>
      <c r="O14" s="139">
        <f>SUM('Финансовый план по месяцам'!Z16:AK16)</f>
        <v>2024116313665.0046</v>
      </c>
      <c r="P14" s="139">
        <f>SUM('Финансовый план по месяцам'!AL16:AW16)</f>
        <v>2782328538662.3516</v>
      </c>
      <c r="Q14" s="139">
        <f>SUM('Финансовый план по месяцам'!Q16:AB16)</f>
        <v>1599131230111.8262</v>
      </c>
    </row>
    <row r="15" spans="2:17">
      <c r="B15" s="141"/>
      <c r="C15" s="141"/>
      <c r="D15" s="141"/>
      <c r="E15" s="141"/>
      <c r="F15" s="3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</row>
    <row r="16" spans="2:17">
      <c r="B16" s="409" t="s">
        <v>69</v>
      </c>
      <c r="C16" s="409"/>
      <c r="D16" s="409"/>
      <c r="E16" s="409"/>
      <c r="F16" s="4" t="s">
        <v>35</v>
      </c>
      <c r="G16" s="142">
        <f t="shared" si="1"/>
        <v>2144649132957.3313</v>
      </c>
      <c r="H16" s="140">
        <f>SUM('Финансовый план по месяцам'!H18:S18)</f>
        <v>529088320742.04919</v>
      </c>
      <c r="I16" s="140">
        <f>SUM('Финансовый план по месяцам'!T18:AE18)</f>
        <v>693285699010.3634</v>
      </c>
      <c r="J16" s="140">
        <f>SUM('Финансовый план по месяцам'!AF18:AQ18)</f>
        <v>922275113204.9187</v>
      </c>
      <c r="K16" s="140">
        <f>SUM('Финансовый план по месяцам'!K18:V18)</f>
        <v>565189697051.48828</v>
      </c>
      <c r="L16" s="140">
        <f>SUM('Финансовый план по месяцам'!W18:AH18)</f>
        <v>743581805089.93555</v>
      </c>
      <c r="M16" s="140">
        <f>SUM('Финансовый план по месяцам'!AI18:AT18)</f>
        <v>992528659098.74976</v>
      </c>
      <c r="N16" s="140">
        <f>SUM('Финансовый план по месяцам'!N18:Y18)</f>
        <v>604402684395.15063</v>
      </c>
      <c r="O16" s="140">
        <f>SUM('Финансовый план по месяцам'!Z18:AK18)</f>
        <v>798246505338.67871</v>
      </c>
      <c r="P16" s="140">
        <f>SUM('Финансовый план по месяцам'!AL18:AW18)</f>
        <v>1068937131756.2839</v>
      </c>
      <c r="Q16" s="140">
        <f>SUM('Финансовый план по месяцам'!Q18:AB18)</f>
        <v>647001574919.4751</v>
      </c>
    </row>
    <row r="17" spans="2:17">
      <c r="B17" s="3"/>
      <c r="C17" s="3"/>
      <c r="D17" s="3"/>
      <c r="E17" s="3"/>
      <c r="F17" s="3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</row>
    <row r="18" spans="2:17">
      <c r="B18" s="409" t="s">
        <v>287</v>
      </c>
      <c r="C18" s="409"/>
      <c r="D18" s="409"/>
      <c r="E18" s="409"/>
      <c r="F18" s="4" t="s">
        <v>35</v>
      </c>
      <c r="G18" s="142">
        <f>SUM(H18:Q18)</f>
        <v>2135264588539.3032</v>
      </c>
      <c r="H18" s="142">
        <f>(H3+H7+H14)-(H4+H5+H8+H9+H11+H12+H16)</f>
        <v>730597289368.5144</v>
      </c>
      <c r="I18" s="142">
        <f t="shared" ref="I18:J18" si="2">(I3+I7+I14)-(I4+I5+I8+I9+I11+I12+I16)</f>
        <v>829015948468.28955</v>
      </c>
      <c r="J18" s="142">
        <f t="shared" si="2"/>
        <v>-1454069370084.2305</v>
      </c>
      <c r="K18" s="142">
        <f>(K3+K7+K14)-(K4+K5+K8+K9+K11+K12+K16)</f>
        <v>796175905617.32544</v>
      </c>
      <c r="L18" s="142">
        <f t="shared" ref="L18:M18" si="3">(L3+L7+L14)-(L4+L5+L8+L9+L11+L12+L16)</f>
        <v>285363341135.16162</v>
      </c>
      <c r="M18" s="142">
        <f t="shared" si="3"/>
        <v>-692919417106.4834</v>
      </c>
      <c r="N18" s="142">
        <f>(N3+N7+N14)-(N4+N5+N8+N9+N11+N12+N16)</f>
        <v>867549316568.2627</v>
      </c>
      <c r="O18" s="142">
        <f t="shared" ref="O18:P18" si="4">(O3+O7+O14)-(O4+O5+O8+O9+O11+O12+O16)</f>
        <v>-306843357438.38525</v>
      </c>
      <c r="P18" s="142">
        <f t="shared" si="4"/>
        <v>135466625149.89746</v>
      </c>
      <c r="Q18" s="142">
        <f>(Q3+Q7+Q14)-(Q4+Q5+Q8+Q9+Q11+Q12+Q16)</f>
        <v>944928306860.95117</v>
      </c>
    </row>
    <row r="19" spans="2:17">
      <c r="B19" s="409" t="s">
        <v>283</v>
      </c>
      <c r="C19" s="409"/>
      <c r="D19" s="409"/>
      <c r="E19" s="409"/>
      <c r="F19" s="4" t="s">
        <v>35</v>
      </c>
      <c r="G19" s="142">
        <f t="shared" si="1"/>
        <v>2395754394957.8916</v>
      </c>
      <c r="H19" s="142">
        <f>H18</f>
        <v>730597289368.5144</v>
      </c>
      <c r="I19" s="142">
        <f>I18+H19</f>
        <v>1559613237836.804</v>
      </c>
      <c r="J19" s="142">
        <f>J18+I19</f>
        <v>105543867752.57349</v>
      </c>
      <c r="K19" s="142">
        <f>K18</f>
        <v>796175905617.32544</v>
      </c>
      <c r="L19" s="142">
        <f>L18+K19</f>
        <v>1081539246752.4871</v>
      </c>
      <c r="M19" s="142">
        <f>M18+L19</f>
        <v>388619829646.00366</v>
      </c>
      <c r="N19" s="142">
        <f>N18</f>
        <v>867549316568.2627</v>
      </c>
      <c r="O19" s="142">
        <f>O18+N19</f>
        <v>560705959129.87744</v>
      </c>
      <c r="P19" s="142">
        <f>P18+O19</f>
        <v>696172584279.7749</v>
      </c>
      <c r="Q19" s="142">
        <f>Q18</f>
        <v>944928306860.95117</v>
      </c>
    </row>
  </sheetData>
  <mergeCells count="10">
    <mergeCell ref="B12:E12"/>
    <mergeCell ref="B14:E14"/>
    <mergeCell ref="B16:E16"/>
    <mergeCell ref="B18:E18"/>
    <mergeCell ref="B19:E19"/>
    <mergeCell ref="B2:E2"/>
    <mergeCell ref="B3:E3"/>
    <mergeCell ref="B4:E4"/>
    <mergeCell ref="B5:E5"/>
    <mergeCell ref="B11:E11"/>
  </mergeCells>
  <pageMargins left="0.7" right="0.7" top="0.75" bottom="0.75" header="0.3" footer="0.3"/>
  <pageSetup paperSize="9" firstPageNumber="4294967295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66"/>
  </sheetPr>
  <dimension ref="B1:DY44"/>
  <sheetViews>
    <sheetView zoomScale="70" workbookViewId="0">
      <pane xSplit="8" ySplit="4" topLeftCell="I5" activePane="bottomRight" state="frozen"/>
      <selection activeCell="AC50" sqref="AC50"/>
      <selection pane="topRight"/>
      <selection pane="bottomLeft"/>
      <selection pane="bottomRight" activeCell="J24" sqref="J24"/>
    </sheetView>
  </sheetViews>
  <sheetFormatPr baseColWidth="10" defaultColWidth="8.83203125" defaultRowHeight="15"/>
  <cols>
    <col min="5" max="5" width="19.6640625" customWidth="1"/>
    <col min="8" max="8" width="10" bestFit="1" customWidth="1"/>
    <col min="9" max="128" width="20.83203125" customWidth="1"/>
    <col min="129" max="129" width="10.83203125" bestFit="1" customWidth="1"/>
  </cols>
  <sheetData>
    <row r="1" spans="2:128" ht="16" thickBot="1"/>
    <row r="2" spans="2:128">
      <c r="I2" s="404" t="s">
        <v>23</v>
      </c>
      <c r="J2" s="405"/>
      <c r="K2" s="405"/>
      <c r="L2" s="405"/>
      <c r="M2" s="405"/>
      <c r="N2" s="405"/>
      <c r="O2" s="405"/>
      <c r="P2" s="405"/>
      <c r="Q2" s="405"/>
      <c r="R2" s="405"/>
      <c r="S2" s="405"/>
      <c r="T2" s="407"/>
      <c r="U2" s="404" t="s">
        <v>24</v>
      </c>
      <c r="V2" s="405"/>
      <c r="W2" s="405"/>
      <c r="X2" s="405"/>
      <c r="Y2" s="405"/>
      <c r="Z2" s="405"/>
      <c r="AA2" s="405"/>
      <c r="AB2" s="405"/>
      <c r="AC2" s="405"/>
      <c r="AD2" s="405"/>
      <c r="AE2" s="405"/>
      <c r="AF2" s="407"/>
      <c r="AG2" s="404" t="s">
        <v>25</v>
      </c>
      <c r="AH2" s="405"/>
      <c r="AI2" s="405"/>
      <c r="AJ2" s="405"/>
      <c r="AK2" s="405"/>
      <c r="AL2" s="405"/>
      <c r="AM2" s="405"/>
      <c r="AN2" s="405"/>
      <c r="AO2" s="405"/>
      <c r="AP2" s="405"/>
      <c r="AQ2" s="405"/>
      <c r="AR2" s="406"/>
      <c r="AS2" s="404" t="s">
        <v>346</v>
      </c>
      <c r="AT2" s="405"/>
      <c r="AU2" s="405"/>
      <c r="AV2" s="405"/>
      <c r="AW2" s="405"/>
      <c r="AX2" s="405"/>
      <c r="AY2" s="405"/>
      <c r="AZ2" s="405"/>
      <c r="BA2" s="405"/>
      <c r="BB2" s="405"/>
      <c r="BC2" s="405"/>
      <c r="BD2" s="407"/>
      <c r="BE2" s="404" t="s">
        <v>347</v>
      </c>
      <c r="BF2" s="405"/>
      <c r="BG2" s="405"/>
      <c r="BH2" s="405"/>
      <c r="BI2" s="405"/>
      <c r="BJ2" s="405"/>
      <c r="BK2" s="405"/>
      <c r="BL2" s="405"/>
      <c r="BM2" s="405"/>
      <c r="BN2" s="405"/>
      <c r="BO2" s="405"/>
      <c r="BP2" s="407"/>
      <c r="BQ2" s="404" t="s">
        <v>348</v>
      </c>
      <c r="BR2" s="405"/>
      <c r="BS2" s="405"/>
      <c r="BT2" s="405"/>
      <c r="BU2" s="405"/>
      <c r="BV2" s="405"/>
      <c r="BW2" s="405"/>
      <c r="BX2" s="405"/>
      <c r="BY2" s="405"/>
      <c r="BZ2" s="405"/>
      <c r="CA2" s="405"/>
      <c r="CB2" s="406"/>
      <c r="CC2" s="404" t="s">
        <v>349</v>
      </c>
      <c r="CD2" s="405"/>
      <c r="CE2" s="405"/>
      <c r="CF2" s="405"/>
      <c r="CG2" s="405"/>
      <c r="CH2" s="405"/>
      <c r="CI2" s="405"/>
      <c r="CJ2" s="405"/>
      <c r="CK2" s="405"/>
      <c r="CL2" s="405"/>
      <c r="CM2" s="405"/>
      <c r="CN2" s="407"/>
      <c r="CO2" s="404" t="s">
        <v>350</v>
      </c>
      <c r="CP2" s="405"/>
      <c r="CQ2" s="405"/>
      <c r="CR2" s="405"/>
      <c r="CS2" s="405"/>
      <c r="CT2" s="405"/>
      <c r="CU2" s="405"/>
      <c r="CV2" s="405"/>
      <c r="CW2" s="405"/>
      <c r="CX2" s="405"/>
      <c r="CY2" s="405"/>
      <c r="CZ2" s="407"/>
      <c r="DA2" s="404" t="s">
        <v>351</v>
      </c>
      <c r="DB2" s="405"/>
      <c r="DC2" s="405"/>
      <c r="DD2" s="405"/>
      <c r="DE2" s="405"/>
      <c r="DF2" s="405"/>
      <c r="DG2" s="405"/>
      <c r="DH2" s="405"/>
      <c r="DI2" s="405"/>
      <c r="DJ2" s="405"/>
      <c r="DK2" s="405"/>
      <c r="DL2" s="406"/>
      <c r="DM2" s="404" t="s">
        <v>352</v>
      </c>
      <c r="DN2" s="405"/>
      <c r="DO2" s="405"/>
      <c r="DP2" s="405"/>
      <c r="DQ2" s="405"/>
      <c r="DR2" s="405"/>
      <c r="DS2" s="405"/>
      <c r="DT2" s="405"/>
      <c r="DU2" s="405"/>
      <c r="DV2" s="405"/>
      <c r="DW2" s="405"/>
      <c r="DX2" s="407"/>
    </row>
    <row r="3" spans="2:128">
      <c r="I3" s="129">
        <v>1</v>
      </c>
      <c r="J3" s="129">
        <v>2</v>
      </c>
      <c r="K3" s="129">
        <v>3</v>
      </c>
      <c r="L3" s="129">
        <v>4</v>
      </c>
      <c r="M3" s="129">
        <v>5</v>
      </c>
      <c r="N3" s="129">
        <v>6</v>
      </c>
      <c r="O3" s="129">
        <v>7</v>
      </c>
      <c r="P3" s="129">
        <v>8</v>
      </c>
      <c r="Q3" s="129">
        <v>9</v>
      </c>
      <c r="R3" s="129">
        <v>10</v>
      </c>
      <c r="S3" s="129">
        <v>11</v>
      </c>
      <c r="T3" s="129">
        <v>12</v>
      </c>
      <c r="U3" s="129">
        <v>1</v>
      </c>
      <c r="V3" s="129">
        <v>2</v>
      </c>
      <c r="W3" s="129">
        <v>3</v>
      </c>
      <c r="X3" s="129">
        <v>4</v>
      </c>
      <c r="Y3" s="129">
        <v>5</v>
      </c>
      <c r="Z3" s="129">
        <v>6</v>
      </c>
      <c r="AA3" s="129">
        <v>7</v>
      </c>
      <c r="AB3" s="129">
        <v>8</v>
      </c>
      <c r="AC3" s="129">
        <v>9</v>
      </c>
      <c r="AD3" s="129">
        <v>10</v>
      </c>
      <c r="AE3" s="129">
        <v>11</v>
      </c>
      <c r="AF3" s="129">
        <v>12</v>
      </c>
      <c r="AG3" s="129">
        <v>1</v>
      </c>
      <c r="AH3" s="129">
        <v>2</v>
      </c>
      <c r="AI3" s="129">
        <v>3</v>
      </c>
      <c r="AJ3" s="129">
        <v>4</v>
      </c>
      <c r="AK3" s="129">
        <v>5</v>
      </c>
      <c r="AL3" s="129">
        <v>6</v>
      </c>
      <c r="AM3" s="129">
        <v>7</v>
      </c>
      <c r="AN3" s="129">
        <v>8</v>
      </c>
      <c r="AO3" s="129">
        <v>9</v>
      </c>
      <c r="AP3" s="129">
        <v>10</v>
      </c>
      <c r="AQ3" s="129">
        <v>11</v>
      </c>
      <c r="AR3" s="130">
        <v>12</v>
      </c>
      <c r="AS3" s="129">
        <v>1</v>
      </c>
      <c r="AT3" s="129">
        <v>2</v>
      </c>
      <c r="AU3" s="129">
        <v>3</v>
      </c>
      <c r="AV3" s="129">
        <v>4</v>
      </c>
      <c r="AW3" s="129">
        <v>5</v>
      </c>
      <c r="AX3" s="129">
        <v>6</v>
      </c>
      <c r="AY3" s="129">
        <v>7</v>
      </c>
      <c r="AZ3" s="129">
        <v>8</v>
      </c>
      <c r="BA3" s="129">
        <v>9</v>
      </c>
      <c r="BB3" s="129">
        <v>10</v>
      </c>
      <c r="BC3" s="129">
        <v>11</v>
      </c>
      <c r="BD3" s="129">
        <v>12</v>
      </c>
      <c r="BE3" s="129">
        <v>1</v>
      </c>
      <c r="BF3" s="129">
        <v>2</v>
      </c>
      <c r="BG3" s="129">
        <v>3</v>
      </c>
      <c r="BH3" s="129">
        <v>4</v>
      </c>
      <c r="BI3" s="129">
        <v>5</v>
      </c>
      <c r="BJ3" s="129">
        <v>6</v>
      </c>
      <c r="BK3" s="129">
        <v>7</v>
      </c>
      <c r="BL3" s="129">
        <v>8</v>
      </c>
      <c r="BM3" s="129">
        <v>9</v>
      </c>
      <c r="BN3" s="129">
        <v>10</v>
      </c>
      <c r="BO3" s="129">
        <v>11</v>
      </c>
      <c r="BP3" s="129">
        <v>12</v>
      </c>
      <c r="BQ3" s="129">
        <v>1</v>
      </c>
      <c r="BR3" s="129">
        <v>2</v>
      </c>
      <c r="BS3" s="129">
        <v>3</v>
      </c>
      <c r="BT3" s="129">
        <v>4</v>
      </c>
      <c r="BU3" s="129">
        <v>5</v>
      </c>
      <c r="BV3" s="129">
        <v>6</v>
      </c>
      <c r="BW3" s="129">
        <v>7</v>
      </c>
      <c r="BX3" s="129">
        <v>8</v>
      </c>
      <c r="BY3" s="129">
        <v>9</v>
      </c>
      <c r="BZ3" s="129">
        <v>10</v>
      </c>
      <c r="CA3" s="129">
        <v>11</v>
      </c>
      <c r="CB3" s="130">
        <v>12</v>
      </c>
      <c r="CC3" s="129">
        <v>1</v>
      </c>
      <c r="CD3" s="129">
        <v>2</v>
      </c>
      <c r="CE3" s="129">
        <v>3</v>
      </c>
      <c r="CF3" s="129">
        <v>4</v>
      </c>
      <c r="CG3" s="129">
        <v>5</v>
      </c>
      <c r="CH3" s="129">
        <v>6</v>
      </c>
      <c r="CI3" s="129">
        <v>7</v>
      </c>
      <c r="CJ3" s="129">
        <v>8</v>
      </c>
      <c r="CK3" s="129">
        <v>9</v>
      </c>
      <c r="CL3" s="129">
        <v>10</v>
      </c>
      <c r="CM3" s="129">
        <v>11</v>
      </c>
      <c r="CN3" s="129">
        <v>12</v>
      </c>
      <c r="CO3" s="129">
        <v>1</v>
      </c>
      <c r="CP3" s="129">
        <v>2</v>
      </c>
      <c r="CQ3" s="129">
        <v>3</v>
      </c>
      <c r="CR3" s="129">
        <v>4</v>
      </c>
      <c r="CS3" s="129">
        <v>5</v>
      </c>
      <c r="CT3" s="129">
        <v>6</v>
      </c>
      <c r="CU3" s="129">
        <v>7</v>
      </c>
      <c r="CV3" s="129">
        <v>8</v>
      </c>
      <c r="CW3" s="129">
        <v>9</v>
      </c>
      <c r="CX3" s="129">
        <v>10</v>
      </c>
      <c r="CY3" s="129">
        <v>11</v>
      </c>
      <c r="CZ3" s="129">
        <v>12</v>
      </c>
      <c r="DA3" s="129">
        <v>1</v>
      </c>
      <c r="DB3" s="129">
        <v>2</v>
      </c>
      <c r="DC3" s="129">
        <v>3</v>
      </c>
      <c r="DD3" s="129">
        <v>4</v>
      </c>
      <c r="DE3" s="129">
        <v>5</v>
      </c>
      <c r="DF3" s="129">
        <v>6</v>
      </c>
      <c r="DG3" s="129">
        <v>7</v>
      </c>
      <c r="DH3" s="129">
        <v>8</v>
      </c>
      <c r="DI3" s="129">
        <v>9</v>
      </c>
      <c r="DJ3" s="129">
        <v>10</v>
      </c>
      <c r="DK3" s="129">
        <v>11</v>
      </c>
      <c r="DL3" s="130">
        <v>12</v>
      </c>
      <c r="DM3" s="129">
        <v>1</v>
      </c>
      <c r="DN3" s="129">
        <v>2</v>
      </c>
      <c r="DO3" s="129">
        <v>3</v>
      </c>
      <c r="DP3" s="129">
        <v>4</v>
      </c>
      <c r="DQ3" s="129">
        <v>5</v>
      </c>
      <c r="DR3" s="129">
        <v>6</v>
      </c>
      <c r="DS3" s="129">
        <v>7</v>
      </c>
      <c r="DT3" s="129">
        <v>8</v>
      </c>
      <c r="DU3" s="129">
        <v>9</v>
      </c>
      <c r="DV3" s="129">
        <v>10</v>
      </c>
      <c r="DW3" s="129">
        <v>11</v>
      </c>
      <c r="DX3" s="129">
        <v>12</v>
      </c>
    </row>
    <row r="4" spans="2:128">
      <c r="B4" s="410" t="s">
        <v>288</v>
      </c>
      <c r="C4" s="410"/>
      <c r="D4" s="410"/>
      <c r="E4" s="410"/>
      <c r="F4" s="4" t="s">
        <v>54</v>
      </c>
      <c r="G4" s="4" t="s">
        <v>5</v>
      </c>
      <c r="H4" s="4" t="s">
        <v>27</v>
      </c>
      <c r="I4" s="131">
        <v>1</v>
      </c>
      <c r="J4" s="132">
        <v>2</v>
      </c>
      <c r="K4" s="132">
        <v>3</v>
      </c>
      <c r="L4" s="132">
        <v>4</v>
      </c>
      <c r="M4" s="132">
        <v>5</v>
      </c>
      <c r="N4" s="132">
        <v>6</v>
      </c>
      <c r="O4" s="132">
        <v>7</v>
      </c>
      <c r="P4" s="132">
        <v>8</v>
      </c>
      <c r="Q4" s="132">
        <v>9</v>
      </c>
      <c r="R4" s="132">
        <v>10</v>
      </c>
      <c r="S4" s="132">
        <v>11</v>
      </c>
      <c r="T4" s="132">
        <v>12</v>
      </c>
      <c r="U4" s="132">
        <v>13</v>
      </c>
      <c r="V4" s="132">
        <v>14</v>
      </c>
      <c r="W4" s="132">
        <v>15</v>
      </c>
      <c r="X4" s="132">
        <v>16</v>
      </c>
      <c r="Y4" s="132">
        <v>17</v>
      </c>
      <c r="Z4" s="132">
        <v>18</v>
      </c>
      <c r="AA4" s="132">
        <v>19</v>
      </c>
      <c r="AB4" s="132">
        <v>20</v>
      </c>
      <c r="AC4" s="132">
        <v>21</v>
      </c>
      <c r="AD4" s="132">
        <v>22</v>
      </c>
      <c r="AE4" s="132">
        <v>23</v>
      </c>
      <c r="AF4" s="132">
        <v>24</v>
      </c>
      <c r="AG4" s="132">
        <v>25</v>
      </c>
      <c r="AH4" s="132">
        <v>26</v>
      </c>
      <c r="AI4" s="132">
        <v>27</v>
      </c>
      <c r="AJ4" s="132">
        <v>28</v>
      </c>
      <c r="AK4" s="132">
        <v>29</v>
      </c>
      <c r="AL4" s="132">
        <v>30</v>
      </c>
      <c r="AM4" s="132">
        <v>31</v>
      </c>
      <c r="AN4" s="132">
        <v>32</v>
      </c>
      <c r="AO4" s="132">
        <v>33</v>
      </c>
      <c r="AP4" s="132">
        <v>34</v>
      </c>
      <c r="AQ4" s="132">
        <v>35</v>
      </c>
      <c r="AR4" s="132">
        <v>36</v>
      </c>
      <c r="AS4" s="131">
        <v>1</v>
      </c>
      <c r="AT4" s="132">
        <v>2</v>
      </c>
      <c r="AU4" s="132">
        <v>3</v>
      </c>
      <c r="AV4" s="132">
        <v>4</v>
      </c>
      <c r="AW4" s="132">
        <v>5</v>
      </c>
      <c r="AX4" s="132">
        <v>6</v>
      </c>
      <c r="AY4" s="132">
        <v>7</v>
      </c>
      <c r="AZ4" s="132">
        <v>8</v>
      </c>
      <c r="BA4" s="132">
        <v>9</v>
      </c>
      <c r="BB4" s="132">
        <v>10</v>
      </c>
      <c r="BC4" s="132">
        <v>11</v>
      </c>
      <c r="BD4" s="132">
        <v>12</v>
      </c>
      <c r="BE4" s="132">
        <v>13</v>
      </c>
      <c r="BF4" s="132">
        <v>14</v>
      </c>
      <c r="BG4" s="132">
        <v>15</v>
      </c>
      <c r="BH4" s="132">
        <v>16</v>
      </c>
      <c r="BI4" s="132">
        <v>17</v>
      </c>
      <c r="BJ4" s="132">
        <v>18</v>
      </c>
      <c r="BK4" s="132">
        <v>19</v>
      </c>
      <c r="BL4" s="132">
        <v>20</v>
      </c>
      <c r="BM4" s="132">
        <v>21</v>
      </c>
      <c r="BN4" s="132">
        <v>22</v>
      </c>
      <c r="BO4" s="132">
        <v>23</v>
      </c>
      <c r="BP4" s="132">
        <v>24</v>
      </c>
      <c r="BQ4" s="132">
        <v>25</v>
      </c>
      <c r="BR4" s="132">
        <v>26</v>
      </c>
      <c r="BS4" s="132">
        <v>27</v>
      </c>
      <c r="BT4" s="132">
        <v>28</v>
      </c>
      <c r="BU4" s="132">
        <v>29</v>
      </c>
      <c r="BV4" s="132">
        <v>30</v>
      </c>
      <c r="BW4" s="132">
        <v>31</v>
      </c>
      <c r="BX4" s="132">
        <v>32</v>
      </c>
      <c r="BY4" s="132">
        <v>33</v>
      </c>
      <c r="BZ4" s="132">
        <v>34</v>
      </c>
      <c r="CA4" s="132">
        <v>35</v>
      </c>
      <c r="CB4" s="132">
        <v>36</v>
      </c>
      <c r="CC4" s="131">
        <v>1</v>
      </c>
      <c r="CD4" s="132">
        <v>2</v>
      </c>
      <c r="CE4" s="132">
        <v>3</v>
      </c>
      <c r="CF4" s="132">
        <v>4</v>
      </c>
      <c r="CG4" s="132">
        <v>5</v>
      </c>
      <c r="CH4" s="132">
        <v>6</v>
      </c>
      <c r="CI4" s="132">
        <v>7</v>
      </c>
      <c r="CJ4" s="132">
        <v>8</v>
      </c>
      <c r="CK4" s="132">
        <v>9</v>
      </c>
      <c r="CL4" s="132">
        <v>10</v>
      </c>
      <c r="CM4" s="132">
        <v>11</v>
      </c>
      <c r="CN4" s="132">
        <v>12</v>
      </c>
      <c r="CO4" s="132">
        <v>13</v>
      </c>
      <c r="CP4" s="132">
        <v>14</v>
      </c>
      <c r="CQ4" s="132">
        <v>15</v>
      </c>
      <c r="CR4" s="132">
        <v>16</v>
      </c>
      <c r="CS4" s="132">
        <v>17</v>
      </c>
      <c r="CT4" s="132">
        <v>18</v>
      </c>
      <c r="CU4" s="132">
        <v>19</v>
      </c>
      <c r="CV4" s="132">
        <v>20</v>
      </c>
      <c r="CW4" s="132">
        <v>21</v>
      </c>
      <c r="CX4" s="132">
        <v>22</v>
      </c>
      <c r="CY4" s="132">
        <v>23</v>
      </c>
      <c r="CZ4" s="132">
        <v>24</v>
      </c>
      <c r="DA4" s="132">
        <v>25</v>
      </c>
      <c r="DB4" s="132">
        <v>26</v>
      </c>
      <c r="DC4" s="132">
        <v>27</v>
      </c>
      <c r="DD4" s="132">
        <v>28</v>
      </c>
      <c r="DE4" s="132">
        <v>29</v>
      </c>
      <c r="DF4" s="132">
        <v>30</v>
      </c>
      <c r="DG4" s="132">
        <v>31</v>
      </c>
      <c r="DH4" s="132">
        <v>32</v>
      </c>
      <c r="DI4" s="132">
        <v>33</v>
      </c>
      <c r="DJ4" s="132">
        <v>34</v>
      </c>
      <c r="DK4" s="132">
        <v>35</v>
      </c>
      <c r="DL4" s="132">
        <v>36</v>
      </c>
      <c r="DM4" s="131">
        <v>1</v>
      </c>
      <c r="DN4" s="132">
        <v>2</v>
      </c>
      <c r="DO4" s="132">
        <v>3</v>
      </c>
      <c r="DP4" s="132">
        <v>4</v>
      </c>
      <c r="DQ4" s="132">
        <v>5</v>
      </c>
      <c r="DR4" s="132">
        <v>6</v>
      </c>
      <c r="DS4" s="132">
        <v>7</v>
      </c>
      <c r="DT4" s="132">
        <v>8</v>
      </c>
      <c r="DU4" s="132">
        <v>9</v>
      </c>
      <c r="DV4" s="132">
        <v>10</v>
      </c>
      <c r="DW4" s="132">
        <v>11</v>
      </c>
      <c r="DX4" s="132">
        <v>12</v>
      </c>
    </row>
    <row r="6" spans="2:128">
      <c r="B6" s="411" t="s">
        <v>289</v>
      </c>
      <c r="C6" s="411"/>
      <c r="D6" s="411"/>
      <c r="E6" s="411"/>
      <c r="F6" s="411"/>
      <c r="G6" s="411"/>
      <c r="H6" s="411"/>
    </row>
    <row r="7" spans="2:128">
      <c r="B7" s="134"/>
      <c r="C7" s="134"/>
      <c r="D7" s="134"/>
      <c r="E7" s="134"/>
      <c r="F7" s="3"/>
      <c r="G7" s="3"/>
      <c r="H7" s="3"/>
    </row>
    <row r="8" spans="2:128">
      <c r="B8" s="134"/>
      <c r="C8" s="412" t="s">
        <v>290</v>
      </c>
      <c r="D8" s="412"/>
      <c r="E8" s="412"/>
      <c r="F8" s="412"/>
      <c r="G8" s="412"/>
      <c r="H8" s="412"/>
    </row>
    <row r="9" spans="2:128">
      <c r="B9" s="134"/>
      <c r="C9" s="413" t="s">
        <v>291</v>
      </c>
      <c r="D9" s="413"/>
      <c r="E9" s="413"/>
      <c r="F9" s="144" t="s">
        <v>35</v>
      </c>
      <c r="G9" s="135"/>
      <c r="H9" s="135"/>
      <c r="I9" s="133">
        <f>'Отчет о движ. ден. ср.'!F19</f>
        <v>-36209562398.547173</v>
      </c>
      <c r="J9" s="133">
        <f>'Отчет о движ. ден. ср.'!G19</f>
        <v>-37061317360.462051</v>
      </c>
      <c r="K9" s="133">
        <f>'Отчет о движ. ден. ср.'!H19</f>
        <v>-37936251003.325989</v>
      </c>
      <c r="L9" s="133">
        <f>'Отчет о движ. ден. ср.'!I19</f>
        <v>-38835021122.933586</v>
      </c>
      <c r="M9" s="133">
        <f>'Отчет о движ. ден. ср.'!J19</f>
        <v>-39758304815.479774</v>
      </c>
      <c r="N9" s="133">
        <f>'Отчет о движ. ден. ср.'!K19</f>
        <v>-40706799058.045158</v>
      </c>
      <c r="O9" s="133">
        <f>'Отчет о движ. ден. ср.'!L19</f>
        <v>-41681221306.848114</v>
      </c>
      <c r="P9" s="133">
        <f>'Отчет о движ. ден. ср.'!M19</f>
        <v>-42682310113.814133</v>
      </c>
      <c r="Q9" s="133">
        <f>'Отчет о движ. ден. ср.'!N19</f>
        <v>-43710825762.029678</v>
      </c>
      <c r="R9" s="133">
        <f>'Отчет о движ. ден. ср.'!O19</f>
        <v>-44767550920.666016</v>
      </c>
      <c r="S9" s="133">
        <f>'Отчет о движ. ден. ср.'!P19</f>
        <v>-45853291319.976044</v>
      </c>
      <c r="T9" s="133">
        <f>'Отчет о движ. ден. ср.'!Q19</f>
        <v>-46968876446.987228</v>
      </c>
      <c r="U9" s="133">
        <f>'Отчет о движ. ден. ср.'!R19</f>
        <v>43113238764.959976</v>
      </c>
      <c r="V9" s="133">
        <f>'Отчет о движ. ден. ср.'!S19</f>
        <v>44301363092.536003</v>
      </c>
      <c r="W9" s="133">
        <f>'Отчет о движ. ден. ср.'!T19</f>
        <v>45521389634.560959</v>
      </c>
      <c r="X9" s="133">
        <f>'Отчет о движ. ден. ср.'!U19</f>
        <v>46774213693.723183</v>
      </c>
      <c r="Y9" s="133">
        <f>'Отчет о движ. ден. ср.'!V19</f>
        <v>48060756616.084534</v>
      </c>
      <c r="Z9" s="133">
        <f>'Отчет о движ. ден. ср.'!W19</f>
        <v>49381966569.471603</v>
      </c>
      <c r="AA9" s="133">
        <f>'Отчет о движ. ден. ср.'!X19</f>
        <v>50738819345.587456</v>
      </c>
      <c r="AB9" s="133">
        <f>'Отчет о движ. ден. ср.'!Y19</f>
        <v>52132319186.576027</v>
      </c>
      <c r="AC9" s="133">
        <f>'Отчет о движ. ден. ср.'!Z19</f>
        <v>53563499636.795403</v>
      </c>
      <c r="AD9" s="133">
        <f>'Отчет о движ. ден. ср.'!AA19</f>
        <v>55033424420.577919</v>
      </c>
      <c r="AE9" s="133">
        <f>'Отчет о движ. ден. ср.'!AB19</f>
        <v>56543188346.780807</v>
      </c>
      <c r="AF9" s="133">
        <f>'Отчет о движ. ден. ср.'!AC19</f>
        <v>58093918240.955841</v>
      </c>
      <c r="AG9" s="133">
        <f>'Отчет о движ. ден. ср.'!AD19</f>
        <v>59686768905.991379</v>
      </c>
      <c r="AH9" s="133">
        <f>'Отчет о движ. ден. ср.'!AE19</f>
        <v>61322944112.108139</v>
      </c>
      <c r="AI9" s="133">
        <f>'Отчет о движ. ден. ср.'!AF19</f>
        <v>63003667617.116631</v>
      </c>
      <c r="AJ9" s="133">
        <f>'Отчет о движ. ден. ср.'!AG19</f>
        <v>64730204217.872589</v>
      </c>
      <c r="AK9" s="133">
        <f>'Отчет о движ. ден. ср.'!AH19</f>
        <v>66503855833.896576</v>
      </c>
      <c r="AL9" s="133">
        <f>'Отчет о движ. ден. ср.'!AI19</f>
        <v>68325962624.152969</v>
      </c>
      <c r="AM9" s="133">
        <f>'Отчет о движ. ден. ср.'!AJ19</f>
        <v>70197904138.015991</v>
      </c>
      <c r="AN9" s="133">
        <f>'Отчет о движ. ден. ср.'!AK19</f>
        <v>72121100501.481354</v>
      </c>
      <c r="AO9" s="133">
        <f>'Отчет о движ. ден. ср.'!AL19</f>
        <v>74097013639.715729</v>
      </c>
      <c r="AP9" s="133">
        <f>'Отчет о движ. ден. ср.'!AM19</f>
        <v>76127148537.069962</v>
      </c>
      <c r="AQ9" s="133">
        <f>'Отчет о движ. ден. ср.'!AN19</f>
        <v>78213054535.71788</v>
      </c>
      <c r="AR9" s="133">
        <f>'Отчет о движ. ден. ср.'!AO19</f>
        <v>80356326674.118103</v>
      </c>
      <c r="AS9" s="133">
        <f>'Отчет о движ. ден. ср.'!AP19</f>
        <v>82558602066.533417</v>
      </c>
      <c r="AT9" s="133">
        <f>'Отчет о движ. ден. ср.'!AQ19</f>
        <v>84821581324.882111</v>
      </c>
      <c r="AU9" s="133">
        <f>'Отчет о движ. ден. ср.'!AR19</f>
        <v>87147000024.23439</v>
      </c>
      <c r="AV9" s="133">
        <f>'Отчет о движ. ден. ср.'!AS19</f>
        <v>89536650213.308182</v>
      </c>
      <c r="AW9" s="133">
        <f>'Отчет о движ. ден. ср.'!AT19</f>
        <v>91992376971.361099</v>
      </c>
      <c r="AX9" s="133">
        <f>'Отчет о движ. ден. ср.'!AU19</f>
        <v>94516080012.919937</v>
      </c>
      <c r="AY9" s="133">
        <f>'Отчет о движ. ден. ср.'!AV19</f>
        <v>97109715341.831894</v>
      </c>
      <c r="AZ9" s="133">
        <f>'Отчет о движ. ден. ср.'!AW19</f>
        <v>99775296956.17038</v>
      </c>
      <c r="BA9" s="133">
        <f>'Отчет о движ. ден. ср.'!AX19</f>
        <v>102514898605.57549</v>
      </c>
      <c r="BB9" s="133">
        <f>'Отчет о движ. ден. ср.'!AY19</f>
        <v>105330655602.65764</v>
      </c>
      <c r="BC9" s="133">
        <f>'Отчет о движ. ден. ср.'!AZ19</f>
        <v>108224766690.14561</v>
      </c>
      <c r="BD9" s="133">
        <f>'Отчет о движ. ден. ср.'!BA19</f>
        <v>111199495965.51126</v>
      </c>
      <c r="BE9" s="133">
        <f>'Отчет о движ. ден. ср.'!BB19</f>
        <v>114257169864.85826</v>
      </c>
      <c r="BF9" s="133">
        <f>'Отчет о движ. ден. ср.'!BC19</f>
        <v>117400199207.91806</v>
      </c>
      <c r="BG9" s="133">
        <f>'Отчет о движ. ден. ср.'!BD19</f>
        <v>120631051306.05336</v>
      </c>
      <c r="BH9" s="133">
        <f>'Отчет о движ. ден. ср.'!BE19</f>
        <v>123952272135.2301</v>
      </c>
      <c r="BI9" s="133">
        <f>'Отчет о движ. ден. ср.'!BF19</f>
        <v>127366483575.97885</v>
      </c>
      <c r="BJ9" s="133">
        <f>'Отчет о движ. ден. ср.'!BG19</f>
        <v>130876385722.43097</v>
      </c>
      <c r="BK9" s="133">
        <f>'Отчет о движ. ден. ср.'!BH19</f>
        <v>134484759262.5798</v>
      </c>
      <c r="BL9" s="133">
        <f>'Отчет о движ. ден. ср.'!BI19</f>
        <v>138194467931.98444</v>
      </c>
      <c r="BM9" s="133">
        <f>'Отчет о движ. ден. ср.'!BJ19</f>
        <v>142008461043.20273</v>
      </c>
      <c r="BN9" s="133">
        <f>'Отчет о движ. ден. ср.'!BK19</f>
        <v>145929776093.31314</v>
      </c>
      <c r="BO9" s="133">
        <f>'Отчет о движ. ден. ср.'!BL19</f>
        <v>149961541451.95743</v>
      </c>
      <c r="BP9" s="133">
        <f>'Отчет о движ. ден. ср.'!BM19</f>
        <v>154106979132.41238</v>
      </c>
      <c r="BQ9" s="133">
        <f>'Отчет о движ. ден. ср.'!BN19</f>
        <v>158369402648.28043</v>
      </c>
      <c r="BR9" s="133">
        <f>'Отчет о движ. ден. ср.'!BO19</f>
        <v>162752239958.46445</v>
      </c>
      <c r="BS9" s="133">
        <f>'Отчет о движ. ден. ср.'!BP19</f>
        <v>167259006503.18265</v>
      </c>
      <c r="BT9" s="133">
        <f>'Отчет о движ. ден. ср.'!BQ19</f>
        <v>171893328333.85815</v>
      </c>
      <c r="BU9" s="133">
        <f>'Отчет о движ. ден. ср.'!BR19</f>
        <v>176658940339.81488</v>
      </c>
      <c r="BV9" s="133">
        <f>'Отчет о движ. ден. ср.'!BS19</f>
        <v>181559689574.79553</v>
      </c>
      <c r="BW9" s="133">
        <f>'Отчет о движ. ден. ср.'!BT19</f>
        <v>186599538686.41858</v>
      </c>
      <c r="BX9" s="133">
        <f>'Отчет о движ. ден. ср.'!BU19</f>
        <v>191782569451.78345</v>
      </c>
      <c r="BY9" s="133">
        <f>'Отчет о движ. ден. ср.'!BV19</f>
        <v>197112986422.53943</v>
      </c>
      <c r="BZ9" s="133">
        <f>'Отчет о движ. ден. ср.'!BW19</f>
        <v>202595120682.83115</v>
      </c>
      <c r="CA9" s="133">
        <f>'Отчет о движ. ден. ср.'!BX19</f>
        <v>208233433723.64676</v>
      </c>
      <c r="CB9" s="133">
        <f>'Отчет о движ. ден. ср.'!BY19</f>
        <v>214032521437.20374</v>
      </c>
      <c r="CC9" s="133">
        <f>'Отчет о движ. ден. ср.'!BZ19</f>
        <v>219997113235.11627</v>
      </c>
      <c r="CD9" s="133">
        <f>'Отчет о движ. ден. ср.'!CA19</f>
        <v>226132096294.21585</v>
      </c>
      <c r="CE9" s="133">
        <f>'Отчет о движ. ден. ср.'!CB19</f>
        <v>232442489934.00726</v>
      </c>
      <c r="CF9" s="133">
        <f>'Отчет о движ. ден. ср.'!CC19</f>
        <v>238933470129.87531</v>
      </c>
      <c r="CG9" s="133">
        <f>'Отчет о движ. ден. ср.'!CD19</f>
        <v>245610369166.28369</v>
      </c>
      <c r="CH9" s="133">
        <f>'Отчет о движ. ден. ср.'!CE19</f>
        <v>252478680434.3382</v>
      </c>
      <c r="CI9" s="133">
        <f>'Отчет о движ. ден. ср.'!CF19</f>
        <v>259544063378.22998</v>
      </c>
      <c r="CJ9" s="133">
        <f>'Отчет о движ. ден. ср.'!CG19</f>
        <v>266812348595.20978</v>
      </c>
      <c r="CK9" s="133">
        <f>'Отчет о движ. ден. ср.'!CH19</f>
        <v>274289543093.89307</v>
      </c>
      <c r="CL9" s="133">
        <f>'Отчет о движ. ден. ср.'!CI19</f>
        <v>281981835715.84998</v>
      </c>
      <c r="CM9" s="133">
        <f>'Отчет о движ. ден. ср.'!CJ19</f>
        <v>289895602725.58197</v>
      </c>
      <c r="CN9" s="133">
        <f>'Отчет о движ. ден. ср.'!CK19</f>
        <v>298037413574.15424</v>
      </c>
      <c r="CO9" s="133">
        <f>'Отчет о движ. ден. ср.'!CL19</f>
        <v>306414031841.91626</v>
      </c>
      <c r="CP9" s="133">
        <f>'Отчет о движ. ден. ср.'!CM19</f>
        <v>315032441365.91162</v>
      </c>
      <c r="CQ9" s="133">
        <f>'Отчет о движ. ден. ср.'!CN19</f>
        <v>323899822557.75702</v>
      </c>
      <c r="CR9" s="133">
        <f>'Отчет о движ. ден. ср.'!CO19</f>
        <v>333023578917.9519</v>
      </c>
      <c r="CS9" s="133">
        <f>'Отчет о движ. ден. ср.'!CP19</f>
        <v>342411338752.76331</v>
      </c>
      <c r="CT9" s="133">
        <f>'Отчет о движ. ден. ср.'!CQ19</f>
        <v>352070962100.03113</v>
      </c>
      <c r="CU9" s="133">
        <f>'Отчет о движ. ден. ср.'!CR19</f>
        <v>362010547870.4306</v>
      </c>
      <c r="CV9" s="133">
        <f>'Отчет о движ. ден. ср.'!CS19</f>
        <v>372238441210.94006</v>
      </c>
      <c r="CW9" s="133">
        <f>'Отчет о движ. ден. ср.'!CT19</f>
        <v>382763241097.4715</v>
      </c>
      <c r="CX9" s="133">
        <f>'Отчет о движ. ден. ср.'!CU19</f>
        <v>393593808163.84088</v>
      </c>
      <c r="CY9" s="133">
        <f>'Отчет о движ. ден. ср.'!CV19</f>
        <v>404739272774.48022</v>
      </c>
      <c r="CZ9" s="133">
        <f>'Отчет о движ. ден. ср.'!CW19</f>
        <v>416209043348.52728</v>
      </c>
      <c r="DA9" s="133">
        <f>'Отчет о движ. ден. ср.'!CX19</f>
        <v>428012809943.16986</v>
      </c>
      <c r="DB9" s="133">
        <f>'Отчет о движ. ден. ср.'!CY19</f>
        <v>440160573104.36383</v>
      </c>
      <c r="DC9" s="133">
        <f>'Отчет о движ. ден. ср.'!CZ19</f>
        <v>452662622993.30817</v>
      </c>
      <c r="DD9" s="133">
        <f>'Отчет о движ. ден. ср.'!DA19</f>
        <v>465529568797.31604</v>
      </c>
      <c r="DE9" s="133">
        <f>'Отчет о движ. ден. ср.'!DB19</f>
        <v>478772343434.00067</v>
      </c>
      <c r="DF9" s="133">
        <f>'Отчет о движ. ден. ср.'!DC19</f>
        <v>492402213557.96075</v>
      </c>
      <c r="DG9" s="133">
        <f>'Отчет о движ. ден. ср.'!DD19</f>
        <v>506430789879.46497</v>
      </c>
      <c r="DH9" s="133">
        <f>'Отчет о движ. ден. ср.'!DE19</f>
        <v>520870037804.90088</v>
      </c>
      <c r="DI9" s="133">
        <f>'Отчет о движ. ден. ср.'!DF19</f>
        <v>535732288409.09351</v>
      </c>
      <c r="DJ9" s="133">
        <f>'Отчет о движ. ден. ср.'!DG19</f>
        <v>551030249749.88977</v>
      </c>
      <c r="DK9" s="133">
        <f>'Отчет о движ. ден. ср.'!DH19</f>
        <v>566777018535.75293</v>
      </c>
      <c r="DL9" s="133">
        <f>'Отчет о движ. ден. ср.'!DI19</f>
        <v>582986092157.43359</v>
      </c>
      <c r="DM9" s="133">
        <f>'Отчет о движ. ден. ср.'!DJ19</f>
        <v>599671376095.14551</v>
      </c>
      <c r="DN9" s="133">
        <f>'Отчет о движ. ден. ср.'!DK19</f>
        <v>616847216713.02148</v>
      </c>
      <c r="DO9" s="133">
        <f>'Отчет о движ. ден. ср.'!DL19</f>
        <v>634528384453.00757</v>
      </c>
      <c r="DP9" s="133">
        <f>'Отчет о движ. ден. ср.'!DM19</f>
        <v>652730107440.72522</v>
      </c>
      <c r="DQ9" s="133">
        <f>'Отчет о движ. ден. ср.'!DN19</f>
        <v>671468080516.23547</v>
      </c>
      <c r="DR9" s="133">
        <f>'Отчет о движ. ден. ср.'!DO19</f>
        <v>690758479703.04248</v>
      </c>
      <c r="DS9" s="133">
        <f>'Отчет о движ. ден. ср.'!DP19</f>
        <v>710617977129.08435</v>
      </c>
      <c r="DT9" s="133">
        <f>'Отчет о движ. ден. ср.'!DQ19</f>
        <v>731063756413.91797</v>
      </c>
      <c r="DU9" s="133">
        <f>'Отчет о движ. ден. ср.'!DR19</f>
        <v>752113528536.71704</v>
      </c>
      <c r="DV9" s="133">
        <f>'Отчет о движ. ден. ср.'!DS19</f>
        <v>773785548200.19336</v>
      </c>
      <c r="DW9" s="133">
        <f>'Отчет о движ. ден. ср.'!DT19</f>
        <v>796098630706.01379</v>
      </c>
      <c r="DX9" s="133">
        <f>'Отчет о движ. ден. ср.'!DU19</f>
        <v>819072169357.76892</v>
      </c>
    </row>
    <row r="10" spans="2:128">
      <c r="B10" s="134"/>
      <c r="C10" s="413" t="s">
        <v>292</v>
      </c>
      <c r="D10" s="413"/>
      <c r="E10" s="413"/>
      <c r="F10" s="144" t="s">
        <v>35</v>
      </c>
      <c r="G10" s="135"/>
      <c r="H10" s="135"/>
    </row>
    <row r="11" spans="2:128">
      <c r="B11" s="134"/>
      <c r="C11" s="413" t="s">
        <v>293</v>
      </c>
      <c r="D11" s="413"/>
      <c r="E11" s="413"/>
      <c r="F11" s="144" t="s">
        <v>35</v>
      </c>
      <c r="G11" s="135"/>
      <c r="H11" s="135"/>
      <c r="I11" s="133">
        <f>'Отчет о движ. ден. ср.'!F35</f>
        <v>0</v>
      </c>
      <c r="J11" s="133">
        <f>'Отчет о движ. ден. ср.'!G35</f>
        <v>0</v>
      </c>
      <c r="K11" s="133">
        <f>'Отчет о движ. ден. ср.'!H35</f>
        <v>0</v>
      </c>
      <c r="L11" s="133">
        <f>'Отчет о движ. ден. ср.'!I35</f>
        <v>0</v>
      </c>
      <c r="M11" s="133">
        <f>'Отчет о движ. ден. ср.'!J35</f>
        <v>0</v>
      </c>
      <c r="N11" s="133">
        <f>'Отчет о движ. ден. ср.'!K35</f>
        <v>0</v>
      </c>
      <c r="O11" s="133">
        <f>'Отчет о движ. ден. ср.'!L35</f>
        <v>0</v>
      </c>
      <c r="P11" s="133">
        <f>'Отчет о движ. ден. ср.'!M35</f>
        <v>0</v>
      </c>
      <c r="Q11" s="133">
        <f>'Отчет о движ. ден. ср.'!N35</f>
        <v>0</v>
      </c>
      <c r="R11" s="133">
        <f>'Отчет о движ. ден. ср.'!O35</f>
        <v>0</v>
      </c>
      <c r="S11" s="133">
        <f>'Отчет о движ. ден. ср.'!P35</f>
        <v>0</v>
      </c>
      <c r="T11" s="133">
        <f>'Отчет о движ. ден. ср.'!Q35</f>
        <v>0</v>
      </c>
      <c r="U11" s="133">
        <f>'Отчет о движ. ден. ср.'!R35</f>
        <v>0</v>
      </c>
      <c r="V11" s="133">
        <f>'Отчет о движ. ден. ср.'!S35</f>
        <v>0</v>
      </c>
      <c r="W11" s="133">
        <f>'Отчет о движ. ден. ср.'!T35</f>
        <v>0</v>
      </c>
      <c r="X11" s="133">
        <f>'Отчет о движ. ден. ср.'!U35</f>
        <v>0</v>
      </c>
      <c r="Y11" s="133">
        <f>'Отчет о движ. ден. ср.'!V35</f>
        <v>0</v>
      </c>
      <c r="Z11" s="133">
        <f>'Отчет о движ. ден. ср.'!W35</f>
        <v>0</v>
      </c>
      <c r="AA11" s="133">
        <f>'Отчет о движ. ден. ср.'!X35</f>
        <v>0</v>
      </c>
      <c r="AB11" s="133">
        <f>'Отчет о движ. ден. ср.'!Y35</f>
        <v>0</v>
      </c>
      <c r="AC11" s="133">
        <f>'Отчет о движ. ден. ср.'!Z35</f>
        <v>0</v>
      </c>
      <c r="AD11" s="133">
        <f>'Отчет о движ. ден. ср.'!AA35</f>
        <v>0</v>
      </c>
      <c r="AE11" s="133">
        <f>'Отчет о движ. ден. ср.'!AB35</f>
        <v>0</v>
      </c>
      <c r="AF11" s="133">
        <f>'Отчет о движ. ден. ср.'!AC35</f>
        <v>0</v>
      </c>
      <c r="AG11" s="133">
        <f>'Отчет о движ. ден. ср.'!AD35</f>
        <v>0</v>
      </c>
      <c r="AH11" s="133">
        <f>'Отчет о движ. ден. ср.'!AE35</f>
        <v>0</v>
      </c>
      <c r="AI11" s="133">
        <f>'Отчет о движ. ден. ср.'!AF35</f>
        <v>0</v>
      </c>
      <c r="AJ11" s="133">
        <f>'Отчет о движ. ден. ср.'!AG35</f>
        <v>0</v>
      </c>
      <c r="AK11" s="133">
        <f>'Отчет о движ. ден. ср.'!AH35</f>
        <v>0</v>
      </c>
      <c r="AL11" s="133">
        <f>'Отчет о движ. ден. ср.'!AI35</f>
        <v>0</v>
      </c>
      <c r="AM11" s="133">
        <f>'Отчет о движ. ден. ср.'!AJ35</f>
        <v>0</v>
      </c>
      <c r="AN11" s="133">
        <f>'Отчет о движ. ден. ср.'!AK35</f>
        <v>0</v>
      </c>
      <c r="AO11" s="133">
        <f>'Отчет о движ. ден. ср.'!AL35</f>
        <v>0</v>
      </c>
      <c r="AP11" s="133">
        <f>'Отчет о движ. ден. ср.'!AM35</f>
        <v>0</v>
      </c>
      <c r="AQ11" s="133">
        <f>'Отчет о движ. ден. ср.'!AN35</f>
        <v>0</v>
      </c>
      <c r="AR11" s="133">
        <f>'Отчет о движ. ден. ср.'!AO35</f>
        <v>0</v>
      </c>
      <c r="AS11" s="133">
        <f>'Отчет о движ. ден. ср.'!AP35</f>
        <v>0</v>
      </c>
      <c r="AT11" s="133">
        <f>'Отчет о движ. ден. ср.'!AQ35</f>
        <v>0</v>
      </c>
      <c r="AU11" s="133">
        <f>'Отчет о движ. ден. ср.'!AR35</f>
        <v>0</v>
      </c>
      <c r="AV11" s="133">
        <f>'Отчет о движ. ден. ср.'!AS35</f>
        <v>0</v>
      </c>
      <c r="AW11" s="133">
        <f>'Отчет о движ. ден. ср.'!AT35</f>
        <v>0</v>
      </c>
      <c r="AX11" s="133">
        <f>'Отчет о движ. ден. ср.'!AU35</f>
        <v>0</v>
      </c>
      <c r="AY11" s="133">
        <f>'Отчет о движ. ден. ср.'!AV35</f>
        <v>0</v>
      </c>
      <c r="AZ11" s="133">
        <f>'Отчет о движ. ден. ср.'!AW35</f>
        <v>0</v>
      </c>
      <c r="BA11" s="133">
        <f>'Отчет о движ. ден. ср.'!AX35</f>
        <v>0</v>
      </c>
      <c r="BB11" s="133">
        <f>'Отчет о движ. ден. ср.'!AY35</f>
        <v>0</v>
      </c>
      <c r="BC11" s="133">
        <f>'Отчет о движ. ден. ср.'!AZ35</f>
        <v>0</v>
      </c>
      <c r="BD11" s="133">
        <f>'Отчет о движ. ден. ср.'!BA35</f>
        <v>0</v>
      </c>
      <c r="BE11" s="133">
        <f>'Отчет о движ. ден. ср.'!BB35</f>
        <v>0</v>
      </c>
      <c r="BF11" s="133">
        <f>'Отчет о движ. ден. ср.'!BC35</f>
        <v>0</v>
      </c>
      <c r="BG11" s="133">
        <f>'Отчет о движ. ден. ср.'!BD35</f>
        <v>0</v>
      </c>
      <c r="BH11" s="133">
        <f>'Отчет о движ. ден. ср.'!BE35</f>
        <v>0</v>
      </c>
      <c r="BI11" s="133">
        <f>'Отчет о движ. ден. ср.'!BF35</f>
        <v>0</v>
      </c>
      <c r="BJ11" s="133">
        <f>'Отчет о движ. ден. ср.'!BG35</f>
        <v>0</v>
      </c>
      <c r="BK11" s="133">
        <f>'Отчет о движ. ден. ср.'!BH35</f>
        <v>0</v>
      </c>
      <c r="BL11" s="133">
        <f>'Отчет о движ. ден. ср.'!BI35</f>
        <v>0</v>
      </c>
      <c r="BM11" s="133">
        <f>'Отчет о движ. ден. ср.'!BJ35</f>
        <v>0</v>
      </c>
      <c r="BN11" s="133">
        <f>'Отчет о движ. ден. ср.'!BK35</f>
        <v>0</v>
      </c>
      <c r="BO11" s="133">
        <f>'Отчет о движ. ден. ср.'!BL35</f>
        <v>0</v>
      </c>
      <c r="BP11" s="133">
        <f>'Отчет о движ. ден. ср.'!BM35</f>
        <v>0</v>
      </c>
      <c r="BQ11" s="133">
        <f>'Отчет о движ. ден. ср.'!BN35</f>
        <v>0</v>
      </c>
      <c r="BR11" s="133">
        <f>'Отчет о движ. ден. ср.'!BO35</f>
        <v>0</v>
      </c>
      <c r="BS11" s="133">
        <f>'Отчет о движ. ден. ср.'!BP35</f>
        <v>0</v>
      </c>
      <c r="BT11" s="133">
        <f>'Отчет о движ. ден. ср.'!BQ35</f>
        <v>0</v>
      </c>
      <c r="BU11" s="133">
        <f>'Отчет о движ. ден. ср.'!BR35</f>
        <v>0</v>
      </c>
      <c r="BV11" s="133">
        <f>'Отчет о движ. ден. ср.'!BS35</f>
        <v>0</v>
      </c>
      <c r="BW11" s="133">
        <f>'Отчет о движ. ден. ср.'!BT35</f>
        <v>0</v>
      </c>
      <c r="BX11" s="133">
        <f>'Отчет о движ. ден. ср.'!BU35</f>
        <v>0</v>
      </c>
      <c r="BY11" s="133">
        <f>'Отчет о движ. ден. ср.'!BV35</f>
        <v>0</v>
      </c>
      <c r="BZ11" s="133">
        <f>'Отчет о движ. ден. ср.'!BW35</f>
        <v>0</v>
      </c>
      <c r="CA11" s="133">
        <f>'Отчет о движ. ден. ср.'!BX35</f>
        <v>0</v>
      </c>
      <c r="CB11" s="133">
        <f>'Отчет о движ. ден. ср.'!BY35</f>
        <v>0</v>
      </c>
      <c r="CC11" s="133">
        <f>'Отчет о движ. ден. ср.'!BZ35</f>
        <v>0</v>
      </c>
      <c r="CD11" s="133">
        <f>'Отчет о движ. ден. ср.'!CA35</f>
        <v>0</v>
      </c>
      <c r="CE11" s="133">
        <f>'Отчет о движ. ден. ср.'!CB35</f>
        <v>0</v>
      </c>
      <c r="CF11" s="133">
        <f>'Отчет о движ. ден. ср.'!CC35</f>
        <v>0</v>
      </c>
      <c r="CG11" s="133">
        <f>'Отчет о движ. ден. ср.'!CD35</f>
        <v>0</v>
      </c>
      <c r="CH11" s="133">
        <f>'Отчет о движ. ден. ср.'!CE35</f>
        <v>0</v>
      </c>
      <c r="CI11" s="133">
        <f>'Отчет о движ. ден. ср.'!CF35</f>
        <v>0</v>
      </c>
      <c r="CJ11" s="133">
        <f>'Отчет о движ. ден. ср.'!CG35</f>
        <v>0</v>
      </c>
      <c r="CK11" s="133">
        <f>'Отчет о движ. ден. ср.'!CH35</f>
        <v>0</v>
      </c>
      <c r="CL11" s="133">
        <f>'Отчет о движ. ден. ср.'!CI35</f>
        <v>0</v>
      </c>
      <c r="CM11" s="133">
        <f>'Отчет о движ. ден. ср.'!CJ35</f>
        <v>0</v>
      </c>
      <c r="CN11" s="133">
        <f>'Отчет о движ. ден. ср.'!CK35</f>
        <v>0</v>
      </c>
      <c r="CO11" s="133">
        <f>'Отчет о движ. ден. ср.'!CL35</f>
        <v>0</v>
      </c>
      <c r="CP11" s="133">
        <f>'Отчет о движ. ден. ср.'!CM35</f>
        <v>0</v>
      </c>
      <c r="CQ11" s="133">
        <f>'Отчет о движ. ден. ср.'!CN35</f>
        <v>0</v>
      </c>
      <c r="CR11" s="133">
        <f>'Отчет о движ. ден. ср.'!CO35</f>
        <v>0</v>
      </c>
      <c r="CS11" s="133">
        <f>'Отчет о движ. ден. ср.'!CP35</f>
        <v>0</v>
      </c>
      <c r="CT11" s="133">
        <f>'Отчет о движ. ден. ср.'!CQ35</f>
        <v>0</v>
      </c>
      <c r="CU11" s="133">
        <f>'Отчет о движ. ден. ср.'!CR35</f>
        <v>0</v>
      </c>
      <c r="CV11" s="133">
        <f>'Отчет о движ. ден. ср.'!CS35</f>
        <v>0</v>
      </c>
      <c r="CW11" s="133">
        <f>'Отчет о движ. ден. ср.'!CT35</f>
        <v>0</v>
      </c>
      <c r="CX11" s="133">
        <f>'Отчет о движ. ден. ср.'!CU35</f>
        <v>0</v>
      </c>
      <c r="CY11" s="133">
        <f>'Отчет о движ. ден. ср.'!CV35</f>
        <v>0</v>
      </c>
      <c r="CZ11" s="133">
        <f>'Отчет о движ. ден. ср.'!CW35</f>
        <v>0</v>
      </c>
      <c r="DA11" s="133">
        <f>'Отчет о движ. ден. ср.'!CX35</f>
        <v>0</v>
      </c>
      <c r="DB11" s="133">
        <f>'Отчет о движ. ден. ср.'!CY35</f>
        <v>0</v>
      </c>
      <c r="DC11" s="133">
        <f>'Отчет о движ. ден. ср.'!CZ35</f>
        <v>0</v>
      </c>
      <c r="DD11" s="133">
        <f>'Отчет о движ. ден. ср.'!DA35</f>
        <v>0</v>
      </c>
      <c r="DE11" s="133">
        <f>'Отчет о движ. ден. ср.'!DB35</f>
        <v>0</v>
      </c>
      <c r="DF11" s="133">
        <f>'Отчет о движ. ден. ср.'!DC35</f>
        <v>0</v>
      </c>
      <c r="DG11" s="133">
        <f>'Отчет о движ. ден. ср.'!DD35</f>
        <v>0</v>
      </c>
      <c r="DH11" s="133">
        <f>'Отчет о движ. ден. ср.'!DE35</f>
        <v>0</v>
      </c>
      <c r="DI11" s="133">
        <f>'Отчет о движ. ден. ср.'!DF35</f>
        <v>0</v>
      </c>
      <c r="DJ11" s="133">
        <f>'Отчет о движ. ден. ср.'!DG35</f>
        <v>0</v>
      </c>
      <c r="DK11" s="133">
        <f>'Отчет о движ. ден. ср.'!DH35</f>
        <v>0</v>
      </c>
      <c r="DL11" s="133">
        <f>'Отчет о движ. ден. ср.'!DI35</f>
        <v>0</v>
      </c>
      <c r="DM11" s="133">
        <f>'Отчет о движ. ден. ср.'!DJ35</f>
        <v>0</v>
      </c>
      <c r="DN11" s="133">
        <f>'Отчет о движ. ден. ср.'!DK35</f>
        <v>0</v>
      </c>
      <c r="DO11" s="133">
        <f>'Отчет о движ. ден. ср.'!DL35</f>
        <v>0</v>
      </c>
      <c r="DP11" s="133">
        <f>'Отчет о движ. ден. ср.'!DM35</f>
        <v>0</v>
      </c>
      <c r="DQ11" s="133">
        <f>'Отчет о движ. ден. ср.'!DN35</f>
        <v>0</v>
      </c>
      <c r="DR11" s="133">
        <f>'Отчет о движ. ден. ср.'!DO35</f>
        <v>0</v>
      </c>
      <c r="DS11" s="133">
        <f>'Отчет о движ. ден. ср.'!DP35</f>
        <v>0</v>
      </c>
      <c r="DT11" s="133">
        <f>'Отчет о движ. ден. ср.'!DQ35</f>
        <v>0</v>
      </c>
      <c r="DU11" s="133">
        <f>'Отчет о движ. ден. ср.'!DR35</f>
        <v>0</v>
      </c>
      <c r="DV11" s="133">
        <f>'Отчет о движ. ден. ср.'!DS35</f>
        <v>0</v>
      </c>
      <c r="DW11" s="133">
        <f>'Отчет о движ. ден. ср.'!DT35</f>
        <v>0</v>
      </c>
      <c r="DX11" s="133">
        <f>'Отчет о движ. ден. ср.'!DU35</f>
        <v>0</v>
      </c>
    </row>
    <row r="12" spans="2:128">
      <c r="B12" s="134"/>
      <c r="C12" s="413" t="s">
        <v>294</v>
      </c>
      <c r="D12" s="413"/>
      <c r="E12" s="413"/>
      <c r="F12" s="144" t="s">
        <v>35</v>
      </c>
      <c r="G12" s="135"/>
      <c r="H12" s="135"/>
    </row>
    <row r="13" spans="2:128">
      <c r="B13" s="134"/>
      <c r="C13" s="414" t="s">
        <v>295</v>
      </c>
      <c r="D13" s="414"/>
      <c r="E13" s="414"/>
      <c r="F13" s="144" t="s">
        <v>35</v>
      </c>
      <c r="G13" s="135"/>
      <c r="H13" s="135"/>
      <c r="I13" s="133">
        <f>I9+I11</f>
        <v>-36209562398.547173</v>
      </c>
      <c r="J13" s="133">
        <f t="shared" ref="J13:AR13" si="0">J9+J11</f>
        <v>-37061317360.462051</v>
      </c>
      <c r="K13" s="133">
        <f t="shared" si="0"/>
        <v>-37936251003.325989</v>
      </c>
      <c r="L13" s="133">
        <f t="shared" si="0"/>
        <v>-38835021122.933586</v>
      </c>
      <c r="M13" s="133">
        <f t="shared" si="0"/>
        <v>-39758304815.479774</v>
      </c>
      <c r="N13" s="133">
        <f t="shared" si="0"/>
        <v>-40706799058.045158</v>
      </c>
      <c r="O13" s="133">
        <f t="shared" si="0"/>
        <v>-41681221306.848114</v>
      </c>
      <c r="P13" s="133">
        <f t="shared" si="0"/>
        <v>-42682310113.814133</v>
      </c>
      <c r="Q13" s="133">
        <f t="shared" si="0"/>
        <v>-43710825762.029678</v>
      </c>
      <c r="R13" s="133">
        <f t="shared" si="0"/>
        <v>-44767550920.666016</v>
      </c>
      <c r="S13" s="133">
        <f t="shared" si="0"/>
        <v>-45853291319.976044</v>
      </c>
      <c r="T13" s="133">
        <f t="shared" si="0"/>
        <v>-46968876446.987228</v>
      </c>
      <c r="U13" s="133">
        <f t="shared" si="0"/>
        <v>43113238764.959976</v>
      </c>
      <c r="V13" s="133">
        <f t="shared" si="0"/>
        <v>44301363092.536003</v>
      </c>
      <c r="W13" s="133">
        <f t="shared" si="0"/>
        <v>45521389634.560959</v>
      </c>
      <c r="X13" s="133">
        <f t="shared" si="0"/>
        <v>46774213693.723183</v>
      </c>
      <c r="Y13" s="133">
        <f t="shared" si="0"/>
        <v>48060756616.084534</v>
      </c>
      <c r="Z13" s="133">
        <f t="shared" si="0"/>
        <v>49381966569.471603</v>
      </c>
      <c r="AA13" s="133">
        <f t="shared" si="0"/>
        <v>50738819345.587456</v>
      </c>
      <c r="AB13" s="133">
        <f t="shared" si="0"/>
        <v>52132319186.576027</v>
      </c>
      <c r="AC13" s="133">
        <f t="shared" si="0"/>
        <v>53563499636.795403</v>
      </c>
      <c r="AD13" s="133">
        <f t="shared" si="0"/>
        <v>55033424420.577919</v>
      </c>
      <c r="AE13" s="133">
        <f t="shared" si="0"/>
        <v>56543188346.780807</v>
      </c>
      <c r="AF13" s="133">
        <f t="shared" si="0"/>
        <v>58093918240.955841</v>
      </c>
      <c r="AG13" s="133">
        <f t="shared" si="0"/>
        <v>59686768905.991379</v>
      </c>
      <c r="AH13" s="133">
        <f t="shared" si="0"/>
        <v>61322944112.108139</v>
      </c>
      <c r="AI13" s="133">
        <f t="shared" si="0"/>
        <v>63003667617.116631</v>
      </c>
      <c r="AJ13" s="133">
        <f t="shared" si="0"/>
        <v>64730204217.872589</v>
      </c>
      <c r="AK13" s="133">
        <f t="shared" si="0"/>
        <v>66503855833.896576</v>
      </c>
      <c r="AL13" s="133">
        <f t="shared" si="0"/>
        <v>68325962624.152969</v>
      </c>
      <c r="AM13" s="133">
        <f t="shared" si="0"/>
        <v>70197904138.015991</v>
      </c>
      <c r="AN13" s="133">
        <f t="shared" si="0"/>
        <v>72121100501.481354</v>
      </c>
      <c r="AO13" s="133">
        <f t="shared" si="0"/>
        <v>74097013639.715729</v>
      </c>
      <c r="AP13" s="133">
        <f t="shared" si="0"/>
        <v>76127148537.069962</v>
      </c>
      <c r="AQ13" s="133">
        <f t="shared" si="0"/>
        <v>78213054535.71788</v>
      </c>
      <c r="AR13" s="133">
        <f t="shared" si="0"/>
        <v>80356326674.118103</v>
      </c>
      <c r="AS13" s="133">
        <f>AS9+AS11</f>
        <v>82558602066.533417</v>
      </c>
      <c r="AT13" s="133">
        <f t="shared" ref="AT13:CB13" si="1">AT9+AT11</f>
        <v>84821581324.882111</v>
      </c>
      <c r="AU13" s="133">
        <f t="shared" si="1"/>
        <v>87147000024.23439</v>
      </c>
      <c r="AV13" s="133">
        <f t="shared" si="1"/>
        <v>89536650213.308182</v>
      </c>
      <c r="AW13" s="133">
        <f t="shared" si="1"/>
        <v>91992376971.361099</v>
      </c>
      <c r="AX13" s="133">
        <f t="shared" si="1"/>
        <v>94516080012.919937</v>
      </c>
      <c r="AY13" s="133">
        <f t="shared" si="1"/>
        <v>97109715341.831894</v>
      </c>
      <c r="AZ13" s="133">
        <f t="shared" si="1"/>
        <v>99775296956.17038</v>
      </c>
      <c r="BA13" s="133">
        <f t="shared" si="1"/>
        <v>102514898605.57549</v>
      </c>
      <c r="BB13" s="133">
        <f t="shared" si="1"/>
        <v>105330655602.65764</v>
      </c>
      <c r="BC13" s="133">
        <f t="shared" si="1"/>
        <v>108224766690.14561</v>
      </c>
      <c r="BD13" s="133">
        <f t="shared" si="1"/>
        <v>111199495965.51126</v>
      </c>
      <c r="BE13" s="133">
        <f t="shared" si="1"/>
        <v>114257169864.85826</v>
      </c>
      <c r="BF13" s="133">
        <f t="shared" si="1"/>
        <v>117400199207.91806</v>
      </c>
      <c r="BG13" s="133">
        <f t="shared" si="1"/>
        <v>120631051306.05336</v>
      </c>
      <c r="BH13" s="133">
        <f t="shared" si="1"/>
        <v>123952272135.2301</v>
      </c>
      <c r="BI13" s="133">
        <f t="shared" si="1"/>
        <v>127366483575.97885</v>
      </c>
      <c r="BJ13" s="133">
        <f t="shared" si="1"/>
        <v>130876385722.43097</v>
      </c>
      <c r="BK13" s="133">
        <f t="shared" si="1"/>
        <v>134484759262.5798</v>
      </c>
      <c r="BL13" s="133">
        <f t="shared" si="1"/>
        <v>138194467931.98444</v>
      </c>
      <c r="BM13" s="133">
        <f t="shared" si="1"/>
        <v>142008461043.20273</v>
      </c>
      <c r="BN13" s="133">
        <f t="shared" si="1"/>
        <v>145929776093.31314</v>
      </c>
      <c r="BO13" s="133">
        <f t="shared" si="1"/>
        <v>149961541451.95743</v>
      </c>
      <c r="BP13" s="133">
        <f t="shared" si="1"/>
        <v>154106979132.41238</v>
      </c>
      <c r="BQ13" s="133">
        <f t="shared" si="1"/>
        <v>158369402648.28043</v>
      </c>
      <c r="BR13" s="133">
        <f t="shared" si="1"/>
        <v>162752239958.46445</v>
      </c>
      <c r="BS13" s="133">
        <f t="shared" si="1"/>
        <v>167259006503.18265</v>
      </c>
      <c r="BT13" s="133">
        <f t="shared" si="1"/>
        <v>171893328333.85815</v>
      </c>
      <c r="BU13" s="133">
        <f t="shared" si="1"/>
        <v>176658940339.81488</v>
      </c>
      <c r="BV13" s="133">
        <f t="shared" si="1"/>
        <v>181559689574.79553</v>
      </c>
      <c r="BW13" s="133">
        <f t="shared" si="1"/>
        <v>186599538686.41858</v>
      </c>
      <c r="BX13" s="133">
        <f t="shared" si="1"/>
        <v>191782569451.78345</v>
      </c>
      <c r="BY13" s="133">
        <f t="shared" si="1"/>
        <v>197112986422.53943</v>
      </c>
      <c r="BZ13" s="133">
        <f t="shared" si="1"/>
        <v>202595120682.83115</v>
      </c>
      <c r="CA13" s="133">
        <f t="shared" si="1"/>
        <v>208233433723.64676</v>
      </c>
      <c r="CB13" s="133">
        <f t="shared" si="1"/>
        <v>214032521437.20374</v>
      </c>
      <c r="CC13" s="133">
        <f>CC9+CC11</f>
        <v>219997113235.11627</v>
      </c>
      <c r="CD13" s="133">
        <f t="shared" ref="CD13:DL13" si="2">CD9+CD11</f>
        <v>226132096294.21585</v>
      </c>
      <c r="CE13" s="133">
        <f t="shared" si="2"/>
        <v>232442489934.00726</v>
      </c>
      <c r="CF13" s="133">
        <f t="shared" si="2"/>
        <v>238933470129.87531</v>
      </c>
      <c r="CG13" s="133">
        <f t="shared" si="2"/>
        <v>245610369166.28369</v>
      </c>
      <c r="CH13" s="133">
        <f t="shared" si="2"/>
        <v>252478680434.3382</v>
      </c>
      <c r="CI13" s="133">
        <f t="shared" si="2"/>
        <v>259544063378.22998</v>
      </c>
      <c r="CJ13" s="133">
        <f t="shared" si="2"/>
        <v>266812348595.20978</v>
      </c>
      <c r="CK13" s="133">
        <f t="shared" si="2"/>
        <v>274289543093.89307</v>
      </c>
      <c r="CL13" s="133">
        <f t="shared" si="2"/>
        <v>281981835715.84998</v>
      </c>
      <c r="CM13" s="133">
        <f t="shared" si="2"/>
        <v>289895602725.58197</v>
      </c>
      <c r="CN13" s="133">
        <f t="shared" si="2"/>
        <v>298037413574.15424</v>
      </c>
      <c r="CO13" s="133">
        <f t="shared" si="2"/>
        <v>306414031841.91626</v>
      </c>
      <c r="CP13" s="133">
        <f t="shared" si="2"/>
        <v>315032441365.91162</v>
      </c>
      <c r="CQ13" s="133">
        <f t="shared" si="2"/>
        <v>323899822557.75702</v>
      </c>
      <c r="CR13" s="133">
        <f t="shared" si="2"/>
        <v>333023578917.9519</v>
      </c>
      <c r="CS13" s="133">
        <f t="shared" si="2"/>
        <v>342411338752.76331</v>
      </c>
      <c r="CT13" s="133">
        <f t="shared" si="2"/>
        <v>352070962100.03113</v>
      </c>
      <c r="CU13" s="133">
        <f t="shared" si="2"/>
        <v>362010547870.4306</v>
      </c>
      <c r="CV13" s="133">
        <f t="shared" si="2"/>
        <v>372238441210.94006</v>
      </c>
      <c r="CW13" s="133">
        <f t="shared" si="2"/>
        <v>382763241097.4715</v>
      </c>
      <c r="CX13" s="133">
        <f t="shared" si="2"/>
        <v>393593808163.84088</v>
      </c>
      <c r="CY13" s="133">
        <f t="shared" si="2"/>
        <v>404739272774.48022</v>
      </c>
      <c r="CZ13" s="133">
        <f t="shared" si="2"/>
        <v>416209043348.52728</v>
      </c>
      <c r="DA13" s="133">
        <f t="shared" si="2"/>
        <v>428012809943.16986</v>
      </c>
      <c r="DB13" s="133">
        <f t="shared" si="2"/>
        <v>440160573104.36383</v>
      </c>
      <c r="DC13" s="133">
        <f t="shared" si="2"/>
        <v>452662622993.30817</v>
      </c>
      <c r="DD13" s="133">
        <f t="shared" si="2"/>
        <v>465529568797.31604</v>
      </c>
      <c r="DE13" s="133">
        <f t="shared" si="2"/>
        <v>478772343434.00067</v>
      </c>
      <c r="DF13" s="133">
        <f t="shared" si="2"/>
        <v>492402213557.96075</v>
      </c>
      <c r="DG13" s="133">
        <f t="shared" si="2"/>
        <v>506430789879.46497</v>
      </c>
      <c r="DH13" s="133">
        <f t="shared" si="2"/>
        <v>520870037804.90088</v>
      </c>
      <c r="DI13" s="133">
        <f t="shared" si="2"/>
        <v>535732288409.09351</v>
      </c>
      <c r="DJ13" s="133">
        <f t="shared" si="2"/>
        <v>551030249749.88977</v>
      </c>
      <c r="DK13" s="133">
        <f t="shared" si="2"/>
        <v>566777018535.75293</v>
      </c>
      <c r="DL13" s="133">
        <f t="shared" si="2"/>
        <v>582986092157.43359</v>
      </c>
      <c r="DM13" s="133">
        <f>DM9+DM11</f>
        <v>599671376095.14551</v>
      </c>
      <c r="DN13" s="133">
        <f t="shared" ref="DN13:DX13" si="3">DN9+DN11</f>
        <v>616847216713.02148</v>
      </c>
      <c r="DO13" s="133">
        <f t="shared" si="3"/>
        <v>634528384453.00757</v>
      </c>
      <c r="DP13" s="133">
        <f t="shared" si="3"/>
        <v>652730107440.72522</v>
      </c>
      <c r="DQ13" s="133">
        <f t="shared" si="3"/>
        <v>671468080516.23547</v>
      </c>
      <c r="DR13" s="133">
        <f t="shared" si="3"/>
        <v>690758479703.04248</v>
      </c>
      <c r="DS13" s="133">
        <f t="shared" si="3"/>
        <v>710617977129.08435</v>
      </c>
      <c r="DT13" s="133">
        <f t="shared" si="3"/>
        <v>731063756413.91797</v>
      </c>
      <c r="DU13" s="133">
        <f t="shared" si="3"/>
        <v>752113528536.71704</v>
      </c>
      <c r="DV13" s="133">
        <f t="shared" si="3"/>
        <v>773785548200.19336</v>
      </c>
      <c r="DW13" s="133">
        <f t="shared" si="3"/>
        <v>796098630706.01379</v>
      </c>
      <c r="DX13" s="133">
        <f t="shared" si="3"/>
        <v>819072169357.76892</v>
      </c>
    </row>
    <row r="14" spans="2:128">
      <c r="B14" s="134"/>
      <c r="C14" s="414" t="s">
        <v>296</v>
      </c>
      <c r="D14" s="414"/>
      <c r="E14" s="414"/>
      <c r="F14" s="144" t="s">
        <v>35</v>
      </c>
      <c r="G14" s="135"/>
      <c r="H14" s="135"/>
      <c r="I14" s="56">
        <f>I13</f>
        <v>-36209562398.547173</v>
      </c>
      <c r="J14" s="133">
        <f>I14+J13</f>
        <v>-73270879759.009216</v>
      </c>
      <c r="K14" s="133">
        <f t="shared" ref="K14:AR14" si="4">J14+K13</f>
        <v>-111207130762.33521</v>
      </c>
      <c r="L14" s="133">
        <f t="shared" si="4"/>
        <v>-150042151885.2688</v>
      </c>
      <c r="M14" s="133">
        <f t="shared" si="4"/>
        <v>-189800456700.74857</v>
      </c>
      <c r="N14" s="133">
        <f t="shared" si="4"/>
        <v>-230507255758.79373</v>
      </c>
      <c r="O14" s="133">
        <f t="shared" si="4"/>
        <v>-272188477065.64185</v>
      </c>
      <c r="P14" s="133">
        <f t="shared" si="4"/>
        <v>-314870787179.45599</v>
      </c>
      <c r="Q14" s="133">
        <f t="shared" si="4"/>
        <v>-358581612941.48566</v>
      </c>
      <c r="R14" s="133">
        <f t="shared" si="4"/>
        <v>-403349163862.15167</v>
      </c>
      <c r="S14" s="133">
        <f t="shared" si="4"/>
        <v>-449202455182.12769</v>
      </c>
      <c r="T14" s="133">
        <f t="shared" si="4"/>
        <v>-496171331629.11493</v>
      </c>
      <c r="U14" s="133">
        <f t="shared" si="4"/>
        <v>-453058092864.15497</v>
      </c>
      <c r="V14" s="133">
        <f t="shared" si="4"/>
        <v>-408756729771.61896</v>
      </c>
      <c r="W14" s="133">
        <f t="shared" si="4"/>
        <v>-363235340137.05798</v>
      </c>
      <c r="X14" s="133">
        <f t="shared" si="4"/>
        <v>-316461126443.33478</v>
      </c>
      <c r="Y14" s="133">
        <f t="shared" si="4"/>
        <v>-268400369827.25024</v>
      </c>
      <c r="Z14" s="133">
        <f t="shared" si="4"/>
        <v>-219018403257.77863</v>
      </c>
      <c r="AA14" s="133">
        <f t="shared" si="4"/>
        <v>-168279583912.19116</v>
      </c>
      <c r="AB14" s="133">
        <f t="shared" si="4"/>
        <v>-116147264725.61514</v>
      </c>
      <c r="AC14" s="133">
        <f t="shared" si="4"/>
        <v>-62583765088.81974</v>
      </c>
      <c r="AD14" s="133">
        <f t="shared" si="4"/>
        <v>-7550340668.2418213</v>
      </c>
      <c r="AE14" s="133">
        <f t="shared" si="4"/>
        <v>48992847678.538986</v>
      </c>
      <c r="AF14" s="133">
        <f t="shared" si="4"/>
        <v>107086765919.49483</v>
      </c>
      <c r="AG14" s="133">
        <f t="shared" si="4"/>
        <v>166773534825.48621</v>
      </c>
      <c r="AH14" s="133">
        <f t="shared" si="4"/>
        <v>228096478937.59436</v>
      </c>
      <c r="AI14" s="133">
        <f t="shared" si="4"/>
        <v>291100146554.711</v>
      </c>
      <c r="AJ14" s="133">
        <f t="shared" si="4"/>
        <v>355830350772.58362</v>
      </c>
      <c r="AK14" s="133">
        <f t="shared" si="4"/>
        <v>422334206606.48022</v>
      </c>
      <c r="AL14" s="133">
        <f t="shared" si="4"/>
        <v>490660169230.63318</v>
      </c>
      <c r="AM14" s="133">
        <f t="shared" si="4"/>
        <v>560858073368.64917</v>
      </c>
      <c r="AN14" s="133">
        <f t="shared" si="4"/>
        <v>632979173870.13049</v>
      </c>
      <c r="AO14" s="133">
        <f t="shared" si="4"/>
        <v>707076187509.84619</v>
      </c>
      <c r="AP14" s="133">
        <f t="shared" si="4"/>
        <v>783203336046.91614</v>
      </c>
      <c r="AQ14" s="133">
        <f t="shared" si="4"/>
        <v>861416390582.63403</v>
      </c>
      <c r="AR14" s="133">
        <f t="shared" si="4"/>
        <v>941772717256.7522</v>
      </c>
      <c r="AS14" s="56">
        <f>AS13</f>
        <v>82558602066.533417</v>
      </c>
      <c r="AT14" s="133">
        <f>AS14+AT13</f>
        <v>167380183391.41553</v>
      </c>
      <c r="AU14" s="133">
        <f t="shared" ref="AU14" si="5">AT14+AU13</f>
        <v>254527183415.6499</v>
      </c>
      <c r="AV14" s="133">
        <f t="shared" ref="AV14" si="6">AU14+AV13</f>
        <v>344063833628.95807</v>
      </c>
      <c r="AW14" s="133">
        <f t="shared" ref="AW14" si="7">AV14+AW13</f>
        <v>436056210600.31915</v>
      </c>
      <c r="AX14" s="133">
        <f t="shared" ref="AX14" si="8">AW14+AX13</f>
        <v>530572290613.23907</v>
      </c>
      <c r="AY14" s="133">
        <f t="shared" ref="AY14" si="9">AX14+AY13</f>
        <v>627682005955.07092</v>
      </c>
      <c r="AZ14" s="133">
        <f t="shared" ref="AZ14" si="10">AY14+AZ13</f>
        <v>727457302911.24133</v>
      </c>
      <c r="BA14" s="133">
        <f t="shared" ref="BA14" si="11">AZ14+BA13</f>
        <v>829972201516.81677</v>
      </c>
      <c r="BB14" s="133">
        <f t="shared" ref="BB14" si="12">BA14+BB13</f>
        <v>935302857119.47437</v>
      </c>
      <c r="BC14" s="133">
        <f t="shared" ref="BC14" si="13">BB14+BC13</f>
        <v>1043527623809.62</v>
      </c>
      <c r="BD14" s="133">
        <f t="shared" ref="BD14" si="14">BC14+BD13</f>
        <v>1154727119775.1313</v>
      </c>
      <c r="BE14" s="133">
        <f t="shared" ref="BE14" si="15">BD14+BE13</f>
        <v>1268984289639.9895</v>
      </c>
      <c r="BF14" s="133">
        <f t="shared" ref="BF14" si="16">BE14+BF13</f>
        <v>1386384488847.9075</v>
      </c>
      <c r="BG14" s="133">
        <f t="shared" ref="BG14" si="17">BF14+BG13</f>
        <v>1507015540153.9609</v>
      </c>
      <c r="BH14" s="133">
        <f t="shared" ref="BH14" si="18">BG14+BH13</f>
        <v>1630967812289.1909</v>
      </c>
      <c r="BI14" s="133">
        <f t="shared" ref="BI14" si="19">BH14+BI13</f>
        <v>1758334295865.1697</v>
      </c>
      <c r="BJ14" s="133">
        <f t="shared" ref="BJ14" si="20">BI14+BJ13</f>
        <v>1889210681587.6006</v>
      </c>
      <c r="BK14" s="133">
        <f t="shared" ref="BK14" si="21">BJ14+BK13</f>
        <v>2023695440850.1804</v>
      </c>
      <c r="BL14" s="133">
        <f t="shared" ref="BL14" si="22">BK14+BL13</f>
        <v>2161889908782.1648</v>
      </c>
      <c r="BM14" s="133">
        <f t="shared" ref="BM14" si="23">BL14+BM13</f>
        <v>2303898369825.3677</v>
      </c>
      <c r="BN14" s="133">
        <f t="shared" ref="BN14" si="24">BM14+BN13</f>
        <v>2449828145918.6807</v>
      </c>
      <c r="BO14" s="133">
        <f t="shared" ref="BO14" si="25">BN14+BO13</f>
        <v>2599789687370.6382</v>
      </c>
      <c r="BP14" s="133">
        <f t="shared" ref="BP14" si="26">BO14+BP13</f>
        <v>2753896666503.0508</v>
      </c>
      <c r="BQ14" s="133">
        <f t="shared" ref="BQ14" si="27">BP14+BQ13</f>
        <v>2912266069151.3311</v>
      </c>
      <c r="BR14" s="133">
        <f t="shared" ref="BR14" si="28">BQ14+BR13</f>
        <v>3075018309109.7954</v>
      </c>
      <c r="BS14" s="133">
        <f t="shared" ref="BS14" si="29">BR14+BS13</f>
        <v>3242277315612.978</v>
      </c>
      <c r="BT14" s="133">
        <f t="shared" ref="BT14" si="30">BS14+BT13</f>
        <v>3414170643946.8359</v>
      </c>
      <c r="BU14" s="133">
        <f t="shared" ref="BU14" si="31">BT14+BU13</f>
        <v>3590829584286.6509</v>
      </c>
      <c r="BV14" s="133">
        <f t="shared" ref="BV14" si="32">BU14+BV13</f>
        <v>3772389273861.4463</v>
      </c>
      <c r="BW14" s="133">
        <f t="shared" ref="BW14" si="33">BV14+BW13</f>
        <v>3958988812547.8647</v>
      </c>
      <c r="BX14" s="133">
        <f t="shared" ref="BX14" si="34">BW14+BX13</f>
        <v>4150771381999.6484</v>
      </c>
      <c r="BY14" s="133">
        <f t="shared" ref="BY14" si="35">BX14+BY13</f>
        <v>4347884368422.188</v>
      </c>
      <c r="BZ14" s="133">
        <f t="shared" ref="BZ14" si="36">BY14+BZ13</f>
        <v>4550479489105.0195</v>
      </c>
      <c r="CA14" s="133">
        <f t="shared" ref="CA14" si="37">BZ14+CA13</f>
        <v>4758712922828.666</v>
      </c>
      <c r="CB14" s="133">
        <f t="shared" ref="CB14" si="38">CA14+CB13</f>
        <v>4972745444265.8701</v>
      </c>
      <c r="CC14" s="56">
        <f>CC13</f>
        <v>219997113235.11627</v>
      </c>
      <c r="CD14" s="133">
        <f>CC14+CD13</f>
        <v>446129209529.33215</v>
      </c>
      <c r="CE14" s="133">
        <f t="shared" ref="CE14" si="39">CD14+CE13</f>
        <v>678571699463.33936</v>
      </c>
      <c r="CF14" s="133">
        <f t="shared" ref="CF14" si="40">CE14+CF13</f>
        <v>917505169593.2146</v>
      </c>
      <c r="CG14" s="133">
        <f t="shared" ref="CG14" si="41">CF14+CG13</f>
        <v>1163115538759.4983</v>
      </c>
      <c r="CH14" s="133">
        <f t="shared" ref="CH14" si="42">CG14+CH13</f>
        <v>1415594219193.8364</v>
      </c>
      <c r="CI14" s="133">
        <f t="shared" ref="CI14" si="43">CH14+CI13</f>
        <v>1675138282572.0664</v>
      </c>
      <c r="CJ14" s="133">
        <f t="shared" ref="CJ14" si="44">CI14+CJ13</f>
        <v>1941950631167.2761</v>
      </c>
      <c r="CK14" s="133">
        <f t="shared" ref="CK14" si="45">CJ14+CK13</f>
        <v>2216240174261.1689</v>
      </c>
      <c r="CL14" s="133">
        <f t="shared" ref="CL14" si="46">CK14+CL13</f>
        <v>2498222009977.019</v>
      </c>
      <c r="CM14" s="133">
        <f t="shared" ref="CM14" si="47">CL14+CM13</f>
        <v>2788117612702.6011</v>
      </c>
      <c r="CN14" s="133">
        <f t="shared" ref="CN14" si="48">CM14+CN13</f>
        <v>3086155026276.7554</v>
      </c>
      <c r="CO14" s="133">
        <f t="shared" ref="CO14" si="49">CN14+CO13</f>
        <v>3392569058118.6719</v>
      </c>
      <c r="CP14" s="133">
        <f t="shared" ref="CP14" si="50">CO14+CP13</f>
        <v>3707601499484.5835</v>
      </c>
      <c r="CQ14" s="133">
        <f t="shared" ref="CQ14" si="51">CP14+CQ13</f>
        <v>4031501322042.3403</v>
      </c>
      <c r="CR14" s="133">
        <f t="shared" ref="CR14" si="52">CQ14+CR13</f>
        <v>4364524900960.292</v>
      </c>
      <c r="CS14" s="133">
        <f t="shared" ref="CS14" si="53">CR14+CS13</f>
        <v>4706936239713.0557</v>
      </c>
      <c r="CT14" s="133">
        <f t="shared" ref="CT14" si="54">CS14+CT13</f>
        <v>5059007201813.0869</v>
      </c>
      <c r="CU14" s="133">
        <f t="shared" ref="CU14" si="55">CT14+CU13</f>
        <v>5421017749683.5176</v>
      </c>
      <c r="CV14" s="133">
        <f t="shared" ref="CV14" si="56">CU14+CV13</f>
        <v>5793256190894.458</v>
      </c>
      <c r="CW14" s="133">
        <f t="shared" ref="CW14" si="57">CV14+CW13</f>
        <v>6176019431991.9297</v>
      </c>
      <c r="CX14" s="133">
        <f t="shared" ref="CX14" si="58">CW14+CX13</f>
        <v>6569613240155.7705</v>
      </c>
      <c r="CY14" s="133">
        <f t="shared" ref="CY14" si="59">CX14+CY13</f>
        <v>6974352512930.251</v>
      </c>
      <c r="CZ14" s="133">
        <f t="shared" ref="CZ14" si="60">CY14+CZ13</f>
        <v>7390561556278.7783</v>
      </c>
      <c r="DA14" s="133">
        <f t="shared" ref="DA14" si="61">CZ14+DA13</f>
        <v>7818574366221.9482</v>
      </c>
      <c r="DB14" s="133">
        <f t="shared" ref="DB14" si="62">DA14+DB13</f>
        <v>8258734939326.3125</v>
      </c>
      <c r="DC14" s="133">
        <f t="shared" ref="DC14" si="63">DB14+DC13</f>
        <v>8711397562319.6211</v>
      </c>
      <c r="DD14" s="133">
        <f t="shared" ref="DD14" si="64">DC14+DD13</f>
        <v>9176927131116.9375</v>
      </c>
      <c r="DE14" s="133">
        <f t="shared" ref="DE14" si="65">DD14+DE13</f>
        <v>9655699474550.9375</v>
      </c>
      <c r="DF14" s="133">
        <f t="shared" ref="DF14" si="66">DE14+DF13</f>
        <v>10148101688108.898</v>
      </c>
      <c r="DG14" s="133">
        <f t="shared" ref="DG14" si="67">DF14+DG13</f>
        <v>10654532477988.363</v>
      </c>
      <c r="DH14" s="133">
        <f t="shared" ref="DH14" si="68">DG14+DH13</f>
        <v>11175402515793.264</v>
      </c>
      <c r="DI14" s="133">
        <f t="shared" ref="DI14" si="69">DH14+DI13</f>
        <v>11711134804202.357</v>
      </c>
      <c r="DJ14" s="133">
        <f t="shared" ref="DJ14" si="70">DI14+DJ13</f>
        <v>12262165053952.248</v>
      </c>
      <c r="DK14" s="133">
        <f t="shared" ref="DK14" si="71">DJ14+DK13</f>
        <v>12828942072488</v>
      </c>
      <c r="DL14" s="133">
        <f t="shared" ref="DL14" si="72">DK14+DL13</f>
        <v>13411928164645.434</v>
      </c>
      <c r="DM14" s="56">
        <f>DM13</f>
        <v>599671376095.14551</v>
      </c>
      <c r="DN14" s="133">
        <f>DM14+DN13</f>
        <v>1216518592808.167</v>
      </c>
      <c r="DO14" s="133">
        <f t="shared" ref="DO14" si="73">DN14+DO13</f>
        <v>1851046977261.1746</v>
      </c>
      <c r="DP14" s="133">
        <f t="shared" ref="DP14" si="74">DO14+DP13</f>
        <v>2503777084701.8999</v>
      </c>
      <c r="DQ14" s="133">
        <f t="shared" ref="DQ14" si="75">DP14+DQ13</f>
        <v>3175245165218.1353</v>
      </c>
      <c r="DR14" s="133">
        <f t="shared" ref="DR14" si="76">DQ14+DR13</f>
        <v>3866003644921.1777</v>
      </c>
      <c r="DS14" s="133">
        <f t="shared" ref="DS14" si="77">DR14+DS13</f>
        <v>4576621622050.2617</v>
      </c>
      <c r="DT14" s="133">
        <f t="shared" ref="DT14" si="78">DS14+DT13</f>
        <v>5307685378464.1797</v>
      </c>
      <c r="DU14" s="133">
        <f t="shared" ref="DU14" si="79">DT14+DU13</f>
        <v>6059798907000.8965</v>
      </c>
      <c r="DV14" s="133">
        <f t="shared" ref="DV14" si="80">DU14+DV13</f>
        <v>6833584455201.0898</v>
      </c>
      <c r="DW14" s="133">
        <f t="shared" ref="DW14" si="81">DV14+DW13</f>
        <v>7629683085907.1035</v>
      </c>
      <c r="DX14" s="133">
        <f t="shared" ref="DX14" si="82">DW14+DX13</f>
        <v>8448755255264.8721</v>
      </c>
    </row>
    <row r="15" spans="2:128">
      <c r="B15" s="134"/>
      <c r="C15" s="413" t="s">
        <v>297</v>
      </c>
      <c r="D15" s="413"/>
      <c r="E15" s="413"/>
      <c r="F15" s="144" t="s">
        <v>35</v>
      </c>
      <c r="G15" s="135">
        <v>0.15</v>
      </c>
      <c r="H15" s="135"/>
      <c r="I15" s="145">
        <f>I14/(1+$G$15)^I4</f>
        <v>-31486575998.736675</v>
      </c>
      <c r="J15" s="145">
        <f t="shared" ref="J15:AR15" si="83">J14/(1+$G$15)^J4</f>
        <v>-55403311727.039116</v>
      </c>
      <c r="K15" s="133">
        <f t="shared" si="83"/>
        <v>-73120493638.422119</v>
      </c>
      <c r="L15" s="133">
        <f t="shared" si="83"/>
        <v>-85787087316.165314</v>
      </c>
      <c r="M15" s="133">
        <f t="shared" si="83"/>
        <v>-94364371420.6026</v>
      </c>
      <c r="N15" s="133">
        <f t="shared" si="83"/>
        <v>-99654647722.369568</v>
      </c>
      <c r="O15" s="133">
        <f t="shared" si="83"/>
        <v>-102325730369.23199</v>
      </c>
      <c r="P15" s="133">
        <f t="shared" si="83"/>
        <v>-102931818861.30328</v>
      </c>
      <c r="Q15" s="133">
        <f t="shared" si="83"/>
        <v>-101931274207.99265</v>
      </c>
      <c r="R15" s="133">
        <f t="shared" si="83"/>
        <v>-99701744533.766281</v>
      </c>
      <c r="S15" s="133">
        <f t="shared" si="83"/>
        <v>-96553023368.186829</v>
      </c>
      <c r="T15" s="133">
        <f t="shared" si="83"/>
        <v>-92737969599.121094</v>
      </c>
      <c r="U15" s="133">
        <f t="shared" si="83"/>
        <v>-73634606092.38707</v>
      </c>
      <c r="V15" s="133">
        <f t="shared" si="83"/>
        <v>-57769040061.424934</v>
      </c>
      <c r="W15" s="133">
        <f t="shared" si="83"/>
        <v>-44639620134.529045</v>
      </c>
      <c r="X15" s="133">
        <f t="shared" si="83"/>
        <v>-33818545410.221336</v>
      </c>
      <c r="Y15" s="133">
        <f t="shared" si="83"/>
        <v>-24941342365.853958</v>
      </c>
      <c r="Z15" s="133">
        <f t="shared" si="83"/>
        <v>-17697808116.287998</v>
      </c>
      <c r="AA15" s="133">
        <f t="shared" si="83"/>
        <v>-11824218944.590374</v>
      </c>
      <c r="AB15" s="133">
        <f t="shared" si="83"/>
        <v>-7096630272.9173603</v>
      </c>
      <c r="AC15" s="133">
        <f t="shared" si="83"/>
        <v>-3325117829.632123</v>
      </c>
      <c r="AD15" s="133">
        <f t="shared" si="83"/>
        <v>-348830185.95521981</v>
      </c>
      <c r="AE15" s="133">
        <f t="shared" si="83"/>
        <v>1968259494.8636589</v>
      </c>
      <c r="AF15" s="133">
        <f t="shared" si="83"/>
        <v>3740999363.7946477</v>
      </c>
      <c r="AG15" s="133">
        <f t="shared" si="83"/>
        <v>5066185937.0710478</v>
      </c>
      <c r="AH15" s="133">
        <f t="shared" si="83"/>
        <v>6025245292.1094189</v>
      </c>
      <c r="AI15" s="133">
        <f t="shared" si="83"/>
        <v>6686529031.126812</v>
      </c>
      <c r="AJ15" s="133">
        <f t="shared" si="83"/>
        <v>7107280548.2970257</v>
      </c>
      <c r="AK15" s="133">
        <f t="shared" si="83"/>
        <v>7335317017.5606003</v>
      </c>
      <c r="AL15" s="133">
        <f t="shared" si="83"/>
        <v>7410467273.868927</v>
      </c>
      <c r="AM15" s="133">
        <f t="shared" si="83"/>
        <v>7365800039.4972839</v>
      </c>
      <c r="AN15" s="133">
        <f t="shared" si="83"/>
        <v>7228672178.7937126</v>
      </c>
      <c r="AO15" s="133">
        <f t="shared" si="83"/>
        <v>7021622547.0794306</v>
      </c>
      <c r="AP15" s="133">
        <f t="shared" si="83"/>
        <v>6763133444.5539284</v>
      </c>
      <c r="AQ15" s="133">
        <f t="shared" si="83"/>
        <v>6468278617.9145384</v>
      </c>
      <c r="AR15" s="133">
        <f t="shared" si="83"/>
        <v>6149274105.1008587</v>
      </c>
      <c r="AS15" s="145">
        <f>AS14/(1+$G$15)^AS4</f>
        <v>71790088753.507324</v>
      </c>
      <c r="AT15" s="145">
        <f t="shared" ref="AT15:CB15" si="84">AT14/(1+$G$15)^AT4</f>
        <v>126563465702.39362</v>
      </c>
      <c r="AU15" s="133">
        <f t="shared" si="84"/>
        <v>167355754690.9838</v>
      </c>
      <c r="AV15" s="133">
        <f t="shared" si="84"/>
        <v>196719613568.53824</v>
      </c>
      <c r="AW15" s="133">
        <f t="shared" si="84"/>
        <v>216797003192.81021</v>
      </c>
      <c r="AX15" s="133">
        <f t="shared" si="84"/>
        <v>229381042858.10931</v>
      </c>
      <c r="AY15" s="133">
        <f t="shared" si="84"/>
        <v>235968915331.73837</v>
      </c>
      <c r="AZ15" s="133">
        <f t="shared" si="84"/>
        <v>237807082719.03363</v>
      </c>
      <c r="BA15" s="133">
        <f t="shared" si="84"/>
        <v>235929899929.44022</v>
      </c>
      <c r="BB15" s="133">
        <f t="shared" si="84"/>
        <v>231192561872.01877</v>
      </c>
      <c r="BC15" s="133">
        <f t="shared" si="84"/>
        <v>224299190453.41733</v>
      </c>
      <c r="BD15" s="133">
        <f t="shared" si="84"/>
        <v>215826755200.42685</v>
      </c>
      <c r="BE15" s="133">
        <f t="shared" si="84"/>
        <v>206245423659.35767</v>
      </c>
      <c r="BF15" s="133">
        <f t="shared" si="84"/>
        <v>195935859261.6712</v>
      </c>
      <c r="BG15" s="133">
        <f t="shared" si="84"/>
        <v>185203899003.66315</v>
      </c>
      <c r="BH15" s="133">
        <f t="shared" si="84"/>
        <v>174292999719.78613</v>
      </c>
      <c r="BI15" s="133">
        <f t="shared" si="84"/>
        <v>163394773617.5712</v>
      </c>
      <c r="BJ15" s="133">
        <f t="shared" si="84"/>
        <v>152657893750.72321</v>
      </c>
      <c r="BK15" s="133">
        <f t="shared" si="84"/>
        <v>142195609315.67255</v>
      </c>
      <c r="BL15" s="133">
        <f t="shared" si="84"/>
        <v>132092076465.35739</v>
      </c>
      <c r="BM15" s="133">
        <f t="shared" si="84"/>
        <v>122407680910.44849</v>
      </c>
      <c r="BN15" s="133">
        <f t="shared" si="84"/>
        <v>113183503268.09048</v>
      </c>
      <c r="BO15" s="133">
        <f t="shared" si="84"/>
        <v>104445056355.79494</v>
      </c>
      <c r="BP15" s="133">
        <f t="shared" si="84"/>
        <v>96205404924.537048</v>
      </c>
      <c r="BQ15" s="133">
        <f t="shared" si="84"/>
        <v>88467762106.154907</v>
      </c>
      <c r="BR15" s="133">
        <f t="shared" si="84"/>
        <v>81227644005.776718</v>
      </c>
      <c r="BS15" s="133">
        <f t="shared" si="84"/>
        <v>74474649547.232376</v>
      </c>
      <c r="BT15" s="133">
        <f t="shared" si="84"/>
        <v>68193925991.991875</v>
      </c>
      <c r="BU15" s="133">
        <f t="shared" si="84"/>
        <v>62367369123.194702</v>
      </c>
      <c r="BV15" s="133">
        <f t="shared" si="84"/>
        <v>56974600775.275444</v>
      </c>
      <c r="BW15" s="133">
        <f t="shared" si="84"/>
        <v>51993759805.730591</v>
      </c>
      <c r="BX15" s="133">
        <f t="shared" si="84"/>
        <v>47402137144.799774</v>
      </c>
      <c r="BY15" s="133">
        <f t="shared" si="84"/>
        <v>43176680890.533195</v>
      </c>
      <c r="BZ15" s="133">
        <f t="shared" si="84"/>
        <v>39294393428.987244</v>
      </c>
      <c r="CA15" s="133">
        <f t="shared" si="84"/>
        <v>35732639155.736526</v>
      </c>
      <c r="CB15" s="133">
        <f t="shared" si="84"/>
        <v>32469378472.498047</v>
      </c>
      <c r="CC15" s="145">
        <f>CC14/(1+$G$15)^CC4</f>
        <v>191301837595.7533</v>
      </c>
      <c r="CD15" s="145">
        <f t="shared" ref="CD15:DL15" si="85">CD14/(1+$G$15)^CD4</f>
        <v>337337776581.72571</v>
      </c>
      <c r="CE15" s="133">
        <f t="shared" si="85"/>
        <v>446171907266.10638</v>
      </c>
      <c r="CF15" s="133">
        <f t="shared" si="85"/>
        <v>524586558563.30695</v>
      </c>
      <c r="CG15" s="133">
        <f t="shared" si="85"/>
        <v>578273986335.15894</v>
      </c>
      <c r="CH15" s="133">
        <f t="shared" si="85"/>
        <v>612000445570.36816</v>
      </c>
      <c r="CI15" s="133">
        <f t="shared" si="85"/>
        <v>629746527411.99585</v>
      </c>
      <c r="CJ15" s="133">
        <f t="shared" si="85"/>
        <v>634827106050.26721</v>
      </c>
      <c r="CK15" s="133">
        <f t="shared" si="85"/>
        <v>629993777595.75281</v>
      </c>
      <c r="CL15" s="133">
        <f t="shared" si="85"/>
        <v>617522273363.34656</v>
      </c>
      <c r="CM15" s="133">
        <f t="shared" si="85"/>
        <v>599286984981.81799</v>
      </c>
      <c r="CN15" s="133">
        <f t="shared" si="85"/>
        <v>576824440995.64404</v>
      </c>
      <c r="CO15" s="133">
        <f t="shared" si="85"/>
        <v>551387316925.58521</v>
      </c>
      <c r="CP15" s="133">
        <f t="shared" si="85"/>
        <v>523990344269.54517</v>
      </c>
      <c r="CQ15" s="133">
        <f t="shared" si="85"/>
        <v>495449279577.02692</v>
      </c>
      <c r="CR15" s="133">
        <f t="shared" si="85"/>
        <v>466413948582.07605</v>
      </c>
      <c r="CS15" s="133">
        <f t="shared" si="85"/>
        <v>437396223874.38824</v>
      </c>
      <c r="CT15" s="133">
        <f t="shared" si="85"/>
        <v>408793678452.80475</v>
      </c>
      <c r="CU15" s="133">
        <f t="shared" si="85"/>
        <v>380909551144.45581</v>
      </c>
      <c r="CV15" s="133">
        <f t="shared" si="85"/>
        <v>353969569237.7381</v>
      </c>
      <c r="CW15" s="133">
        <f t="shared" si="85"/>
        <v>328136095684.3338</v>
      </c>
      <c r="CX15" s="133">
        <f t="shared" si="85"/>
        <v>303520001138.04846</v>
      </c>
      <c r="CY15" s="133">
        <f t="shared" si="85"/>
        <v>280190603415.65649</v>
      </c>
      <c r="CZ15" s="133">
        <f t="shared" si="85"/>
        <v>258183967390.60394</v>
      </c>
      <c r="DA15" s="133">
        <f t="shared" si="85"/>
        <v>237509815592.42331</v>
      </c>
      <c r="DB15" s="133">
        <f t="shared" si="85"/>
        <v>218157264170.5253</v>
      </c>
      <c r="DC15" s="133">
        <f t="shared" si="85"/>
        <v>200099565017.53198</v>
      </c>
      <c r="DD15" s="133">
        <f t="shared" si="85"/>
        <v>183298011399.29068</v>
      </c>
      <c r="DE15" s="133">
        <f t="shared" si="85"/>
        <v>167705138641.82385</v>
      </c>
      <c r="DF15" s="133">
        <f t="shared" si="85"/>
        <v>153267332804.9917</v>
      </c>
      <c r="DG15" s="133">
        <f t="shared" si="85"/>
        <v>139926943149.49771</v>
      </c>
      <c r="DH15" s="133">
        <f t="shared" si="85"/>
        <v>127623979725.61177</v>
      </c>
      <c r="DI15" s="133">
        <f t="shared" si="85"/>
        <v>116297465033.67975</v>
      </c>
      <c r="DJ15" s="133">
        <f t="shared" si="85"/>
        <v>105886498131.63857</v>
      </c>
      <c r="DK15" s="133">
        <f t="shared" si="85"/>
        <v>96331080537.964447</v>
      </c>
      <c r="DL15" s="133">
        <f t="shared" si="85"/>
        <v>87572745579.804855</v>
      </c>
      <c r="DM15" s="145">
        <f>DM14/(1+$G$15)^DM4</f>
        <v>521453370517.51788</v>
      </c>
      <c r="DN15" s="145">
        <f t="shared" ref="DN15:DX15" si="86">DN14/(1+$G$15)^DN4</f>
        <v>919862830100.69348</v>
      </c>
      <c r="DO15" s="133">
        <f t="shared" si="86"/>
        <v>1217093434543.3879</v>
      </c>
      <c r="DP15" s="133">
        <f t="shared" si="86"/>
        <v>1431542674419.7744</v>
      </c>
      <c r="DQ15" s="133">
        <f t="shared" si="86"/>
        <v>1578658025014.8315</v>
      </c>
      <c r="DR15" s="133">
        <f t="shared" si="86"/>
        <v>1671380061594.0874</v>
      </c>
      <c r="DS15" s="133">
        <f t="shared" si="86"/>
        <v>1720521585441.5984</v>
      </c>
      <c r="DT15" s="133">
        <f t="shared" si="86"/>
        <v>1735091765237.3076</v>
      </c>
      <c r="DU15" s="133">
        <f t="shared" si="86"/>
        <v>1722573053782.3135</v>
      </c>
      <c r="DV15" s="133">
        <f t="shared" si="86"/>
        <v>1689157565317.8323</v>
      </c>
      <c r="DW15" s="133">
        <f t="shared" si="86"/>
        <v>1639948670776.4507</v>
      </c>
      <c r="DX15" s="133">
        <f t="shared" si="86"/>
        <v>1579132767386.176</v>
      </c>
    </row>
    <row r="16" spans="2:128">
      <c r="B16" s="134"/>
      <c r="C16" s="413" t="s">
        <v>298</v>
      </c>
      <c r="D16" s="413"/>
      <c r="E16" s="413"/>
      <c r="F16" s="144" t="s">
        <v>35</v>
      </c>
      <c r="G16" s="135"/>
      <c r="H16" s="135"/>
      <c r="I16" s="137">
        <f>I15</f>
        <v>-31486575998.736675</v>
      </c>
      <c r="J16" s="133">
        <f>I16+J15</f>
        <v>-86889887725.775787</v>
      </c>
      <c r="K16" s="133">
        <f t="shared" ref="K16:AR16" si="87">J16+K15</f>
        <v>-160010381364.19791</v>
      </c>
      <c r="L16" s="133">
        <f t="shared" si="87"/>
        <v>-245797468680.36322</v>
      </c>
      <c r="M16" s="133">
        <f t="shared" si="87"/>
        <v>-340161840100.96582</v>
      </c>
      <c r="N16" s="133">
        <f t="shared" si="87"/>
        <v>-439816487823.33539</v>
      </c>
      <c r="O16" s="133">
        <f t="shared" si="87"/>
        <v>-542142218192.56738</v>
      </c>
      <c r="P16" s="133">
        <f t="shared" si="87"/>
        <v>-645074037053.87061</v>
      </c>
      <c r="Q16" s="133">
        <f t="shared" si="87"/>
        <v>-747005311261.86328</v>
      </c>
      <c r="R16" s="133">
        <f t="shared" si="87"/>
        <v>-846707055795.62952</v>
      </c>
      <c r="S16" s="133">
        <f t="shared" si="87"/>
        <v>-943260079163.81641</v>
      </c>
      <c r="T16" s="133">
        <f t="shared" si="87"/>
        <v>-1035998048762.9375</v>
      </c>
      <c r="U16" s="133">
        <f t="shared" si="87"/>
        <v>-1109632654855.3245</v>
      </c>
      <c r="V16" s="133">
        <f t="shared" si="87"/>
        <v>-1167401694916.7495</v>
      </c>
      <c r="W16" s="133">
        <f t="shared" si="87"/>
        <v>-1212041315051.2786</v>
      </c>
      <c r="X16" s="133">
        <f t="shared" si="87"/>
        <v>-1245859860461.5</v>
      </c>
      <c r="Y16" s="133">
        <f t="shared" si="87"/>
        <v>-1270801202827.354</v>
      </c>
      <c r="Z16" s="133">
        <f t="shared" si="87"/>
        <v>-1288499010943.6421</v>
      </c>
      <c r="AA16" s="133">
        <f t="shared" si="87"/>
        <v>-1300323229888.2324</v>
      </c>
      <c r="AB16" s="133">
        <f t="shared" si="87"/>
        <v>-1307419860161.1499</v>
      </c>
      <c r="AC16" s="133">
        <f t="shared" si="87"/>
        <v>-1310744977990.782</v>
      </c>
      <c r="AD16" s="133">
        <f t="shared" si="87"/>
        <v>-1311093808176.7373</v>
      </c>
      <c r="AE16" s="133">
        <f t="shared" si="87"/>
        <v>-1309125548681.8735</v>
      </c>
      <c r="AF16" s="133">
        <f t="shared" si="87"/>
        <v>-1305384549318.0789</v>
      </c>
      <c r="AG16" s="133">
        <f t="shared" si="87"/>
        <v>-1300318363381.0078</v>
      </c>
      <c r="AH16" s="133">
        <f t="shared" si="87"/>
        <v>-1294293118088.8984</v>
      </c>
      <c r="AI16" s="133">
        <f t="shared" si="87"/>
        <v>-1287606589057.7717</v>
      </c>
      <c r="AJ16" s="133">
        <f t="shared" si="87"/>
        <v>-1280499308509.4746</v>
      </c>
      <c r="AK16" s="133">
        <f t="shared" si="87"/>
        <v>-1273163991491.9141</v>
      </c>
      <c r="AL16" s="133">
        <f t="shared" si="87"/>
        <v>-1265753524218.0452</v>
      </c>
      <c r="AM16" s="133">
        <f t="shared" si="87"/>
        <v>-1258387724178.5479</v>
      </c>
      <c r="AN16" s="133">
        <f t="shared" si="87"/>
        <v>-1251159051999.7542</v>
      </c>
      <c r="AO16" s="133">
        <f t="shared" si="87"/>
        <v>-1244137429452.6748</v>
      </c>
      <c r="AP16" s="133">
        <f t="shared" si="87"/>
        <v>-1237374296008.1208</v>
      </c>
      <c r="AQ16" s="133">
        <f t="shared" si="87"/>
        <v>-1230906017390.2063</v>
      </c>
      <c r="AR16" s="133">
        <f t="shared" si="87"/>
        <v>-1224756743285.1055</v>
      </c>
      <c r="AS16" s="137">
        <f>AS15</f>
        <v>71790088753.507324</v>
      </c>
      <c r="AT16" s="133">
        <f>AS16+AT15</f>
        <v>198353554455.90094</v>
      </c>
      <c r="AU16" s="133">
        <f t="shared" ref="AU16" si="88">AT16+AU15</f>
        <v>365709309146.88477</v>
      </c>
      <c r="AV16" s="133">
        <f t="shared" ref="AV16" si="89">AU16+AV15</f>
        <v>562428922715.42297</v>
      </c>
      <c r="AW16" s="133">
        <f t="shared" ref="AW16" si="90">AV16+AW15</f>
        <v>779225925908.23315</v>
      </c>
      <c r="AX16" s="133">
        <f t="shared" ref="AX16" si="91">AW16+AX15</f>
        <v>1008606968766.3425</v>
      </c>
      <c r="AY16" s="133">
        <f t="shared" ref="AY16" si="92">AX16+AY15</f>
        <v>1244575884098.0808</v>
      </c>
      <c r="AZ16" s="133">
        <f t="shared" ref="AZ16" si="93">AY16+AZ15</f>
        <v>1482382966817.1145</v>
      </c>
      <c r="BA16" s="133">
        <f t="shared" ref="BA16" si="94">AZ16+BA15</f>
        <v>1718312866746.5547</v>
      </c>
      <c r="BB16" s="133">
        <f t="shared" ref="BB16" si="95">BA16+BB15</f>
        <v>1949505428618.5735</v>
      </c>
      <c r="BC16" s="133">
        <f t="shared" ref="BC16" si="96">BB16+BC15</f>
        <v>2173804619071.9907</v>
      </c>
      <c r="BD16" s="133">
        <f t="shared" ref="BD16" si="97">BC16+BD15</f>
        <v>2389631374272.4175</v>
      </c>
      <c r="BE16" s="133">
        <f t="shared" ref="BE16" si="98">BD16+BE15</f>
        <v>2595876797931.7754</v>
      </c>
      <c r="BF16" s="133">
        <f t="shared" ref="BF16" si="99">BE16+BF15</f>
        <v>2791812657193.4468</v>
      </c>
      <c r="BG16" s="133">
        <f t="shared" ref="BG16" si="100">BF16+BG15</f>
        <v>2977016556197.1099</v>
      </c>
      <c r="BH16" s="133">
        <f t="shared" ref="BH16" si="101">BG16+BH15</f>
        <v>3151309555916.896</v>
      </c>
      <c r="BI16" s="133">
        <f t="shared" ref="BI16" si="102">BH16+BI15</f>
        <v>3314704329534.4673</v>
      </c>
      <c r="BJ16" s="133">
        <f t="shared" ref="BJ16" si="103">BI16+BJ15</f>
        <v>3467362223285.1904</v>
      </c>
      <c r="BK16" s="133">
        <f t="shared" ref="BK16" si="104">BJ16+BK15</f>
        <v>3609557832600.8628</v>
      </c>
      <c r="BL16" s="133">
        <f t="shared" ref="BL16" si="105">BK16+BL15</f>
        <v>3741649909066.2202</v>
      </c>
      <c r="BM16" s="133">
        <f t="shared" ref="BM16" si="106">BL16+BM15</f>
        <v>3864057589976.6689</v>
      </c>
      <c r="BN16" s="133">
        <f t="shared" ref="BN16" si="107">BM16+BN15</f>
        <v>3977241093244.7593</v>
      </c>
      <c r="BO16" s="133">
        <f t="shared" ref="BO16" si="108">BN16+BO15</f>
        <v>4081686149600.5542</v>
      </c>
      <c r="BP16" s="133">
        <f t="shared" ref="BP16" si="109">BO16+BP15</f>
        <v>4177891554525.0913</v>
      </c>
      <c r="BQ16" s="133">
        <f t="shared" ref="BQ16" si="110">BP16+BQ15</f>
        <v>4266359316631.2461</v>
      </c>
      <c r="BR16" s="133">
        <f t="shared" ref="BR16" si="111">BQ16+BR15</f>
        <v>4347586960637.0229</v>
      </c>
      <c r="BS16" s="133">
        <f t="shared" ref="BS16" si="112">BR16+BS15</f>
        <v>4422061610184.2549</v>
      </c>
      <c r="BT16" s="133">
        <f t="shared" ref="BT16" si="113">BS16+BT15</f>
        <v>4490255536176.2471</v>
      </c>
      <c r="BU16" s="133">
        <f t="shared" ref="BU16" si="114">BT16+BU15</f>
        <v>4552622905299.4414</v>
      </c>
      <c r="BV16" s="133">
        <f t="shared" ref="BV16" si="115">BU16+BV15</f>
        <v>4609597506074.7168</v>
      </c>
      <c r="BW16" s="133">
        <f t="shared" ref="BW16" si="116">BV16+BW15</f>
        <v>4661591265880.4473</v>
      </c>
      <c r="BX16" s="133">
        <f t="shared" ref="BX16" si="117">BW16+BX15</f>
        <v>4708993403025.2471</v>
      </c>
      <c r="BY16" s="133">
        <f t="shared" ref="BY16" si="118">BX16+BY15</f>
        <v>4752170083915.7803</v>
      </c>
      <c r="BZ16" s="133">
        <f t="shared" ref="BZ16" si="119">BY16+BZ15</f>
        <v>4791464477344.7676</v>
      </c>
      <c r="CA16" s="133">
        <f t="shared" ref="CA16" si="120">BZ16+CA15</f>
        <v>4827197116500.5039</v>
      </c>
      <c r="CB16" s="133">
        <f t="shared" ref="CB16" si="121">CA16+CB15</f>
        <v>4859666494973.002</v>
      </c>
      <c r="CC16" s="137">
        <f>CC15</f>
        <v>191301837595.7533</v>
      </c>
      <c r="CD16" s="133">
        <f>CC16+CD15</f>
        <v>528639614177.479</v>
      </c>
      <c r="CE16" s="133">
        <f t="shared" ref="CE16" si="122">CD16+CE15</f>
        <v>974811521443.58545</v>
      </c>
      <c r="CF16" s="133">
        <f t="shared" ref="CF16" si="123">CE16+CF15</f>
        <v>1499398080006.8923</v>
      </c>
      <c r="CG16" s="133">
        <f t="shared" ref="CG16" si="124">CF16+CG15</f>
        <v>2077672066342.0513</v>
      </c>
      <c r="CH16" s="133">
        <f t="shared" ref="CH16" si="125">CG16+CH15</f>
        <v>2689672511912.4194</v>
      </c>
      <c r="CI16" s="133">
        <f t="shared" ref="CI16" si="126">CH16+CI15</f>
        <v>3319419039324.415</v>
      </c>
      <c r="CJ16" s="133">
        <f t="shared" ref="CJ16" si="127">CI16+CJ15</f>
        <v>3954246145374.6821</v>
      </c>
      <c r="CK16" s="133">
        <f t="shared" ref="CK16" si="128">CJ16+CK15</f>
        <v>4584239922970.4346</v>
      </c>
      <c r="CL16" s="133">
        <f t="shared" ref="CL16" si="129">CK16+CL15</f>
        <v>5201762196333.7812</v>
      </c>
      <c r="CM16" s="133">
        <f t="shared" ref="CM16" si="130">CL16+CM15</f>
        <v>5801049181315.5996</v>
      </c>
      <c r="CN16" s="133">
        <f t="shared" ref="CN16" si="131">CM16+CN15</f>
        <v>6377873622311.2441</v>
      </c>
      <c r="CO16" s="133">
        <f t="shared" ref="CO16" si="132">CN16+CO15</f>
        <v>6929260939236.8291</v>
      </c>
      <c r="CP16" s="133">
        <f t="shared" ref="CP16" si="133">CO16+CP15</f>
        <v>7453251283506.374</v>
      </c>
      <c r="CQ16" s="133">
        <f t="shared" ref="CQ16" si="134">CP16+CQ15</f>
        <v>7948700563083.4014</v>
      </c>
      <c r="CR16" s="133">
        <f t="shared" ref="CR16" si="135">CQ16+CR15</f>
        <v>8415114511665.4775</v>
      </c>
      <c r="CS16" s="133">
        <f t="shared" ref="CS16" si="136">CR16+CS15</f>
        <v>8852510735539.8652</v>
      </c>
      <c r="CT16" s="133">
        <f t="shared" ref="CT16" si="137">CS16+CT15</f>
        <v>9261304413992.6699</v>
      </c>
      <c r="CU16" s="133">
        <f t="shared" ref="CU16" si="138">CT16+CU15</f>
        <v>9642213965137.125</v>
      </c>
      <c r="CV16" s="133">
        <f t="shared" ref="CV16" si="139">CU16+CV15</f>
        <v>9996183534374.8633</v>
      </c>
      <c r="CW16" s="133">
        <f t="shared" ref="CW16" si="140">CV16+CW15</f>
        <v>10324319630059.197</v>
      </c>
      <c r="CX16" s="133">
        <f t="shared" ref="CX16" si="141">CW16+CX15</f>
        <v>10627839631197.246</v>
      </c>
      <c r="CY16" s="133">
        <f t="shared" ref="CY16" si="142">CX16+CY15</f>
        <v>10908030234612.902</v>
      </c>
      <c r="CZ16" s="133">
        <f t="shared" ref="CZ16" si="143">CY16+CZ15</f>
        <v>11166214202003.506</v>
      </c>
      <c r="DA16" s="133">
        <f t="shared" ref="DA16" si="144">CZ16+DA15</f>
        <v>11403724017595.93</v>
      </c>
      <c r="DB16" s="133">
        <f t="shared" ref="DB16" si="145">DA16+DB15</f>
        <v>11621881281766.455</v>
      </c>
      <c r="DC16" s="133">
        <f t="shared" ref="DC16" si="146">DB16+DC15</f>
        <v>11821980846783.986</v>
      </c>
      <c r="DD16" s="133">
        <f t="shared" ref="DD16" si="147">DC16+DD15</f>
        <v>12005278858183.277</v>
      </c>
      <c r="DE16" s="133">
        <f t="shared" ref="DE16" si="148">DD16+DE15</f>
        <v>12172983996825.102</v>
      </c>
      <c r="DF16" s="133">
        <f t="shared" ref="DF16" si="149">DE16+DF15</f>
        <v>12326251329630.094</v>
      </c>
      <c r="DG16" s="133">
        <f t="shared" ref="DG16" si="150">DF16+DG15</f>
        <v>12466178272779.592</v>
      </c>
      <c r="DH16" s="133">
        <f t="shared" ref="DH16" si="151">DG16+DH15</f>
        <v>12593802252505.203</v>
      </c>
      <c r="DI16" s="133">
        <f t="shared" ref="DI16" si="152">DH16+DI15</f>
        <v>12710099717538.883</v>
      </c>
      <c r="DJ16" s="133">
        <f t="shared" ref="DJ16" si="153">DI16+DJ15</f>
        <v>12815986215670.521</v>
      </c>
      <c r="DK16" s="133">
        <f t="shared" ref="DK16" si="154">DJ16+DK15</f>
        <v>12912317296208.486</v>
      </c>
      <c r="DL16" s="133">
        <f t="shared" ref="DL16" si="155">DK16+DL15</f>
        <v>12999890041788.291</v>
      </c>
      <c r="DM16" s="137">
        <f>DM15</f>
        <v>521453370517.51788</v>
      </c>
      <c r="DN16" s="133">
        <f>DM16+DN15</f>
        <v>1441316200618.2114</v>
      </c>
      <c r="DO16" s="133">
        <f t="shared" ref="DO16" si="156">DN16+DO15</f>
        <v>2658409635161.5996</v>
      </c>
      <c r="DP16" s="133">
        <f t="shared" ref="DP16" si="157">DO16+DP15</f>
        <v>4089952309581.374</v>
      </c>
      <c r="DQ16" s="133">
        <f t="shared" ref="DQ16" si="158">DP16+DQ15</f>
        <v>5668610334596.2051</v>
      </c>
      <c r="DR16" s="133">
        <f t="shared" ref="DR16" si="159">DQ16+DR15</f>
        <v>7339990396190.293</v>
      </c>
      <c r="DS16" s="133">
        <f t="shared" ref="DS16" si="160">DR16+DS15</f>
        <v>9060511981631.8906</v>
      </c>
      <c r="DT16" s="133">
        <f t="shared" ref="DT16" si="161">DS16+DT15</f>
        <v>10795603746869.199</v>
      </c>
      <c r="DU16" s="133">
        <f t="shared" ref="DU16" si="162">DT16+DU15</f>
        <v>12518176800651.512</v>
      </c>
      <c r="DV16" s="133">
        <f t="shared" ref="DV16" si="163">DU16+DV15</f>
        <v>14207334365969.344</v>
      </c>
      <c r="DW16" s="133">
        <f t="shared" ref="DW16" si="164">DV16+DW15</f>
        <v>15847283036745.795</v>
      </c>
      <c r="DX16" s="133">
        <f t="shared" ref="DX16" si="165">DW16+DX15</f>
        <v>17426415804131.971</v>
      </c>
    </row>
    <row r="17" spans="2:129">
      <c r="B17" s="134"/>
      <c r="C17" s="413" t="s">
        <v>299</v>
      </c>
      <c r="D17" s="413"/>
      <c r="E17" s="413"/>
      <c r="F17" s="144" t="s">
        <v>35</v>
      </c>
      <c r="G17" s="135">
        <v>0.18</v>
      </c>
      <c r="H17" s="135"/>
      <c r="I17" s="137">
        <f>I14/(1+$G$17)^I6</f>
        <v>-36209562398.547173</v>
      </c>
      <c r="J17" s="137">
        <f t="shared" ref="J17:AR17" si="166">J14/(1+$G$17)^J6</f>
        <v>-73270879759.009216</v>
      </c>
      <c r="K17" s="137">
        <f t="shared" si="166"/>
        <v>-111207130762.33521</v>
      </c>
      <c r="L17" s="137">
        <f t="shared" si="166"/>
        <v>-150042151885.2688</v>
      </c>
      <c r="M17" s="137">
        <f t="shared" si="166"/>
        <v>-189800456700.74857</v>
      </c>
      <c r="N17" s="137">
        <f t="shared" si="166"/>
        <v>-230507255758.79373</v>
      </c>
      <c r="O17" s="137">
        <f t="shared" si="166"/>
        <v>-272188477065.64185</v>
      </c>
      <c r="P17" s="137">
        <f t="shared" si="166"/>
        <v>-314870787179.45599</v>
      </c>
      <c r="Q17" s="137">
        <f t="shared" si="166"/>
        <v>-358581612941.48566</v>
      </c>
      <c r="R17" s="137">
        <f t="shared" si="166"/>
        <v>-403349163862.15167</v>
      </c>
      <c r="S17" s="137">
        <f t="shared" si="166"/>
        <v>-449202455182.12769</v>
      </c>
      <c r="T17" s="137">
        <f t="shared" si="166"/>
        <v>-496171331629.11493</v>
      </c>
      <c r="U17" s="137">
        <f t="shared" si="166"/>
        <v>-453058092864.15497</v>
      </c>
      <c r="V17" s="137">
        <f t="shared" si="166"/>
        <v>-408756729771.61896</v>
      </c>
      <c r="W17" s="137">
        <f t="shared" si="166"/>
        <v>-363235340137.05798</v>
      </c>
      <c r="X17" s="137">
        <f t="shared" si="166"/>
        <v>-316461126443.33478</v>
      </c>
      <c r="Y17" s="137">
        <f t="shared" si="166"/>
        <v>-268400369827.25024</v>
      </c>
      <c r="Z17" s="137">
        <f t="shared" si="166"/>
        <v>-219018403257.77863</v>
      </c>
      <c r="AA17" s="137">
        <f t="shared" si="166"/>
        <v>-168279583912.19116</v>
      </c>
      <c r="AB17" s="137">
        <f t="shared" si="166"/>
        <v>-116147264725.61514</v>
      </c>
      <c r="AC17" s="137">
        <f t="shared" si="166"/>
        <v>-62583765088.81974</v>
      </c>
      <c r="AD17" s="137">
        <f t="shared" si="166"/>
        <v>-7550340668.2418213</v>
      </c>
      <c r="AE17" s="137">
        <f t="shared" si="166"/>
        <v>48992847678.538986</v>
      </c>
      <c r="AF17" s="137">
        <f t="shared" si="166"/>
        <v>107086765919.49483</v>
      </c>
      <c r="AG17" s="137">
        <f t="shared" si="166"/>
        <v>166773534825.48621</v>
      </c>
      <c r="AH17" s="137">
        <f t="shared" si="166"/>
        <v>228096478937.59436</v>
      </c>
      <c r="AI17" s="137">
        <f t="shared" si="166"/>
        <v>291100146554.711</v>
      </c>
      <c r="AJ17" s="137">
        <f t="shared" si="166"/>
        <v>355830350772.58362</v>
      </c>
      <c r="AK17" s="137">
        <f t="shared" si="166"/>
        <v>422334206606.48022</v>
      </c>
      <c r="AL17" s="137">
        <f t="shared" si="166"/>
        <v>490660169230.63318</v>
      </c>
      <c r="AM17" s="137">
        <f t="shared" si="166"/>
        <v>560858073368.64917</v>
      </c>
      <c r="AN17" s="137">
        <f t="shared" si="166"/>
        <v>632979173870.13049</v>
      </c>
      <c r="AO17" s="137">
        <f t="shared" si="166"/>
        <v>707076187509.84619</v>
      </c>
      <c r="AP17" s="137">
        <f t="shared" si="166"/>
        <v>783203336046.91614</v>
      </c>
      <c r="AQ17" s="137">
        <f t="shared" si="166"/>
        <v>861416390582.63403</v>
      </c>
      <c r="AR17" s="137">
        <f t="shared" si="166"/>
        <v>941772717256.7522</v>
      </c>
      <c r="AS17" s="137">
        <f>AS14/(1+$G$17)^AS6</f>
        <v>82558602066.533417</v>
      </c>
      <c r="AT17" s="137">
        <f t="shared" ref="AT17:CB17" si="167">AT14/(1+$G$17)^AT6</f>
        <v>167380183391.41553</v>
      </c>
      <c r="AU17" s="137">
        <f t="shared" si="167"/>
        <v>254527183415.6499</v>
      </c>
      <c r="AV17" s="137">
        <f t="shared" si="167"/>
        <v>344063833628.95807</v>
      </c>
      <c r="AW17" s="137">
        <f t="shared" si="167"/>
        <v>436056210600.31915</v>
      </c>
      <c r="AX17" s="137">
        <f t="shared" si="167"/>
        <v>530572290613.23907</v>
      </c>
      <c r="AY17" s="137">
        <f t="shared" si="167"/>
        <v>627682005955.07092</v>
      </c>
      <c r="AZ17" s="137">
        <f t="shared" si="167"/>
        <v>727457302911.24133</v>
      </c>
      <c r="BA17" s="137">
        <f t="shared" si="167"/>
        <v>829972201516.81677</v>
      </c>
      <c r="BB17" s="137">
        <f t="shared" si="167"/>
        <v>935302857119.47437</v>
      </c>
      <c r="BC17" s="137">
        <f t="shared" si="167"/>
        <v>1043527623809.62</v>
      </c>
      <c r="BD17" s="137">
        <f t="shared" si="167"/>
        <v>1154727119775.1313</v>
      </c>
      <c r="BE17" s="137">
        <f t="shared" si="167"/>
        <v>1268984289639.9895</v>
      </c>
      <c r="BF17" s="137">
        <f t="shared" si="167"/>
        <v>1386384488847.9075</v>
      </c>
      <c r="BG17" s="137">
        <f t="shared" si="167"/>
        <v>1507015540153.9609</v>
      </c>
      <c r="BH17" s="137">
        <f t="shared" si="167"/>
        <v>1630967812289.1909</v>
      </c>
      <c r="BI17" s="137">
        <f t="shared" si="167"/>
        <v>1758334295865.1697</v>
      </c>
      <c r="BJ17" s="137">
        <f t="shared" si="167"/>
        <v>1889210681587.6006</v>
      </c>
      <c r="BK17" s="137">
        <f t="shared" si="167"/>
        <v>2023695440850.1804</v>
      </c>
      <c r="BL17" s="137">
        <f t="shared" si="167"/>
        <v>2161889908782.1648</v>
      </c>
      <c r="BM17" s="137">
        <f t="shared" si="167"/>
        <v>2303898369825.3677</v>
      </c>
      <c r="BN17" s="137">
        <f t="shared" si="167"/>
        <v>2449828145918.6807</v>
      </c>
      <c r="BO17" s="137">
        <f t="shared" si="167"/>
        <v>2599789687370.6382</v>
      </c>
      <c r="BP17" s="137">
        <f t="shared" si="167"/>
        <v>2753896666503.0508</v>
      </c>
      <c r="BQ17" s="137">
        <f t="shared" si="167"/>
        <v>2912266069151.3311</v>
      </c>
      <c r="BR17" s="137">
        <f t="shared" si="167"/>
        <v>3075018309109.7954</v>
      </c>
      <c r="BS17" s="137">
        <f t="shared" si="167"/>
        <v>3242277315612.978</v>
      </c>
      <c r="BT17" s="137">
        <f t="shared" si="167"/>
        <v>3414170643946.8359</v>
      </c>
      <c r="BU17" s="137">
        <f t="shared" si="167"/>
        <v>3590829584286.6509</v>
      </c>
      <c r="BV17" s="137">
        <f t="shared" si="167"/>
        <v>3772389273861.4463</v>
      </c>
      <c r="BW17" s="137">
        <f t="shared" si="167"/>
        <v>3958988812547.8647</v>
      </c>
      <c r="BX17" s="137">
        <f t="shared" si="167"/>
        <v>4150771381999.6484</v>
      </c>
      <c r="BY17" s="137">
        <f t="shared" si="167"/>
        <v>4347884368422.188</v>
      </c>
      <c r="BZ17" s="137">
        <f t="shared" si="167"/>
        <v>4550479489105.0195</v>
      </c>
      <c r="CA17" s="137">
        <f t="shared" si="167"/>
        <v>4758712922828.666</v>
      </c>
      <c r="CB17" s="137">
        <f t="shared" si="167"/>
        <v>4972745444265.8701</v>
      </c>
      <c r="CC17" s="137">
        <f>CC14/(1+$G$17)^CC6</f>
        <v>219997113235.11627</v>
      </c>
      <c r="CD17" s="137">
        <f t="shared" ref="CD17:DL17" si="168">CD14/(1+$G$17)^CD6</f>
        <v>446129209529.33215</v>
      </c>
      <c r="CE17" s="137">
        <f t="shared" si="168"/>
        <v>678571699463.33936</v>
      </c>
      <c r="CF17" s="137">
        <f t="shared" si="168"/>
        <v>917505169593.2146</v>
      </c>
      <c r="CG17" s="137">
        <f t="shared" si="168"/>
        <v>1163115538759.4983</v>
      </c>
      <c r="CH17" s="137">
        <f t="shared" si="168"/>
        <v>1415594219193.8364</v>
      </c>
      <c r="CI17" s="137">
        <f t="shared" si="168"/>
        <v>1675138282572.0664</v>
      </c>
      <c r="CJ17" s="137">
        <f t="shared" si="168"/>
        <v>1941950631167.2761</v>
      </c>
      <c r="CK17" s="137">
        <f t="shared" si="168"/>
        <v>2216240174261.1689</v>
      </c>
      <c r="CL17" s="137">
        <f t="shared" si="168"/>
        <v>2498222009977.019</v>
      </c>
      <c r="CM17" s="137">
        <f t="shared" si="168"/>
        <v>2788117612702.6011</v>
      </c>
      <c r="CN17" s="137">
        <f t="shared" si="168"/>
        <v>3086155026276.7554</v>
      </c>
      <c r="CO17" s="137">
        <f t="shared" si="168"/>
        <v>3392569058118.6719</v>
      </c>
      <c r="CP17" s="137">
        <f t="shared" si="168"/>
        <v>3707601499484.5835</v>
      </c>
      <c r="CQ17" s="137">
        <f t="shared" si="168"/>
        <v>4031501322042.3403</v>
      </c>
      <c r="CR17" s="137">
        <f t="shared" si="168"/>
        <v>4364524900960.292</v>
      </c>
      <c r="CS17" s="137">
        <f t="shared" si="168"/>
        <v>4706936239713.0557</v>
      </c>
      <c r="CT17" s="137">
        <f t="shared" si="168"/>
        <v>5059007201813.0869</v>
      </c>
      <c r="CU17" s="137">
        <f t="shared" si="168"/>
        <v>5421017749683.5176</v>
      </c>
      <c r="CV17" s="137">
        <f t="shared" si="168"/>
        <v>5793256190894.458</v>
      </c>
      <c r="CW17" s="137">
        <f t="shared" si="168"/>
        <v>6176019431991.9297</v>
      </c>
      <c r="CX17" s="137">
        <f t="shared" si="168"/>
        <v>6569613240155.7705</v>
      </c>
      <c r="CY17" s="137">
        <f t="shared" si="168"/>
        <v>6974352512930.251</v>
      </c>
      <c r="CZ17" s="137">
        <f t="shared" si="168"/>
        <v>7390561556278.7783</v>
      </c>
      <c r="DA17" s="137">
        <f t="shared" si="168"/>
        <v>7818574366221.9482</v>
      </c>
      <c r="DB17" s="137">
        <f t="shared" si="168"/>
        <v>8258734939326.3125</v>
      </c>
      <c r="DC17" s="137">
        <f t="shared" si="168"/>
        <v>8711397562319.6211</v>
      </c>
      <c r="DD17" s="137">
        <f t="shared" si="168"/>
        <v>9176927131116.9375</v>
      </c>
      <c r="DE17" s="137">
        <f t="shared" si="168"/>
        <v>9655699474550.9375</v>
      </c>
      <c r="DF17" s="137">
        <f t="shared" si="168"/>
        <v>10148101688108.898</v>
      </c>
      <c r="DG17" s="137">
        <f t="shared" si="168"/>
        <v>10654532477988.363</v>
      </c>
      <c r="DH17" s="137">
        <f t="shared" si="168"/>
        <v>11175402515793.264</v>
      </c>
      <c r="DI17" s="137">
        <f t="shared" si="168"/>
        <v>11711134804202.357</v>
      </c>
      <c r="DJ17" s="137">
        <f t="shared" si="168"/>
        <v>12262165053952.248</v>
      </c>
      <c r="DK17" s="137">
        <f t="shared" si="168"/>
        <v>12828942072488</v>
      </c>
      <c r="DL17" s="137">
        <f t="shared" si="168"/>
        <v>13411928164645.434</v>
      </c>
      <c r="DM17" s="137">
        <f>DM14/(1+$G$17)^DM6</f>
        <v>599671376095.14551</v>
      </c>
      <c r="DN17" s="137">
        <f t="shared" ref="DN17:DX17" si="169">DN14/(1+$G$17)^DN6</f>
        <v>1216518592808.167</v>
      </c>
      <c r="DO17" s="137">
        <f t="shared" si="169"/>
        <v>1851046977261.1746</v>
      </c>
      <c r="DP17" s="137">
        <f t="shared" si="169"/>
        <v>2503777084701.8999</v>
      </c>
      <c r="DQ17" s="137">
        <f t="shared" si="169"/>
        <v>3175245165218.1353</v>
      </c>
      <c r="DR17" s="137">
        <f t="shared" si="169"/>
        <v>3866003644921.1777</v>
      </c>
      <c r="DS17" s="137">
        <f t="shared" si="169"/>
        <v>4576621622050.2617</v>
      </c>
      <c r="DT17" s="137">
        <f t="shared" si="169"/>
        <v>5307685378464.1797</v>
      </c>
      <c r="DU17" s="137">
        <f t="shared" si="169"/>
        <v>6059798907000.8965</v>
      </c>
      <c r="DV17" s="137">
        <f t="shared" si="169"/>
        <v>6833584455201.0898</v>
      </c>
      <c r="DW17" s="137">
        <f t="shared" si="169"/>
        <v>7629683085907.1035</v>
      </c>
      <c r="DX17" s="137">
        <f t="shared" si="169"/>
        <v>8448755255264.8721</v>
      </c>
      <c r="DY17" s="137"/>
    </row>
    <row r="18" spans="2:129">
      <c r="B18" s="134"/>
      <c r="C18" s="413" t="s">
        <v>298</v>
      </c>
      <c r="D18" s="413"/>
      <c r="E18" s="413"/>
      <c r="F18" s="144" t="s">
        <v>35</v>
      </c>
      <c r="G18" s="135"/>
      <c r="H18" s="135"/>
      <c r="I18" s="137">
        <f>I17</f>
        <v>-36209562398.547173</v>
      </c>
      <c r="J18" s="133">
        <f>I18+J17</f>
        <v>-109480442157.5564</v>
      </c>
      <c r="K18" s="133">
        <f t="shared" ref="K18:AR18" si="170">J18+K17</f>
        <v>-220687572919.8916</v>
      </c>
      <c r="L18" s="133">
        <f t="shared" si="170"/>
        <v>-370729724805.1604</v>
      </c>
      <c r="M18" s="133">
        <f t="shared" si="170"/>
        <v>-560530181505.90894</v>
      </c>
      <c r="N18" s="133">
        <f t="shared" si="170"/>
        <v>-791037437264.70264</v>
      </c>
      <c r="O18" s="133">
        <f t="shared" si="170"/>
        <v>-1063225914330.3445</v>
      </c>
      <c r="P18" s="133">
        <f t="shared" si="170"/>
        <v>-1378096701509.8005</v>
      </c>
      <c r="Q18" s="133">
        <f t="shared" si="170"/>
        <v>-1736678314451.2861</v>
      </c>
      <c r="R18" s="133">
        <f t="shared" si="170"/>
        <v>-2140027478313.4377</v>
      </c>
      <c r="S18" s="133">
        <f t="shared" si="170"/>
        <v>-2589229933495.5654</v>
      </c>
      <c r="T18" s="133">
        <f t="shared" si="170"/>
        <v>-3085401265124.6802</v>
      </c>
      <c r="U18" s="133">
        <f t="shared" si="170"/>
        <v>-3538459357988.835</v>
      </c>
      <c r="V18" s="133">
        <f t="shared" si="170"/>
        <v>-3947216087760.4541</v>
      </c>
      <c r="W18" s="133">
        <f t="shared" si="170"/>
        <v>-4310451427897.5122</v>
      </c>
      <c r="X18" s="133">
        <f t="shared" si="170"/>
        <v>-4626912554340.8467</v>
      </c>
      <c r="Y18" s="133">
        <f t="shared" si="170"/>
        <v>-4895312924168.0967</v>
      </c>
      <c r="Z18" s="133">
        <f t="shared" si="170"/>
        <v>-5114331327425.875</v>
      </c>
      <c r="AA18" s="133">
        <f t="shared" si="170"/>
        <v>-5282610911338.0664</v>
      </c>
      <c r="AB18" s="133">
        <f t="shared" si="170"/>
        <v>-5398758176063.6816</v>
      </c>
      <c r="AC18" s="133">
        <f t="shared" si="170"/>
        <v>-5461341941152.501</v>
      </c>
      <c r="AD18" s="133">
        <f t="shared" si="170"/>
        <v>-5468892281820.7432</v>
      </c>
      <c r="AE18" s="133">
        <f t="shared" si="170"/>
        <v>-5419899434142.2041</v>
      </c>
      <c r="AF18" s="133">
        <f t="shared" si="170"/>
        <v>-5312812668222.709</v>
      </c>
      <c r="AG18" s="133">
        <f t="shared" si="170"/>
        <v>-5146039133397.2227</v>
      </c>
      <c r="AH18" s="133">
        <f t="shared" si="170"/>
        <v>-4917942654459.6279</v>
      </c>
      <c r="AI18" s="133">
        <f t="shared" si="170"/>
        <v>-4626842507904.917</v>
      </c>
      <c r="AJ18" s="133">
        <f t="shared" si="170"/>
        <v>-4271012157132.3335</v>
      </c>
      <c r="AK18" s="133">
        <f t="shared" si="170"/>
        <v>-3848677950525.8535</v>
      </c>
      <c r="AL18" s="133">
        <f t="shared" si="170"/>
        <v>-3358017781295.2202</v>
      </c>
      <c r="AM18" s="133">
        <f t="shared" si="170"/>
        <v>-2797159707926.5713</v>
      </c>
      <c r="AN18" s="133">
        <f t="shared" si="170"/>
        <v>-2164180534056.4409</v>
      </c>
      <c r="AO18" s="133">
        <f t="shared" si="170"/>
        <v>-1457104346546.5947</v>
      </c>
      <c r="AP18" s="133">
        <f t="shared" si="170"/>
        <v>-673901010499.67859</v>
      </c>
      <c r="AQ18" s="133">
        <f t="shared" si="170"/>
        <v>187515380082.95544</v>
      </c>
      <c r="AR18" s="133">
        <f t="shared" si="170"/>
        <v>1129288097339.7075</v>
      </c>
      <c r="AS18" s="137">
        <f>AS17</f>
        <v>82558602066.533417</v>
      </c>
      <c r="AT18" s="133">
        <f>AS18+AT17</f>
        <v>249938785457.94894</v>
      </c>
      <c r="AU18" s="133">
        <f t="shared" ref="AU18" si="171">AT18+AU17</f>
        <v>504465968873.59888</v>
      </c>
      <c r="AV18" s="133">
        <f t="shared" ref="AV18" si="172">AU18+AV17</f>
        <v>848529802502.55688</v>
      </c>
      <c r="AW18" s="133">
        <f t="shared" ref="AW18" si="173">AV18+AW17</f>
        <v>1284586013102.876</v>
      </c>
      <c r="AX18" s="133">
        <f t="shared" ref="AX18" si="174">AW18+AX17</f>
        <v>1815158303716.115</v>
      </c>
      <c r="AY18" s="133">
        <f t="shared" ref="AY18" si="175">AX18+AY17</f>
        <v>2442840309671.186</v>
      </c>
      <c r="AZ18" s="133">
        <f t="shared" ref="AZ18" si="176">AY18+AZ17</f>
        <v>3170297612582.4272</v>
      </c>
      <c r="BA18" s="133">
        <f t="shared" ref="BA18" si="177">AZ18+BA17</f>
        <v>4000269814099.2441</v>
      </c>
      <c r="BB18" s="133">
        <f t="shared" ref="BB18" si="178">BA18+BB17</f>
        <v>4935572671218.7188</v>
      </c>
      <c r="BC18" s="133">
        <f t="shared" ref="BC18" si="179">BB18+BC17</f>
        <v>5979100295028.3389</v>
      </c>
      <c r="BD18" s="133">
        <f t="shared" ref="BD18" si="180">BC18+BD17</f>
        <v>7133827414803.4707</v>
      </c>
      <c r="BE18" s="133">
        <f t="shared" ref="BE18" si="181">BD18+BE17</f>
        <v>8402811704443.46</v>
      </c>
      <c r="BF18" s="133">
        <f t="shared" ref="BF18" si="182">BE18+BF17</f>
        <v>9789196193291.3672</v>
      </c>
      <c r="BG18" s="133">
        <f t="shared" ref="BG18" si="183">BF18+BG17</f>
        <v>11296211733445.328</v>
      </c>
      <c r="BH18" s="133">
        <f t="shared" ref="BH18" si="184">BG18+BH17</f>
        <v>12927179545734.52</v>
      </c>
      <c r="BI18" s="133">
        <f t="shared" ref="BI18" si="185">BH18+BI17</f>
        <v>14685513841599.689</v>
      </c>
      <c r="BJ18" s="133">
        <f t="shared" ref="BJ18" si="186">BI18+BJ17</f>
        <v>16574724523187.289</v>
      </c>
      <c r="BK18" s="133">
        <f t="shared" ref="BK18" si="187">BJ18+BK17</f>
        <v>18598419964037.469</v>
      </c>
      <c r="BL18" s="133">
        <f t="shared" ref="BL18" si="188">BK18+BL17</f>
        <v>20760309872819.633</v>
      </c>
      <c r="BM18" s="133">
        <f t="shared" ref="BM18" si="189">BL18+BM17</f>
        <v>23064208242645</v>
      </c>
      <c r="BN18" s="133">
        <f t="shared" ref="BN18" si="190">BM18+BN17</f>
        <v>25514036388563.68</v>
      </c>
      <c r="BO18" s="133">
        <f t="shared" ref="BO18" si="191">BN18+BO17</f>
        <v>28113826075934.316</v>
      </c>
      <c r="BP18" s="133">
        <f t="shared" ref="BP18" si="192">BO18+BP17</f>
        <v>30867722742437.367</v>
      </c>
      <c r="BQ18" s="133">
        <f t="shared" ref="BQ18" si="193">BP18+BQ17</f>
        <v>33779988811588.699</v>
      </c>
      <c r="BR18" s="133">
        <f t="shared" ref="BR18" si="194">BQ18+BR17</f>
        <v>36855007120698.492</v>
      </c>
      <c r="BS18" s="133">
        <f t="shared" ref="BS18" si="195">BR18+BS17</f>
        <v>40097284436311.469</v>
      </c>
      <c r="BT18" s="133">
        <f t="shared" ref="BT18" si="196">BS18+BT17</f>
        <v>43511455080258.305</v>
      </c>
      <c r="BU18" s="133">
        <f t="shared" ref="BU18" si="197">BT18+BU17</f>
        <v>47102284664544.953</v>
      </c>
      <c r="BV18" s="133">
        <f t="shared" ref="BV18" si="198">BU18+BV17</f>
        <v>50874673938406.398</v>
      </c>
      <c r="BW18" s="133">
        <f t="shared" ref="BW18" si="199">BV18+BW17</f>
        <v>54833662750954.266</v>
      </c>
      <c r="BX18" s="133">
        <f t="shared" ref="BX18" si="200">BW18+BX17</f>
        <v>58984434132953.914</v>
      </c>
      <c r="BY18" s="133">
        <f t="shared" ref="BY18" si="201">BX18+BY17</f>
        <v>63332318501376.102</v>
      </c>
      <c r="BZ18" s="133">
        <f t="shared" ref="BZ18" si="202">BY18+BZ17</f>
        <v>67882797990481.125</v>
      </c>
      <c r="CA18" s="133">
        <f t="shared" ref="CA18" si="203">BZ18+CA17</f>
        <v>72641510913309.797</v>
      </c>
      <c r="CB18" s="133">
        <f t="shared" ref="CB18" si="204">CA18+CB17</f>
        <v>77614256357575.672</v>
      </c>
      <c r="CC18" s="137">
        <f>CC17</f>
        <v>219997113235.11627</v>
      </c>
      <c r="CD18" s="133">
        <f>CC18+CD17</f>
        <v>666126322764.44849</v>
      </c>
      <c r="CE18" s="133">
        <f t="shared" ref="CE18" si="205">CD18+CE17</f>
        <v>1344698022227.7878</v>
      </c>
      <c r="CF18" s="133">
        <f t="shared" ref="CF18" si="206">CE18+CF17</f>
        <v>2262203191821.0024</v>
      </c>
      <c r="CG18" s="133">
        <f t="shared" ref="CG18" si="207">CF18+CG17</f>
        <v>3425318730580.501</v>
      </c>
      <c r="CH18" s="133">
        <f t="shared" ref="CH18" si="208">CG18+CH17</f>
        <v>4840912949774.3379</v>
      </c>
      <c r="CI18" s="133">
        <f t="shared" ref="CI18" si="209">CH18+CI17</f>
        <v>6516051232346.4043</v>
      </c>
      <c r="CJ18" s="133">
        <f t="shared" ref="CJ18" si="210">CI18+CJ17</f>
        <v>8458001863513.6807</v>
      </c>
      <c r="CK18" s="133">
        <f t="shared" ref="CK18" si="211">CJ18+CK17</f>
        <v>10674242037774.85</v>
      </c>
      <c r="CL18" s="133">
        <f t="shared" ref="CL18" si="212">CK18+CL17</f>
        <v>13172464047751.869</v>
      </c>
      <c r="CM18" s="133">
        <f t="shared" ref="CM18" si="213">CL18+CM17</f>
        <v>15960581660454.471</v>
      </c>
      <c r="CN18" s="133">
        <f t="shared" ref="CN18" si="214">CM18+CN17</f>
        <v>19046736686731.227</v>
      </c>
      <c r="CO18" s="133">
        <f t="shared" ref="CO18" si="215">CN18+CO17</f>
        <v>22439305744849.898</v>
      </c>
      <c r="CP18" s="133">
        <f t="shared" ref="CP18" si="216">CO18+CP17</f>
        <v>26146907244334.48</v>
      </c>
      <c r="CQ18" s="133">
        <f t="shared" ref="CQ18" si="217">CP18+CQ17</f>
        <v>30178408566376.82</v>
      </c>
      <c r="CR18" s="133">
        <f t="shared" ref="CR18" si="218">CQ18+CR17</f>
        <v>34542933467337.113</v>
      </c>
      <c r="CS18" s="133">
        <f t="shared" ref="CS18" si="219">CR18+CS17</f>
        <v>39249869707050.172</v>
      </c>
      <c r="CT18" s="133">
        <f t="shared" ref="CT18" si="220">CS18+CT17</f>
        <v>44308876908863.258</v>
      </c>
      <c r="CU18" s="133">
        <f t="shared" ref="CU18" si="221">CT18+CU17</f>
        <v>49729894658546.773</v>
      </c>
      <c r="CV18" s="133">
        <f t="shared" ref="CV18" si="222">CU18+CV17</f>
        <v>55523150849441.234</v>
      </c>
      <c r="CW18" s="133">
        <f t="shared" ref="CW18" si="223">CV18+CW17</f>
        <v>61699170281433.164</v>
      </c>
      <c r="CX18" s="133">
        <f t="shared" ref="CX18" si="224">CW18+CX17</f>
        <v>68268783521588.938</v>
      </c>
      <c r="CY18" s="133">
        <f t="shared" ref="CY18" si="225">CX18+CY17</f>
        <v>75243136034519.188</v>
      </c>
      <c r="CZ18" s="133">
        <f t="shared" ref="CZ18" si="226">CY18+CZ17</f>
        <v>82633697590797.969</v>
      </c>
      <c r="DA18" s="133">
        <f t="shared" ref="DA18" si="227">CZ18+DA17</f>
        <v>90452271957019.922</v>
      </c>
      <c r="DB18" s="133">
        <f t="shared" ref="DB18" si="228">DA18+DB17</f>
        <v>98711006896346.234</v>
      </c>
      <c r="DC18" s="133">
        <f t="shared" ref="DC18" si="229">DB18+DC17</f>
        <v>107422404458665.86</v>
      </c>
      <c r="DD18" s="133">
        <f t="shared" ref="DD18" si="230">DC18+DD17</f>
        <v>116599331589782.8</v>
      </c>
      <c r="DE18" s="133">
        <f t="shared" ref="DE18" si="231">DD18+DE17</f>
        <v>126255031064333.73</v>
      </c>
      <c r="DF18" s="133">
        <f t="shared" ref="DF18" si="232">DE18+DF17</f>
        <v>136403132752442.62</v>
      </c>
      <c r="DG18" s="133">
        <f t="shared" ref="DG18" si="233">DF18+DG17</f>
        <v>147057665230431</v>
      </c>
      <c r="DH18" s="133">
        <f t="shared" ref="DH18" si="234">DG18+DH17</f>
        <v>158233067746224.25</v>
      </c>
      <c r="DI18" s="133">
        <f t="shared" ref="DI18" si="235">DH18+DI17</f>
        <v>169944202550426.59</v>
      </c>
      <c r="DJ18" s="133">
        <f t="shared" ref="DJ18" si="236">DI18+DJ17</f>
        <v>182206367604378.84</v>
      </c>
      <c r="DK18" s="133">
        <f t="shared" ref="DK18" si="237">DJ18+DK17</f>
        <v>195035309676866.84</v>
      </c>
      <c r="DL18" s="133">
        <f t="shared" ref="DL18" si="238">DK18+DL17</f>
        <v>208447237841512.28</v>
      </c>
      <c r="DM18" s="137">
        <f>DM17</f>
        <v>599671376095.14551</v>
      </c>
      <c r="DN18" s="133">
        <f>DM18+DN17</f>
        <v>1816189968903.3125</v>
      </c>
      <c r="DO18" s="133">
        <f t="shared" ref="DO18" si="239">DN18+DO17</f>
        <v>3667236946164.4873</v>
      </c>
      <c r="DP18" s="133">
        <f t="shared" ref="DP18" si="240">DO18+DP17</f>
        <v>6171014030866.3867</v>
      </c>
      <c r="DQ18" s="133">
        <f t="shared" ref="DQ18" si="241">DP18+DQ17</f>
        <v>9346259196084.5215</v>
      </c>
      <c r="DR18" s="133">
        <f t="shared" ref="DR18" si="242">DQ18+DR17</f>
        <v>13212262841005.699</v>
      </c>
      <c r="DS18" s="133">
        <f t="shared" ref="DS18" si="243">DR18+DS17</f>
        <v>17788884463055.961</v>
      </c>
      <c r="DT18" s="133">
        <f t="shared" ref="DT18" si="244">DS18+DT17</f>
        <v>23096569841520.141</v>
      </c>
      <c r="DU18" s="133">
        <f t="shared" ref="DU18" si="245">DT18+DU17</f>
        <v>29156368748521.039</v>
      </c>
      <c r="DV18" s="133">
        <f t="shared" ref="DV18" si="246">DU18+DV17</f>
        <v>35989953203722.125</v>
      </c>
      <c r="DW18" s="133">
        <f t="shared" ref="DW18" si="247">DV18+DW17</f>
        <v>43619636289629.227</v>
      </c>
      <c r="DX18" s="133">
        <f t="shared" ref="DX18" si="248">DW18+DX17</f>
        <v>52068391544894.102</v>
      </c>
    </row>
    <row r="19" spans="2:129">
      <c r="B19" s="134"/>
      <c r="C19" s="413" t="s">
        <v>300</v>
      </c>
      <c r="D19" s="413"/>
      <c r="E19" s="413"/>
      <c r="F19" s="144" t="s">
        <v>29</v>
      </c>
      <c r="G19" s="135"/>
      <c r="H19" s="135">
        <f>G15+((AR15/(AR15-AR17))*(G17-G15))</f>
        <v>0.14980282855832297</v>
      </c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56"/>
      <c r="BR19" s="56"/>
      <c r="BS19" s="56"/>
      <c r="BT19" s="56"/>
      <c r="BU19" s="56"/>
      <c r="BV19" s="56"/>
      <c r="BW19" s="56"/>
      <c r="BX19" s="56"/>
      <c r="BY19" s="56"/>
      <c r="BZ19" s="56"/>
      <c r="CA19" s="56"/>
      <c r="CB19" s="56"/>
      <c r="CE19" s="56"/>
      <c r="CF19" s="56"/>
      <c r="CG19" s="56"/>
      <c r="CH19" s="56"/>
      <c r="CI19" s="56"/>
      <c r="CJ19" s="56"/>
      <c r="CK19" s="56"/>
      <c r="CL19" s="56"/>
      <c r="CM19" s="56"/>
      <c r="CN19" s="56"/>
      <c r="CO19" s="56"/>
      <c r="CP19" s="56"/>
      <c r="CQ19" s="56"/>
      <c r="CR19" s="56"/>
      <c r="CS19" s="56"/>
      <c r="CT19" s="56"/>
      <c r="CU19" s="56"/>
      <c r="CV19" s="56"/>
      <c r="CW19" s="56"/>
      <c r="CX19" s="56"/>
      <c r="CY19" s="56"/>
      <c r="CZ19" s="56"/>
      <c r="DA19" s="56"/>
      <c r="DB19" s="56"/>
      <c r="DC19" s="56"/>
      <c r="DD19" s="56"/>
      <c r="DE19" s="56"/>
      <c r="DF19" s="56"/>
      <c r="DG19" s="56"/>
      <c r="DH19" s="56"/>
      <c r="DI19" s="56"/>
      <c r="DJ19" s="56"/>
      <c r="DK19" s="56"/>
      <c r="DL19" s="56"/>
      <c r="DO19" s="56"/>
      <c r="DP19" s="56"/>
      <c r="DQ19" s="56"/>
      <c r="DR19" s="56"/>
      <c r="DS19" s="56"/>
      <c r="DT19" s="56"/>
      <c r="DU19" s="56"/>
      <c r="DV19" s="56"/>
      <c r="DW19" s="56"/>
      <c r="DX19" s="56"/>
    </row>
    <row r="20" spans="2:129">
      <c r="B20" s="134"/>
      <c r="C20" s="413" t="s">
        <v>301</v>
      </c>
      <c r="D20" s="413"/>
      <c r="E20" s="413"/>
      <c r="F20" s="144" t="s">
        <v>29</v>
      </c>
      <c r="G20" s="135"/>
      <c r="H20" s="13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E20" s="56"/>
      <c r="CF20" s="56"/>
      <c r="CG20" s="56"/>
      <c r="CH20" s="56"/>
      <c r="CI20" s="56"/>
      <c r="CJ20" s="56"/>
      <c r="CK20" s="56"/>
      <c r="CL20" s="56"/>
      <c r="CM20" s="56"/>
      <c r="CN20" s="56"/>
      <c r="CO20" s="56"/>
      <c r="CP20" s="56"/>
      <c r="CQ20" s="56"/>
      <c r="CR20" s="56"/>
      <c r="CS20" s="56"/>
      <c r="CT20" s="56"/>
      <c r="CU20" s="56"/>
      <c r="CV20" s="56"/>
      <c r="CW20" s="56"/>
      <c r="CX20" s="56"/>
      <c r="CY20" s="56"/>
      <c r="CZ20" s="56"/>
      <c r="DA20" s="56"/>
      <c r="DB20" s="56"/>
      <c r="DC20" s="56"/>
      <c r="DD20" s="56"/>
      <c r="DE20" s="56"/>
      <c r="DF20" s="56"/>
      <c r="DG20" s="56"/>
      <c r="DH20" s="56"/>
      <c r="DI20" s="56"/>
      <c r="DJ20" s="56"/>
      <c r="DK20" s="56"/>
      <c r="DL20" s="56"/>
      <c r="DO20" s="56"/>
      <c r="DP20" s="56"/>
      <c r="DQ20" s="56"/>
      <c r="DR20" s="56"/>
      <c r="DS20" s="56"/>
      <c r="DT20" s="56"/>
      <c r="DU20" s="56"/>
      <c r="DV20" s="56"/>
      <c r="DW20" s="56"/>
      <c r="DX20" s="56"/>
    </row>
    <row r="21" spans="2:129">
      <c r="B21" s="134"/>
      <c r="C21" s="134"/>
      <c r="D21" s="134"/>
      <c r="E21" s="134"/>
      <c r="F21" s="3"/>
      <c r="G21" s="3"/>
      <c r="H21" s="3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6"/>
      <c r="CE21" s="56"/>
      <c r="CF21" s="56"/>
      <c r="CG21" s="56"/>
      <c r="CH21" s="56"/>
      <c r="CI21" s="56"/>
      <c r="CJ21" s="56"/>
      <c r="CK21" s="56"/>
      <c r="CL21" s="56"/>
      <c r="CM21" s="56"/>
      <c r="CN21" s="56"/>
      <c r="CO21" s="56"/>
      <c r="CP21" s="56"/>
      <c r="CQ21" s="56"/>
      <c r="CR21" s="56"/>
      <c r="CS21" s="56"/>
      <c r="CT21" s="56"/>
      <c r="CU21" s="56"/>
      <c r="CV21" s="56"/>
      <c r="CW21" s="56"/>
      <c r="CX21" s="56"/>
      <c r="CY21" s="56"/>
      <c r="CZ21" s="56"/>
      <c r="DA21" s="56"/>
      <c r="DB21" s="56"/>
      <c r="DC21" s="56"/>
      <c r="DD21" s="56"/>
      <c r="DE21" s="56"/>
      <c r="DF21" s="56"/>
      <c r="DG21" s="56"/>
      <c r="DH21" s="56"/>
      <c r="DI21" s="56"/>
      <c r="DJ21" s="56"/>
      <c r="DK21" s="56"/>
      <c r="DL21" s="56"/>
      <c r="DO21" s="56"/>
      <c r="DP21" s="56"/>
      <c r="DQ21" s="56"/>
      <c r="DR21" s="56"/>
      <c r="DS21" s="56"/>
      <c r="DT21" s="56"/>
      <c r="DU21" s="56"/>
      <c r="DV21" s="56"/>
      <c r="DW21" s="56"/>
      <c r="DX21" s="56"/>
    </row>
    <row r="22" spans="2:129">
      <c r="B22" s="134"/>
      <c r="C22" s="412" t="s">
        <v>302</v>
      </c>
      <c r="D22" s="412"/>
      <c r="E22" s="412"/>
      <c r="F22" s="412"/>
      <c r="G22" s="412"/>
      <c r="H22" s="412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E22" s="56"/>
      <c r="CF22" s="56"/>
      <c r="CG22" s="56"/>
      <c r="CH22" s="56"/>
      <c r="CI22" s="56"/>
      <c r="CJ22" s="56"/>
      <c r="CK22" s="56"/>
      <c r="CL22" s="56"/>
      <c r="CM22" s="56"/>
      <c r="CN22" s="56"/>
      <c r="CO22" s="56"/>
      <c r="CP22" s="56"/>
      <c r="CQ22" s="56"/>
      <c r="CR22" s="56"/>
      <c r="CS22" s="56"/>
      <c r="CT22" s="56"/>
      <c r="CU22" s="56"/>
      <c r="CV22" s="56"/>
      <c r="CW22" s="56"/>
      <c r="CX22" s="56"/>
      <c r="CY22" s="56"/>
      <c r="CZ22" s="56"/>
      <c r="DA22" s="56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O22" s="56"/>
      <c r="DP22" s="56"/>
      <c r="DQ22" s="56"/>
      <c r="DR22" s="56"/>
      <c r="DS22" s="56"/>
      <c r="DT22" s="56"/>
      <c r="DU22" s="56"/>
      <c r="DV22" s="56"/>
      <c r="DW22" s="56"/>
      <c r="DX22" s="56"/>
    </row>
    <row r="23" spans="2:129">
      <c r="B23" s="134"/>
      <c r="C23" s="413" t="s">
        <v>303</v>
      </c>
      <c r="D23" s="413"/>
      <c r="E23" s="413"/>
      <c r="F23" s="144" t="s">
        <v>35</v>
      </c>
      <c r="G23" s="45"/>
      <c r="H23" s="45"/>
      <c r="I23" s="56">
        <f>'Отчет о движ. ден. ср.'!F50</f>
        <v>0</v>
      </c>
      <c r="J23" s="56">
        <f>'Отчет о движ. ден. ср.'!G50</f>
        <v>0</v>
      </c>
      <c r="K23" s="56">
        <f>'Отчет о движ. ден. ср.'!H50</f>
        <v>0</v>
      </c>
      <c r="L23" s="56">
        <f>'Отчет о движ. ден. ср.'!I50</f>
        <v>0</v>
      </c>
      <c r="M23" s="56">
        <f>'Отчет о движ. ден. ср.'!J50</f>
        <v>0</v>
      </c>
      <c r="N23" s="56">
        <f>'Отчет о движ. ден. ср.'!K50</f>
        <v>0</v>
      </c>
      <c r="O23" s="56">
        <f>'Отчет о движ. ден. ср.'!L50</f>
        <v>0</v>
      </c>
      <c r="P23" s="56">
        <f>'Отчет о движ. ден. ср.'!M50</f>
        <v>0</v>
      </c>
      <c r="Q23" s="56">
        <f>'Отчет о движ. ден. ср.'!N50</f>
        <v>0</v>
      </c>
      <c r="R23" s="56">
        <f>'Отчет о движ. ден. ср.'!O50</f>
        <v>0</v>
      </c>
      <c r="S23" s="56">
        <f>'Отчет о движ. ден. ср.'!P50</f>
        <v>0</v>
      </c>
      <c r="T23" s="56">
        <f>'Отчет о движ. ден. ср.'!Q50</f>
        <v>0</v>
      </c>
      <c r="U23" s="56">
        <f>'Отчет о движ. ден. ср.'!R50</f>
        <v>0</v>
      </c>
      <c r="V23" s="56">
        <f>'Отчет о движ. ден. ср.'!S50</f>
        <v>0</v>
      </c>
      <c r="W23" s="56">
        <f>'Отчет о движ. ден. ср.'!T50</f>
        <v>0</v>
      </c>
      <c r="X23" s="56">
        <f>'Отчет о движ. ден. ср.'!U50</f>
        <v>0</v>
      </c>
      <c r="Y23" s="56">
        <f>'Отчет о движ. ден. ср.'!V50</f>
        <v>0</v>
      </c>
      <c r="Z23" s="56">
        <f>'Отчет о движ. ден. ср.'!W50</f>
        <v>0</v>
      </c>
      <c r="AA23" s="56">
        <f>'Отчет о движ. ден. ср.'!X50</f>
        <v>0</v>
      </c>
      <c r="AB23" s="56">
        <f>'Отчет о движ. ден. ср.'!Y50</f>
        <v>0</v>
      </c>
      <c r="AC23" s="56">
        <f>'Отчет о движ. ден. ср.'!Z50</f>
        <v>0</v>
      </c>
      <c r="AD23" s="56">
        <f>'Отчет о движ. ден. ср.'!AA50</f>
        <v>0</v>
      </c>
      <c r="AE23" s="56">
        <f>'Отчет о движ. ден. ср.'!AB50</f>
        <v>0</v>
      </c>
      <c r="AF23" s="56">
        <f>'Отчет о движ. ден. ср.'!AC50</f>
        <v>0</v>
      </c>
      <c r="AG23" s="56">
        <f>'Отчет о движ. ден. ср.'!AD50</f>
        <v>0</v>
      </c>
      <c r="AH23" s="56">
        <f>'Отчет о движ. ден. ср.'!AE50</f>
        <v>0</v>
      </c>
      <c r="AI23" s="56">
        <f>'Отчет о движ. ден. ср.'!AF50</f>
        <v>0</v>
      </c>
      <c r="AJ23" s="56">
        <f>'Отчет о движ. ден. ср.'!AG50</f>
        <v>0</v>
      </c>
      <c r="AK23" s="56">
        <f>'Отчет о движ. ден. ср.'!AH50</f>
        <v>0</v>
      </c>
      <c r="AL23" s="56">
        <f>'Отчет о движ. ден. ср.'!AI50</f>
        <v>0</v>
      </c>
      <c r="AM23" s="56">
        <f>'Отчет о движ. ден. ср.'!AJ50</f>
        <v>0</v>
      </c>
      <c r="AN23" s="56">
        <f>'Отчет о движ. ден. ср.'!AK50</f>
        <v>0</v>
      </c>
      <c r="AO23" s="56">
        <f>'Отчет о движ. ден. ср.'!AL50</f>
        <v>0</v>
      </c>
      <c r="AP23" s="56">
        <f>'Отчет о движ. ден. ср.'!AM50</f>
        <v>0</v>
      </c>
      <c r="AQ23" s="56">
        <f>'Отчет о движ. ден. ср.'!AN50</f>
        <v>0</v>
      </c>
      <c r="AR23" s="56">
        <f>'Отчет о движ. ден. ср.'!AO50</f>
        <v>0</v>
      </c>
      <c r="AS23" s="56">
        <f>'Отчет о движ. ден. ср.'!AP50</f>
        <v>0</v>
      </c>
      <c r="AT23" s="56">
        <f>'Отчет о движ. ден. ср.'!AQ50</f>
        <v>0</v>
      </c>
      <c r="AU23" s="56">
        <f>'Отчет о движ. ден. ср.'!AR50</f>
        <v>0</v>
      </c>
      <c r="AV23" s="56">
        <f>'Отчет о движ. ден. ср.'!AS50</f>
        <v>0</v>
      </c>
      <c r="AW23" s="56">
        <f>'Отчет о движ. ден. ср.'!AT50</f>
        <v>0</v>
      </c>
      <c r="AX23" s="56">
        <f>'Отчет о движ. ден. ср.'!AU50</f>
        <v>0</v>
      </c>
      <c r="AY23" s="56">
        <f>'Отчет о движ. ден. ср.'!AV50</f>
        <v>0</v>
      </c>
      <c r="AZ23" s="56">
        <f>'Отчет о движ. ден. ср.'!AW50</f>
        <v>0</v>
      </c>
      <c r="BA23" s="56">
        <f>'Отчет о движ. ден. ср.'!AX50</f>
        <v>0</v>
      </c>
      <c r="BB23" s="56">
        <f>'Отчет о движ. ден. ср.'!AY50</f>
        <v>0</v>
      </c>
      <c r="BC23" s="56">
        <f>'Отчет о движ. ден. ср.'!AZ50</f>
        <v>0</v>
      </c>
      <c r="BD23" s="56">
        <f>'Отчет о движ. ден. ср.'!BA50</f>
        <v>0</v>
      </c>
      <c r="BE23" s="56">
        <f>'Отчет о движ. ден. ср.'!BB50</f>
        <v>0</v>
      </c>
      <c r="BF23" s="56">
        <f>'Отчет о движ. ден. ср.'!BC50</f>
        <v>0</v>
      </c>
      <c r="BG23" s="56">
        <f>'Отчет о движ. ден. ср.'!BD50</f>
        <v>0</v>
      </c>
      <c r="BH23" s="56">
        <f>'Отчет о движ. ден. ср.'!BE50</f>
        <v>0</v>
      </c>
      <c r="BI23" s="56">
        <f>'Отчет о движ. ден. ср.'!BF50</f>
        <v>0</v>
      </c>
      <c r="BJ23" s="56">
        <f>'Отчет о движ. ден. ср.'!BG50</f>
        <v>0</v>
      </c>
      <c r="BK23" s="56">
        <f>'Отчет о движ. ден. ср.'!BH50</f>
        <v>0</v>
      </c>
      <c r="BL23" s="56">
        <f>'Отчет о движ. ден. ср.'!BI50</f>
        <v>0</v>
      </c>
      <c r="BM23" s="56">
        <f>'Отчет о движ. ден. ср.'!BJ50</f>
        <v>0</v>
      </c>
      <c r="BN23" s="56">
        <f>'Отчет о движ. ден. ср.'!BK50</f>
        <v>0</v>
      </c>
      <c r="BO23" s="56">
        <f>'Отчет о движ. ден. ср.'!BL50</f>
        <v>0</v>
      </c>
      <c r="BP23" s="56">
        <f>'Отчет о движ. ден. ср.'!BM50</f>
        <v>0</v>
      </c>
      <c r="BQ23" s="56">
        <f>'Отчет о движ. ден. ср.'!BN50</f>
        <v>0</v>
      </c>
      <c r="BR23" s="56">
        <f>'Отчет о движ. ден. ср.'!BO50</f>
        <v>0</v>
      </c>
      <c r="BS23" s="56">
        <f>'Отчет о движ. ден. ср.'!BP50</f>
        <v>0</v>
      </c>
      <c r="BT23" s="56">
        <f>'Отчет о движ. ден. ср.'!BQ50</f>
        <v>0</v>
      </c>
      <c r="BU23" s="56">
        <f>'Отчет о движ. ден. ср.'!BR50</f>
        <v>0</v>
      </c>
      <c r="BV23" s="56">
        <f>'Отчет о движ. ден. ср.'!BS50</f>
        <v>0</v>
      </c>
      <c r="BW23" s="56">
        <f>'Отчет о движ. ден. ср.'!BT50</f>
        <v>0</v>
      </c>
      <c r="BX23" s="56">
        <f>'Отчет о движ. ден. ср.'!BU50</f>
        <v>0</v>
      </c>
      <c r="BY23" s="56">
        <f>'Отчет о движ. ден. ср.'!BV50</f>
        <v>0</v>
      </c>
      <c r="BZ23" s="56">
        <f>'Отчет о движ. ден. ср.'!BW50</f>
        <v>0</v>
      </c>
      <c r="CA23" s="56">
        <f>'Отчет о движ. ден. ср.'!BX50</f>
        <v>0</v>
      </c>
      <c r="CB23" s="56">
        <f>'Отчет о движ. ден. ср.'!BY50</f>
        <v>0</v>
      </c>
      <c r="CC23" s="56">
        <f>'Отчет о движ. ден. ср.'!BZ50</f>
        <v>0</v>
      </c>
      <c r="CD23" s="56">
        <f>'Отчет о движ. ден. ср.'!CA50</f>
        <v>0</v>
      </c>
      <c r="CE23" s="56">
        <f>'Отчет о движ. ден. ср.'!CB50</f>
        <v>0</v>
      </c>
      <c r="CF23" s="56">
        <f>'Отчет о движ. ден. ср.'!CC50</f>
        <v>0</v>
      </c>
      <c r="CG23" s="56">
        <f>'Отчет о движ. ден. ср.'!CD50</f>
        <v>0</v>
      </c>
      <c r="CH23" s="56">
        <f>'Отчет о движ. ден. ср.'!CE50</f>
        <v>0</v>
      </c>
      <c r="CI23" s="56">
        <f>'Отчет о движ. ден. ср.'!CF50</f>
        <v>0</v>
      </c>
      <c r="CJ23" s="56">
        <f>'Отчет о движ. ден. ср.'!CG50</f>
        <v>0</v>
      </c>
      <c r="CK23" s="56">
        <f>'Отчет о движ. ден. ср.'!CH50</f>
        <v>0</v>
      </c>
      <c r="CL23" s="56">
        <f>'Отчет о движ. ден. ср.'!CI50</f>
        <v>0</v>
      </c>
      <c r="CM23" s="56">
        <f>'Отчет о движ. ден. ср.'!CJ50</f>
        <v>0</v>
      </c>
      <c r="CN23" s="56">
        <f>'Отчет о движ. ден. ср.'!CK50</f>
        <v>0</v>
      </c>
      <c r="CO23" s="56">
        <f>'Отчет о движ. ден. ср.'!CL50</f>
        <v>0</v>
      </c>
      <c r="CP23" s="56">
        <f>'Отчет о движ. ден. ср.'!CM50</f>
        <v>0</v>
      </c>
      <c r="CQ23" s="56">
        <f>'Отчет о движ. ден. ср.'!CN50</f>
        <v>0</v>
      </c>
      <c r="CR23" s="56">
        <f>'Отчет о движ. ден. ср.'!CO50</f>
        <v>0</v>
      </c>
      <c r="CS23" s="56">
        <f>'Отчет о движ. ден. ср.'!CP50</f>
        <v>0</v>
      </c>
      <c r="CT23" s="56">
        <f>'Отчет о движ. ден. ср.'!CQ50</f>
        <v>0</v>
      </c>
      <c r="CU23" s="56">
        <f>'Отчет о движ. ден. ср.'!CR50</f>
        <v>0</v>
      </c>
      <c r="CV23" s="56">
        <f>'Отчет о движ. ден. ср.'!CS50</f>
        <v>0</v>
      </c>
      <c r="CW23" s="56">
        <f>'Отчет о движ. ден. ср.'!CT50</f>
        <v>0</v>
      </c>
      <c r="CX23" s="56">
        <f>'Отчет о движ. ден. ср.'!CU50</f>
        <v>0</v>
      </c>
      <c r="CY23" s="56">
        <f>'Отчет о движ. ден. ср.'!CV50</f>
        <v>0</v>
      </c>
      <c r="CZ23" s="56">
        <f>'Отчет о движ. ден. ср.'!CW50</f>
        <v>0</v>
      </c>
      <c r="DA23" s="56">
        <f>'Отчет о движ. ден. ср.'!CX50</f>
        <v>0</v>
      </c>
      <c r="DB23" s="56">
        <f>'Отчет о движ. ден. ср.'!CY50</f>
        <v>0</v>
      </c>
      <c r="DC23" s="56">
        <f>'Отчет о движ. ден. ср.'!CZ50</f>
        <v>0</v>
      </c>
      <c r="DD23" s="56">
        <f>'Отчет о движ. ден. ср.'!DA50</f>
        <v>0</v>
      </c>
      <c r="DE23" s="56">
        <f>'Отчет о движ. ден. ср.'!DB50</f>
        <v>0</v>
      </c>
      <c r="DF23" s="56">
        <f>'Отчет о движ. ден. ср.'!DC50</f>
        <v>0</v>
      </c>
      <c r="DG23" s="56">
        <f>'Отчет о движ. ден. ср.'!DD50</f>
        <v>0</v>
      </c>
      <c r="DH23" s="56">
        <f>'Отчет о движ. ден. ср.'!DE50</f>
        <v>0</v>
      </c>
      <c r="DI23" s="56">
        <f>'Отчет о движ. ден. ср.'!DF50</f>
        <v>0</v>
      </c>
      <c r="DJ23" s="56">
        <f>'Отчет о движ. ден. ср.'!DG50</f>
        <v>0</v>
      </c>
      <c r="DK23" s="56">
        <f>'Отчет о движ. ден. ср.'!DH50</f>
        <v>0</v>
      </c>
      <c r="DL23" s="56">
        <f>'Отчет о движ. ден. ср.'!DI50</f>
        <v>0</v>
      </c>
      <c r="DM23" s="56">
        <f>'Отчет о движ. ден. ср.'!DJ50</f>
        <v>0</v>
      </c>
      <c r="DN23" s="56">
        <f>'Отчет о движ. ден. ср.'!DK50</f>
        <v>0</v>
      </c>
      <c r="DO23" s="56">
        <f>'Отчет о движ. ден. ср.'!DL50</f>
        <v>0</v>
      </c>
      <c r="DP23" s="56">
        <f>'Отчет о движ. ден. ср.'!DM50</f>
        <v>0</v>
      </c>
      <c r="DQ23" s="56">
        <f>'Отчет о движ. ден. ср.'!DN50</f>
        <v>0</v>
      </c>
      <c r="DR23" s="56">
        <f>'Отчет о движ. ден. ср.'!DO50</f>
        <v>0</v>
      </c>
      <c r="DS23" s="56">
        <f>'Отчет о движ. ден. ср.'!DP50</f>
        <v>0</v>
      </c>
      <c r="DT23" s="56">
        <f>'Отчет о движ. ден. ср.'!DQ50</f>
        <v>0</v>
      </c>
      <c r="DU23" s="56">
        <f>'Отчет о движ. ден. ср.'!DR50</f>
        <v>0</v>
      </c>
      <c r="DV23" s="56">
        <f>'Отчет о движ. ден. ср.'!DS50</f>
        <v>0</v>
      </c>
      <c r="DW23" s="56">
        <f>'Отчет о движ. ден. ср.'!DT50</f>
        <v>0</v>
      </c>
      <c r="DX23" s="56">
        <f>'Отчет о движ. ден. ср.'!DU50</f>
        <v>0</v>
      </c>
    </row>
    <row r="24" spans="2:129">
      <c r="B24" s="134"/>
      <c r="C24" s="413" t="s">
        <v>304</v>
      </c>
      <c r="D24" s="413"/>
      <c r="E24" s="413"/>
      <c r="F24" s="144" t="s">
        <v>35</v>
      </c>
      <c r="G24" s="45"/>
      <c r="H24" s="45"/>
      <c r="I24" s="56">
        <f>'Финансовый план по месяцам'!H5</f>
        <v>51632780200.9683</v>
      </c>
      <c r="J24" s="56">
        <f>'Финансовый план по месяцам'!I5</f>
        <v>53164066096.479599</v>
      </c>
      <c r="K24" s="56">
        <f>'Финансовый план по месяцам'!J5</f>
        <v>54736511160.932144</v>
      </c>
      <c r="L24" s="56">
        <f>'Финансовый план по месяцам'!K5</f>
        <v>56351284940.670074</v>
      </c>
      <c r="M24" s="56">
        <f>'Финансовый план по месяцам'!L5</f>
        <v>58009591293.494827</v>
      </c>
      <c r="N24" s="56">
        <f>'Финансовый план по месяцам'!M5</f>
        <v>59712669420.639961</v>
      </c>
      <c r="O24" s="56">
        <f>'Финансовый план по месяцам'!N5</f>
        <v>61461794930.331673</v>
      </c>
      <c r="P24" s="56">
        <f>'Финансовый план по месяцам'!O5</f>
        <v>63258280933.912811</v>
      </c>
      <c r="Q24" s="56">
        <f>'Финансовый план по месяцам'!P5</f>
        <v>65103479175.539948</v>
      </c>
      <c r="R24" s="56">
        <f>'Финансовый план по месяцам'!Q5</f>
        <v>66998781196.493057</v>
      </c>
      <c r="S24" s="56">
        <f>'Финансовый план по месяцам'!R5</f>
        <v>68945619535.171234</v>
      </c>
      <c r="T24" s="56">
        <f>'Финансовый план по месяцам'!S5</f>
        <v>70945468963.880875</v>
      </c>
      <c r="U24" s="56">
        <f>'Финансовый план по месяцам'!T5</f>
        <v>71861124808.985413</v>
      </c>
      <c r="V24" s="56">
        <f>'Финансовый план по месяцам'!U5</f>
        <v>73967805949.668121</v>
      </c>
      <c r="W24" s="56">
        <f>'Финансовый план по месяцам'!V5</f>
        <v>76132119968.24054</v>
      </c>
      <c r="X24" s="56">
        <f>'Финансовый план по месяцам'!W5</f>
        <v>78355722363.525955</v>
      </c>
      <c r="Y24" s="56">
        <f>'Финансовый план по месяцам'!X5</f>
        <v>80640317617.480515</v>
      </c>
      <c r="Z24" s="56">
        <f>'Финансовый план по месяцам'!Y5</f>
        <v>82987660677.397659</v>
      </c>
      <c r="AA24" s="56">
        <f>'Финансовый план по месяцам'!Z5</f>
        <v>85399558483.667786</v>
      </c>
      <c r="AB24" s="56">
        <f>'Финансовый план по месяцам'!AA5</f>
        <v>87877871544.508316</v>
      </c>
      <c r="AC24" s="56">
        <f>'Финансовый план по месяцам'!AB5</f>
        <v>90424515559.123459</v>
      </c>
      <c r="AD24" s="56">
        <f>'Финансовый план по месяцам'!AC5</f>
        <v>93041463090.798111</v>
      </c>
      <c r="AE24" s="56">
        <f>'Финансовый план по месяцам'!AD5</f>
        <v>95730745291.478516</v>
      </c>
      <c r="AF24" s="56">
        <f>'Финансовый план по месяцам'!AE5</f>
        <v>98494453679.439774</v>
      </c>
      <c r="AG24" s="56">
        <f>'Финансовый план по месяцам'!AF5</f>
        <v>101334731971.6907</v>
      </c>
      <c r="AH24" s="56">
        <f>'Финансовый план по месяцам'!AG5</f>
        <v>104253817972.81883</v>
      </c>
      <c r="AI24" s="56">
        <f>'Финансовый план по месяцам'!AH5</f>
        <v>107253985522.03055</v>
      </c>
      <c r="AJ24" s="56">
        <f>'Финансовый план по месяцам'!AI5</f>
        <v>110337586500.1974</v>
      </c>
      <c r="AK24" s="56">
        <f>'Финансовый план по месяцам'!AJ5</f>
        <v>113507042898.77515</v>
      </c>
      <c r="AL24" s="56">
        <f>'Финансовый план по месяцам'!AK5</f>
        <v>116764848952.52208</v>
      </c>
      <c r="AM24" s="56">
        <f>'Финансовый план по месяцам'!AL5</f>
        <v>120113573338.00188</v>
      </c>
      <c r="AN24" s="56">
        <f>'Финансовый план по месяцам'!AM5</f>
        <v>123555861439.91934</v>
      </c>
      <c r="AO24" s="56">
        <f>'Финансовый план по месяцам'!AN5</f>
        <v>127094437687.40192</v>
      </c>
      <c r="AP24" s="56">
        <f>'Финансовый план по месяцам'!AO5</f>
        <v>130732107962.40465</v>
      </c>
      <c r="AQ24" s="56">
        <f>'Финансовый план по месяцам'!AP5</f>
        <v>134471762082.48624</v>
      </c>
      <c r="AR24" s="56">
        <f>'Финансовый план по месяцам'!AQ5</f>
        <v>138316376360.27267</v>
      </c>
      <c r="AS24" s="56">
        <f>'Финансовый план по месяцам'!AR5</f>
        <v>142269006241.99921</v>
      </c>
      <c r="AT24" s="56">
        <f>'Финансовый план по месяцам'!AS5</f>
        <v>146332829027.59412</v>
      </c>
      <c r="AU24" s="56">
        <f>'Финансовый план по месяцам'!AT5</f>
        <v>150511086674.84772</v>
      </c>
      <c r="AV24" s="56">
        <f>'Финансовый план по месяцам'!AU5</f>
        <v>154807128690.28711</v>
      </c>
      <c r="AW24" s="56">
        <f>'Финансовый план по месяцам'!AV5</f>
        <v>159224405109.46161</v>
      </c>
      <c r="AX24" s="56">
        <f>'Финансовый план по месяцам'!AW5</f>
        <v>163766469569.42657</v>
      </c>
      <c r="AY24" s="56">
        <f>'Финансовый план по месяцам'!AX5</f>
        <v>168436982476.30289</v>
      </c>
      <c r="AZ24" s="56">
        <f>'Финансовый план по месяцам'!AY5</f>
        <v>173239714270.87753</v>
      </c>
      <c r="BA24" s="56">
        <f>'Финансовый план по месяцам'!AZ5</f>
        <v>178178548795.3053</v>
      </c>
      <c r="BB24" s="56">
        <f>'Финансовый план по месяцам'!BA5</f>
        <v>183257486764.06677</v>
      </c>
      <c r="BC24" s="56">
        <f>'Финансовый план по месяцам'!BB5</f>
        <v>188480649342.43738</v>
      </c>
      <c r="BD24" s="56">
        <f>'Финансовый план по месяцам'!BC5</f>
        <v>193852281835.82358</v>
      </c>
      <c r="BE24" s="56">
        <f>'Финансовый план по месяцам'!BD5</f>
        <v>199376747493.42834</v>
      </c>
      <c r="BF24" s="56">
        <f>'Финансовый план по месяцам'!BE5</f>
        <v>205058571429.81683</v>
      </c>
      <c r="BG24" s="56">
        <f>'Финансовый план по месяцам'!BF5</f>
        <v>210902384668.06436</v>
      </c>
      <c r="BH24" s="56">
        <f>'Финансовый план по месяцам'!BG5</f>
        <v>216912968308.28461</v>
      </c>
      <c r="BI24" s="56">
        <f>'Финансовый план по месяцам'!BH5</f>
        <v>223095247825.45749</v>
      </c>
      <c r="BJ24" s="56">
        <f>'Финансовый план по месяцам'!BI5</f>
        <v>229454297500.59381</v>
      </c>
      <c r="BK24" s="56">
        <f>'Финансовый план по месяцам'!BJ5</f>
        <v>235995344989.4079</v>
      </c>
      <c r="BL24" s="56">
        <f>'Финансовый план по месяцам'!BK5</f>
        <v>242723776032.79297</v>
      </c>
      <c r="BM24" s="56">
        <f>'Финансовый план по месяцам'!BL5</f>
        <v>249645139313.53568</v>
      </c>
      <c r="BN24" s="56">
        <f>'Финансовый план по месяцам'!BM5</f>
        <v>256765151463.8392</v>
      </c>
      <c r="BO24" s="56">
        <f>'Финансовый план по месяцам'!BN5</f>
        <v>264089702228.37363</v>
      </c>
      <c r="BP24" s="56">
        <f>'Финансовый план по месяцам'!BO5</f>
        <v>271624859787.71667</v>
      </c>
      <c r="BQ24" s="56">
        <f>'Финансовый план по месяцам'!BP5</f>
        <v>279376866247.20166</v>
      </c>
      <c r="BR24" s="56">
        <f>'Финансовый план по месяцам'!BQ5</f>
        <v>287352183296.34851</v>
      </c>
      <c r="BS24" s="56">
        <f>'Финансовый план по месяцам'!BR5</f>
        <v>295557438044.21387</v>
      </c>
      <c r="BT24" s="56">
        <f>'Финансовый план по месяцам'!BS5</f>
        <v>303999469036.16669</v>
      </c>
      <c r="BU24" s="56">
        <f>'Финансовый план по месяцам'!BT5</f>
        <v>312685322457.76721</v>
      </c>
      <c r="BV24" s="56">
        <f>'Финансовый план по месяцам'!BU5</f>
        <v>321622258531.60474</v>
      </c>
      <c r="BW24" s="56">
        <f>'Финансовый план по месяцам'!BV5</f>
        <v>330817758113.13684</v>
      </c>
      <c r="BX24" s="56">
        <f>'Финансовый план по месяцам'!BW5</f>
        <v>340279529491.75964</v>
      </c>
      <c r="BY24" s="56">
        <f>'Финансовый план по месяцам'!BX5</f>
        <v>350015515403.5351</v>
      </c>
      <c r="BZ24" s="56">
        <f>'Финансовый план по месяцам'!BY5</f>
        <v>360033900262.20551</v>
      </c>
      <c r="CA24" s="56">
        <f>'Финансовый план по месяцам'!BZ5</f>
        <v>370343117615.33142</v>
      </c>
      <c r="CB24" s="56">
        <f>'Финансовый план по месяцам'!CA5</f>
        <v>380951857832.60406</v>
      </c>
      <c r="CC24" s="56">
        <f>'Финансовый план по месяцам'!CB5</f>
        <v>391869066033.60901</v>
      </c>
      <c r="CD24" s="56">
        <f>'Финансовый план по месяцам'!CC5</f>
        <v>403103990262.53961</v>
      </c>
      <c r="CE24" s="56">
        <f>'Финансовый план по месяцам'!CD5</f>
        <v>414666129917.60376</v>
      </c>
      <c r="CF24" s="56">
        <f>'Финансовый план по месяцам'!CE5</f>
        <v>426565284443.10107</v>
      </c>
      <c r="CG24" s="56">
        <f>'Финансовый план по месяцам'!CF5</f>
        <v>438811552292.40887</v>
      </c>
      <c r="CH24" s="56">
        <f>'Финансовый план по месяцам'!CG5</f>
        <v>451415340170.36407</v>
      </c>
      <c r="CI24" s="56">
        <f>'Финансовый план по месяцам'!CH5</f>
        <v>464387372563.80487</v>
      </c>
      <c r="CJ24" s="56">
        <f>'Финансовый план по месяцам'!CI5</f>
        <v>477738701569.30414</v>
      </c>
      <c r="CK24" s="56">
        <f>'Финансовый план по месяцам'!CJ5</f>
        <v>491480717027.41742</v>
      </c>
      <c r="CL24" s="56">
        <f>'Финансовый план по месяцам'!CK5</f>
        <v>505625156973.05371</v>
      </c>
      <c r="CM24" s="56">
        <f>'Финансовый план по месяцам'!CL5</f>
        <v>520184118411.88959</v>
      </c>
      <c r="CN24" s="56">
        <f>'Финансовый план по месяцам'!CM5</f>
        <v>535170068433.04889</v>
      </c>
      <c r="CO24" s="56">
        <f>'Финансовый план по месяцам'!CN5</f>
        <v>550595845668.60315</v>
      </c>
      <c r="CP24" s="56">
        <f>'Финансовый план по месяцам'!CO5</f>
        <v>566474712110.76819</v>
      </c>
      <c r="CQ24" s="56">
        <f>'Финансовый план по месяцам'!CP5</f>
        <v>582820305298.02588</v>
      </c>
      <c r="CR24" s="56">
        <f>'Финансовый план по месяцам'!CQ5</f>
        <v>599646690881.74512</v>
      </c>
      <c r="CS24" s="56">
        <f>'Финансовый план по месяцам'!CR5</f>
        <v>616968365585.24866</v>
      </c>
      <c r="CT24" s="56">
        <f>'Финансовый план по месяцам'!CS5</f>
        <v>634800270567.6355</v>
      </c>
      <c r="CU24" s="56">
        <f>'Финансовый план по месяцам'!CT5</f>
        <v>653157805205.07605</v>
      </c>
      <c r="CV24" s="56">
        <f>'Финансовый план по месяцам'!CU5</f>
        <v>672056841302.67517</v>
      </c>
      <c r="CW24" s="56">
        <f>'Финансовый план по месяцам'!CV5</f>
        <v>691513737750.43286</v>
      </c>
      <c r="CX24" s="56">
        <f>'Финансовый план по месяцам'!CW5</f>
        <v>711545355637.23474</v>
      </c>
      <c r="CY24" s="56">
        <f>'Финансовый план по месяцам'!CX5</f>
        <v>732169073837.27026</v>
      </c>
      <c r="CZ24" s="56">
        <f>'Финансовый план по месяцам'!CY5</f>
        <v>753402805083.7041</v>
      </c>
      <c r="DA24" s="56">
        <f>'Финансовый план по месяцам'!CZ5</f>
        <v>775265002544.91248</v>
      </c>
      <c r="DB24" s="56">
        <f>'Финансовый план по месяцам'!DA5</f>
        <v>797774716919.06848</v>
      </c>
      <c r="DC24" s="56">
        <f>'Финансовый план по месяцам'!DB5</f>
        <v>820951554063.3595</v>
      </c>
      <c r="DD24" s="56">
        <f>'Финансовый план по месяцам'!DC5</f>
        <v>844815733174.63745</v>
      </c>
      <c r="DE24" s="56">
        <f>'Финансовый план по месяцам'!DD5</f>
        <v>869388095538.82471</v>
      </c>
      <c r="DF24" s="56">
        <f>'Финансовый план по месяцам'!DE5</f>
        <v>894690123866.95142</v>
      </c>
      <c r="DG24" s="56">
        <f>'Финансовый план по месяцам'!DF5</f>
        <v>920743962236.25574</v>
      </c>
      <c r="DH24" s="56">
        <f>'Финансовый план по месяцам'!DG5</f>
        <v>947572436655.37036</v>
      </c>
      <c r="DI24" s="56">
        <f>'Финансовый план по месяцам'!DH5</f>
        <v>975199076273.2052</v>
      </c>
      <c r="DJ24" s="56">
        <f>'Финансовый план по месяцам'!DI5</f>
        <v>1003648135251.762</v>
      </c>
      <c r="DK24" s="56">
        <f>'Финансовый план по месяцам'!DJ5</f>
        <v>1032944615323.7606</v>
      </c>
      <c r="DL24" s="56">
        <f>'Финансовый план по месяцам'!DK5</f>
        <v>1063114289056.5928</v>
      </c>
      <c r="DM24" s="56">
        <f>'Финансовый план по месяцам'!DL5</f>
        <v>1094183713844.8281</v>
      </c>
      <c r="DN24" s="56">
        <f>'Финансовый план по месяцам'!DM5</f>
        <v>1126180296654.1704</v>
      </c>
      <c r="DO24" s="56">
        <f>'Финансовый план по месяцам'!DN5</f>
        <v>1159132259540.5</v>
      </c>
      <c r="DP24" s="56">
        <f>'Финансовый план по месяцам'!DO5</f>
        <v>1193068705968.3813</v>
      </c>
      <c r="DQ24" s="56">
        <f>'Финансовый план по месяцам'!DP5</f>
        <v>1228019637954.1743</v>
      </c>
      <c r="DR24" s="56">
        <f>'Финансовый план по месяцам'!DQ5</f>
        <v>1264015984059.6934</v>
      </c>
      <c r="DS24" s="56">
        <f>'Финансовый план по месяцам'!DR5</f>
        <v>1301089628263.1714</v>
      </c>
      <c r="DT24" s="56">
        <f>'Финансовый план по месяцам'!DS5</f>
        <v>1339273439735.1187</v>
      </c>
      <c r="DU24" s="56">
        <f>'Финансовый план по месяцам'!DT5</f>
        <v>1378601303547.5615</v>
      </c>
      <c r="DV24" s="56">
        <f>'Финансовый план по месяцам'!DU5</f>
        <v>1419108152346.0171</v>
      </c>
      <c r="DW24" s="56">
        <f>'Финансовый план по месяцам'!DV5</f>
        <v>1460829999014.5051</v>
      </c>
      <c r="DX24" s="56">
        <f>'Финансовый план по месяцам'!DW5</f>
        <v>1503803970364.845</v>
      </c>
    </row>
    <row r="25" spans="2:129">
      <c r="B25" s="134"/>
      <c r="C25" s="413" t="s">
        <v>305</v>
      </c>
      <c r="D25" s="413"/>
      <c r="E25" s="413"/>
      <c r="F25" s="144" t="s">
        <v>35</v>
      </c>
      <c r="G25" s="45"/>
      <c r="H25" s="45"/>
      <c r="I25" s="56">
        <f>'Финансовый план по месяцам'!H16</f>
        <v>91278535241.475464</v>
      </c>
      <c r="J25" s="56">
        <f>'Финансовый план по месяцам'!I16</f>
        <v>93644521246.794586</v>
      </c>
      <c r="K25" s="56">
        <f>'Финансовый план по месяцам'!J16</f>
        <v>96074892476.972198</v>
      </c>
      <c r="L25" s="56">
        <f>'Финансовый план по месяцам'!K16</f>
        <v>98571476142.548843</v>
      </c>
      <c r="M25" s="56">
        <f>'Финансовый план по месяцам'!L16</f>
        <v>101136153066.28827</v>
      </c>
      <c r="N25" s="56">
        <f>'Финансовый план по месяцам'!M16</f>
        <v>103770859295.63654</v>
      </c>
      <c r="O25" s="56">
        <f>'Финансовый план по месяцам'!N16</f>
        <v>106477587764.53366</v>
      </c>
      <c r="P25" s="56">
        <f>'Финансовый план по месяцам'!O16</f>
        <v>109258390006.10591</v>
      </c>
      <c r="Q25" s="56">
        <f>'Финансовый план по месяцам'!P16</f>
        <v>112115377917.8158</v>
      </c>
      <c r="R25" s="56">
        <f>'Финансовый план по месяцам'!Q16</f>
        <v>115050725580.69447</v>
      </c>
      <c r="S25" s="56">
        <f>'Финансовый план по месяцам'!R16</f>
        <v>118066671134.33347</v>
      </c>
      <c r="T25" s="56">
        <f>'Финансовый план по месяцам'!S16</f>
        <v>121165518709.36453</v>
      </c>
      <c r="U25" s="56">
        <f>'Финансовый план по месяцам'!T16</f>
        <v>124349640419.20969</v>
      </c>
      <c r="V25" s="56">
        <f>'Финансовый план по месяцам'!U16</f>
        <v>127621478412.94052</v>
      </c>
      <c r="W25" s="56">
        <f>'Финансовый план по месяцам'!V16</f>
        <v>130983546991.14232</v>
      </c>
      <c r="X25" s="56">
        <f>'Финансовый план по месяцам'!W16</f>
        <v>134438434786.73795</v>
      </c>
      <c r="Y25" s="56">
        <f>'Финансовый план по месяцам'!X16</f>
        <v>137988807012.78815</v>
      </c>
      <c r="Z25" s="56">
        <f>'Финансовый план по месяцам'!Y16</f>
        <v>141637407779.34702</v>
      </c>
      <c r="AA25" s="56">
        <f>'Финансовый план по месяцам'!Z16</f>
        <v>145387062481.51724</v>
      </c>
      <c r="AB25" s="56">
        <f>'Финансовый план по месяцам'!AA16</f>
        <v>149240680260.91635</v>
      </c>
      <c r="AC25" s="56">
        <f>'Финансовый план по месяцам'!AB16</f>
        <v>153201256542.83444</v>
      </c>
      <c r="AD25" s="56">
        <f>'Финансовый план по месяцам'!AC16</f>
        <v>157271875651.43488</v>
      </c>
      <c r="AE25" s="56">
        <f>'Финансовый план по месяцам'!AD16</f>
        <v>161455713505.42404</v>
      </c>
      <c r="AF25" s="56">
        <f>'Финансовый план по месяцам'!AE16</f>
        <v>165756040396.6908</v>
      </c>
      <c r="AG25" s="56">
        <f>'Финансовый план по месяцам'!AF16</f>
        <v>170176223854.4953</v>
      </c>
      <c r="AH25" s="56">
        <f>'Финансовый план по месяцам'!AG16</f>
        <v>174719731597.86774</v>
      </c>
      <c r="AI25" s="56">
        <f>'Финансовый план по месяцам'!AH16</f>
        <v>179390134578.96024</v>
      </c>
      <c r="AJ25" s="56">
        <f>'Финансовый план по месяцам'!AI16</f>
        <v>184191110120.18152</v>
      </c>
      <c r="AK25" s="56">
        <f>'Финансовый план по месяцам'!AJ16</f>
        <v>189126445148.03214</v>
      </c>
      <c r="AL25" s="56">
        <f>'Финансовый план по месяцам'!AK16</f>
        <v>194200039526.65012</v>
      </c>
      <c r="AM25" s="56">
        <f>'Финансовый план по месяцам'!AL16</f>
        <v>199415909494.17014</v>
      </c>
      <c r="AN25" s="56">
        <f>'Финансовый план по месяцам'!AM16</f>
        <v>204778191205.0972</v>
      </c>
      <c r="AO25" s="56">
        <f>'Финансовый план по месяцам'!AN16</f>
        <v>210291144381.9964</v>
      </c>
      <c r="AP25" s="56">
        <f>'Финансовый план по месяцам'!AO16</f>
        <v>215959156079.90256</v>
      </c>
      <c r="AQ25" s="56">
        <f>'Финансовый план по месяцам'!AP16</f>
        <v>221786744566.96155</v>
      </c>
      <c r="AR25" s="56">
        <f>'Финансовый план по месяцам'!AQ16</f>
        <v>227778563324.92413</v>
      </c>
      <c r="AS25" s="56">
        <f>'Финансовый план по месяцам'!AR16</f>
        <v>233939405173.22748</v>
      </c>
      <c r="AT25" s="56">
        <f>'Финансовый план по месяцам'!AS16</f>
        <v>240274206520.51562</v>
      </c>
      <c r="AU25" s="56">
        <f>'Финансовый план по месяцам'!AT16</f>
        <v>246788051747.57178</v>
      </c>
      <c r="AV25" s="56">
        <f>'Финансовый план по месяцам'!AU16</f>
        <v>253486177725.75928</v>
      </c>
      <c r="AW25" s="56">
        <f>'Финансовый план по месяцам'!AV16</f>
        <v>260373978475.19733</v>
      </c>
      <c r="AX25" s="56">
        <f>'Финансовый план по месяцам'!AW16</f>
        <v>267457009967.02826</v>
      </c>
      <c r="AY25" s="56">
        <f>'Финансовый план по месяцам'!AX16</f>
        <v>274740995074.27289</v>
      </c>
      <c r="AZ25" s="56">
        <f>'Финансовый план по месяцам'!AY16</f>
        <v>282231828675.90784</v>
      </c>
      <c r="BA25" s="56">
        <f>'Финансовый план по месяцам'!AZ16</f>
        <v>289935582918.94702</v>
      </c>
      <c r="BB25" s="56">
        <f>'Финансовый план по месяцам'!BA16</f>
        <v>297858512643.45813</v>
      </c>
      <c r="BC25" s="56">
        <f>'Финансовый план по месяцам'!BB16</f>
        <v>306007060975.59979</v>
      </c>
      <c r="BD25" s="56">
        <f>'Финансовый план по месяцам'!BC16</f>
        <v>314387865093.92462</v>
      </c>
      <c r="BE25" s="56">
        <f>'Финансовый план по месяцам'!BD16</f>
        <v>323007762174.35895</v>
      </c>
      <c r="BF25" s="56">
        <f>'Финансовый план по месяцам'!BE16</f>
        <v>331873795519.43768</v>
      </c>
      <c r="BG25" s="56">
        <f>'Финансовый план по месяцам'!BF16</f>
        <v>340993220877.55115</v>
      </c>
      <c r="BH25" s="56">
        <f>'Финансовый план по месяцам'!BG16</f>
        <v>350373512958.1366</v>
      </c>
      <c r="BI25" s="56">
        <f>'Финансовый план по месяцам'!BH16</f>
        <v>360022372148.94019</v>
      </c>
      <c r="BJ25" s="56">
        <f>'Финансовый план по месяцам'!BI16</f>
        <v>369947731441.65918</v>
      </c>
      <c r="BK25" s="56">
        <f>'Финансовый план по месяцам'!BJ16</f>
        <v>380157763572.48083</v>
      </c>
      <c r="BL25" s="56">
        <f>'Финансовый план по месяцам'!BK16</f>
        <v>390660888384.23169</v>
      </c>
      <c r="BM25" s="56">
        <f>'Финансовый план по месяцам'!BL16</f>
        <v>401465780417.0675</v>
      </c>
      <c r="BN25" s="56">
        <f>'Финансовый план по месяцам'!BM16</f>
        <v>412581376734.84717</v>
      </c>
      <c r="BO25" s="56">
        <f>'Финансовый план по месяцам'!BN16</f>
        <v>424016884994.56213</v>
      </c>
      <c r="BP25" s="56">
        <f>'Финансовый план по месяцам'!BO16</f>
        <v>435781791766.42285</v>
      </c>
      <c r="BQ25" s="56">
        <f>'Финансовый план по месяцам'!BP16</f>
        <v>447885871112.44031</v>
      </c>
      <c r="BR25" s="56">
        <f>'Финансовый план по месяцам'!BQ16</f>
        <v>460339193431.59229</v>
      </c>
      <c r="BS25" s="56">
        <f>'Финансовый план по месяцам'!BR16</f>
        <v>473152134579.91248</v>
      </c>
      <c r="BT25" s="56">
        <f>'Финансовый план по месяцам'!BS16</f>
        <v>486335385274.10681</v>
      </c>
      <c r="BU25" s="56">
        <f>'Финансовый план по месяцам'!BT16</f>
        <v>499899960787.57031</v>
      </c>
      <c r="BV25" s="56">
        <f>'Финансовый план по месяцам'!BU16</f>
        <v>513857210947.95453</v>
      </c>
      <c r="BW25" s="56">
        <f>'Финансовый план по месяцам'!BV16</f>
        <v>528218830445.72852</v>
      </c>
      <c r="BX25" s="56">
        <f>'Финансовый план по месяцам'!BW16</f>
        <v>542996869463.46735</v>
      </c>
      <c r="BY25" s="56">
        <f>'Финансовый план по месяцам'!BX16</f>
        <v>558203744635.91125</v>
      </c>
      <c r="BZ25" s="56">
        <f>'Финансовый план по месяцам'!BY16</f>
        <v>573852250351.15564</v>
      </c>
      <c r="CA25" s="56">
        <f>'Финансовый план по месяцам'!BZ16</f>
        <v>589955570403.65381</v>
      </c>
      <c r="CB25" s="56">
        <f>'Финансовый план по месяцам'!CA16</f>
        <v>606527290010.0531</v>
      </c>
      <c r="CC25" s="56">
        <f>'Финансовый план по месяцам'!CB16</f>
        <v>623581408199.2334</v>
      </c>
      <c r="CD25" s="56">
        <f>'Финансовый план по месяцам'!CC16</f>
        <v>641132350588.26782</v>
      </c>
      <c r="CE25" s="56">
        <f>'Финансовый план по месяцам'!CD16</f>
        <v>659194982556.40344</v>
      </c>
      <c r="CF25" s="56">
        <f>'Финансовый план по месяцам'!CE16</f>
        <v>677784622829.53198</v>
      </c>
      <c r="CG25" s="56">
        <f>'Финансовый план по месяцам'!CF16</f>
        <v>696917057488.01843</v>
      </c>
      <c r="CH25" s="56">
        <f>'Финансовый план по месяцам'!CG16</f>
        <v>716608554411.15637</v>
      </c>
      <c r="CI25" s="56">
        <f>'Финансовый план по месяцам'!CH16</f>
        <v>736875878171.94031</v>
      </c>
      <c r="CJ25" s="56">
        <f>'Финансовый план по месяцам'!CI16</f>
        <v>757736305396.271</v>
      </c>
      <c r="CK25" s="56">
        <f>'Финансовый план по месяцам'!CJ16</f>
        <v>779207640601.16162</v>
      </c>
      <c r="CL25" s="56">
        <f>'Финансовый план по месяцам'!CK16</f>
        <v>801308232526.96008</v>
      </c>
      <c r="CM25" s="56">
        <f>'Финансовый план по месяцам'!CL16</f>
        <v>824056990979.08838</v>
      </c>
      <c r="CN25" s="56">
        <f>'Финансовый план по месяцам'!CM16</f>
        <v>847473404195.27466</v>
      </c>
      <c r="CO25" s="56">
        <f>'Финансовый план по месяцам'!CN16</f>
        <v>871577556754.76978</v>
      </c>
      <c r="CP25" s="56">
        <f>'Финансовый план по месяцам'!CO16</f>
        <v>896390148046.54517</v>
      </c>
      <c r="CQ25" s="56">
        <f>'Финансовый план по месяцам'!CP16</f>
        <v>921932511314.0177</v>
      </c>
      <c r="CR25" s="56">
        <f>'Финансовый план по месяцам'!CQ16</f>
        <v>948226633294.38904</v>
      </c>
      <c r="CS25" s="56">
        <f>'Финансовый план по месяцам'!CR16</f>
        <v>975295174471.26428</v>
      </c>
      <c r="CT25" s="56">
        <f>'Финансовый план по месяцам'!CS16</f>
        <v>1003161489959.7925</v>
      </c>
      <c r="CU25" s="56">
        <f>'Финансовый план по месяцам'!CT16</f>
        <v>1031849651044.1936</v>
      </c>
      <c r="CV25" s="56">
        <f>'Финансовый план по месяцам'!CU16</f>
        <v>1061384467388.1416</v>
      </c>
      <c r="CW25" s="56">
        <f>'Финансовый план по месяцам'!CV16</f>
        <v>1091791509939.1392</v>
      </c>
      <c r="CX25" s="56">
        <f>'Финансовый план по месяцам'!CW16</f>
        <v>1123097134548.6646</v>
      </c>
      <c r="CY25" s="56">
        <f>'Финансовый план по месяцам'!CX16</f>
        <v>1155328506330.5784</v>
      </c>
      <c r="CZ25" s="56">
        <f>'Финансовый план по месяцам'!CY16</f>
        <v>1188513624780.9651</v>
      </c>
      <c r="DA25" s="56">
        <f>'Финансовый план по месяцам'!CZ16</f>
        <v>1222681349683.333</v>
      </c>
      <c r="DB25" s="56">
        <f>'Финансовый план по месяцам'!DA16</f>
        <v>1257861427823.8369</v>
      </c>
      <c r="DC25" s="56">
        <f>'Финансовый план по месяцам'!DB16</f>
        <v>1294084520541.9709</v>
      </c>
      <c r="DD25" s="56">
        <f>'Финансовый план по месяцам'!DC16</f>
        <v>1331382232142.9805</v>
      </c>
      <c r="DE25" s="56">
        <f>'Финансовый план по месяцам'!DD16</f>
        <v>1369787139199.0657</v>
      </c>
      <c r="DF25" s="56">
        <f>'Финансовый план по месяцам'!DE16</f>
        <v>1409332820767.3103</v>
      </c>
      <c r="DG25" s="56">
        <f>'Финансовый план по месяцам'!DF16</f>
        <v>1450053889553.135</v>
      </c>
      <c r="DH25" s="56">
        <f>'Финансовый план по месяцам'!DG16</f>
        <v>1491986024049.002</v>
      </c>
      <c r="DI25" s="56">
        <f>'Финансовый план по месяцам'!DH16</f>
        <v>1535166001679.0156</v>
      </c>
      <c r="DJ25" s="56">
        <f>'Финансовый план по месяцам'!DI16</f>
        <v>1579631732981.0408</v>
      </c>
      <c r="DK25" s="56">
        <f>'Финансовый план по месяцам'!DJ16</f>
        <v>1625422296858.9597</v>
      </c>
      <c r="DL25" s="56">
        <f>'Финансовый план по месяцам'!DK16</f>
        <v>1672577976938.6987</v>
      </c>
      <c r="DM25" s="56">
        <f>'Финансовый план по месяцам'!DL16</f>
        <v>1721140299062.7432</v>
      </c>
      <c r="DN25" s="56">
        <f>'Финансовый план по месяцам'!DM16</f>
        <v>1771152069958.9316</v>
      </c>
      <c r="DO25" s="56">
        <f>'Финансовый план по месяцам'!DN16</f>
        <v>1822657417120.4541</v>
      </c>
      <c r="DP25" s="56">
        <f>'Финансовый план по месяцам'!DO16</f>
        <v>1875701829935.1536</v>
      </c>
      <c r="DQ25" s="56">
        <f>'Финансовый план по месяцам'!DP16</f>
        <v>1930332202103.417</v>
      </c>
      <c r="DR25" s="56">
        <f>'Финансовый план по месяцам'!DQ16</f>
        <v>1986596875385.1885</v>
      </c>
      <c r="DS25" s="56">
        <f>'Финансовый план по месяцам'!DR16</f>
        <v>2044545684717.9182</v>
      </c>
      <c r="DT25" s="56">
        <f>'Финансовый план по месяцам'!DS16</f>
        <v>2104230004748.5667</v>
      </c>
      <c r="DU25" s="56">
        <f>'Финансовый план по месяцам'!DT16</f>
        <v>2165702797824.1626</v>
      </c>
      <c r="DV25" s="56">
        <f>'Финансовый план по месяцам'!DU16</f>
        <v>2229018663486.7983</v>
      </c>
      <c r="DW25" s="56">
        <f>'Финансовый план по месяцам'!DV16</f>
        <v>2294233889520.4053</v>
      </c>
      <c r="DX25" s="56">
        <f>'Финансовый план по месяцам'!DW16</f>
        <v>2361406504598.1382</v>
      </c>
    </row>
    <row r="26" spans="2:129">
      <c r="B26" s="134"/>
      <c r="C26" s="413" t="s">
        <v>192</v>
      </c>
      <c r="D26" s="413"/>
      <c r="E26" s="413"/>
      <c r="F26" s="144" t="s">
        <v>35</v>
      </c>
      <c r="G26" s="45"/>
      <c r="H26" s="45"/>
      <c r="I26" s="56">
        <f>'Финасирование, до'!H45</f>
        <v>0</v>
      </c>
      <c r="J26" s="56">
        <f>'Финасирование, до'!I45</f>
        <v>0</v>
      </c>
      <c r="K26" s="56">
        <f>'Финасирование, до'!J45</f>
        <v>0</v>
      </c>
      <c r="L26" s="56">
        <f>'Финасирование, до'!K45</f>
        <v>0</v>
      </c>
      <c r="M26" s="56">
        <f>'Финасирование, до'!L45</f>
        <v>0</v>
      </c>
      <c r="N26" s="56">
        <f>'Финасирование, до'!M45</f>
        <v>0</v>
      </c>
      <c r="O26" s="56">
        <f>'Финасирование, до'!N45</f>
        <v>0</v>
      </c>
      <c r="P26" s="56">
        <f>'Финасирование, до'!O45</f>
        <v>0</v>
      </c>
      <c r="Q26" s="56">
        <f>'Финасирование, до'!P45</f>
        <v>0</v>
      </c>
      <c r="R26" s="56">
        <f>'Финасирование, до'!Q45</f>
        <v>0</v>
      </c>
      <c r="S26" s="56">
        <f>'Финасирование, до'!R45</f>
        <v>0</v>
      </c>
      <c r="T26" s="56">
        <f>'Финасирование, до'!S45</f>
        <v>0</v>
      </c>
      <c r="U26" s="56">
        <f>'Финасирование, до'!T45</f>
        <v>0</v>
      </c>
      <c r="V26" s="56">
        <f>'Финасирование, до'!U45</f>
        <v>0</v>
      </c>
      <c r="W26" s="56">
        <f>'Финасирование, до'!V45</f>
        <v>0</v>
      </c>
      <c r="X26" s="56">
        <f>'Финасирование, до'!W45</f>
        <v>0</v>
      </c>
      <c r="Y26" s="56">
        <f>'Финасирование, до'!X45</f>
        <v>0</v>
      </c>
      <c r="Z26" s="56">
        <f>'Финасирование, до'!Y45</f>
        <v>0</v>
      </c>
      <c r="AA26" s="56">
        <f>'Финасирование, до'!Z45</f>
        <v>0</v>
      </c>
      <c r="AB26" s="56">
        <f>'Финасирование, до'!AA45</f>
        <v>0</v>
      </c>
      <c r="AC26" s="56">
        <f>'Финасирование, до'!AB45</f>
        <v>0</v>
      </c>
      <c r="AD26" s="56">
        <f>'Финасирование, до'!AC45</f>
        <v>0</v>
      </c>
      <c r="AE26" s="56">
        <f>'Финасирование, до'!AD45</f>
        <v>0</v>
      </c>
      <c r="AF26" s="56">
        <f>'Финасирование, до'!AE45</f>
        <v>199829185651.13049</v>
      </c>
      <c r="AG26" s="56">
        <f>'Финасирование, до'!AF45</f>
        <v>205588549944.50952</v>
      </c>
      <c r="AH26" s="56">
        <f>'Финасирование, до'!AG45</f>
        <v>211507803494.84937</v>
      </c>
      <c r="AI26" s="56">
        <f>'Финасирование, до'!AH45</f>
        <v>217591572022.22797</v>
      </c>
      <c r="AJ26" s="56">
        <f>'Финасирование, до'!AI45</f>
        <v>223844629398.97256</v>
      </c>
      <c r="AK26" s="56">
        <f>'Финасирование, до'!AJ45</f>
        <v>230271891851.29721</v>
      </c>
      <c r="AL26" s="56">
        <f>'Финасирование, до'!AK45</f>
        <v>236878422290.52393</v>
      </c>
      <c r="AM26" s="56">
        <f>'Финасирование, до'!AL45</f>
        <v>243669434777.92123</v>
      </c>
      <c r="AN26" s="56">
        <f>'Финасирование, до'!AM45</f>
        <v>250650299127.32129</v>
      </c>
      <c r="AO26" s="56">
        <f>'Финасирование, до'!AN45</f>
        <v>257826545649.80658</v>
      </c>
      <c r="AP26" s="56">
        <f>'Финасирование, до'!AO45</f>
        <v>265203870044.89087</v>
      </c>
      <c r="AQ26" s="56">
        <f>'Финасирование, до'!AP45</f>
        <v>272788138442.75891</v>
      </c>
      <c r="AR26" s="56">
        <f>'Финасирование, до'!AQ45</f>
        <v>280585382602.27185</v>
      </c>
      <c r="AS26" s="56">
        <f>'Финасирование, до'!AR45</f>
        <v>0</v>
      </c>
      <c r="AT26" s="56">
        <f>'Финасирование, до'!AS45</f>
        <v>0</v>
      </c>
      <c r="AU26" s="56">
        <f>'Финасирование, до'!AT45</f>
        <v>0</v>
      </c>
      <c r="AV26" s="56">
        <f>'Финасирование, до'!AU45</f>
        <v>0</v>
      </c>
      <c r="AW26" s="56">
        <f>'Финасирование, до'!AV45</f>
        <v>0</v>
      </c>
      <c r="AX26" s="56">
        <f>'Финасирование, до'!AW45</f>
        <v>0</v>
      </c>
      <c r="AY26" s="56">
        <f>'Финасирование, до'!AX45</f>
        <v>0</v>
      </c>
      <c r="AZ26" s="56">
        <f>'Финасирование, до'!AY45</f>
        <v>0</v>
      </c>
      <c r="BA26" s="56">
        <f>'Финасирование, до'!AZ45</f>
        <v>0</v>
      </c>
      <c r="BB26" s="56">
        <f>'Финасирование, до'!BA45</f>
        <v>0</v>
      </c>
      <c r="BC26" s="56">
        <f>'Финасирование, до'!BB45</f>
        <v>0</v>
      </c>
      <c r="BD26" s="56">
        <f>'Финасирование, до'!BC45</f>
        <v>0</v>
      </c>
      <c r="BE26" s="56">
        <f>'Финасирование, до'!BD45</f>
        <v>0</v>
      </c>
      <c r="BF26" s="56">
        <f>'Финасирование, до'!BE45</f>
        <v>0</v>
      </c>
      <c r="BG26" s="56">
        <f>'Финасирование, до'!BF45</f>
        <v>0</v>
      </c>
      <c r="BH26" s="56">
        <f>'Финасирование, до'!BG45</f>
        <v>0</v>
      </c>
      <c r="BI26" s="56">
        <f>'Финасирование, до'!BH45</f>
        <v>0</v>
      </c>
      <c r="BJ26" s="56">
        <f>'Финасирование, до'!BI45</f>
        <v>0</v>
      </c>
      <c r="BK26" s="56">
        <f>'Финасирование, до'!BJ45</f>
        <v>0</v>
      </c>
      <c r="BL26" s="56">
        <f>'Финасирование, до'!BK45</f>
        <v>0</v>
      </c>
      <c r="BM26" s="56">
        <f>'Финасирование, до'!BL45</f>
        <v>0</v>
      </c>
      <c r="BN26" s="56">
        <f>'Финасирование, до'!BM45</f>
        <v>0</v>
      </c>
      <c r="BO26" s="56">
        <f>'Финасирование, до'!BN45</f>
        <v>0</v>
      </c>
      <c r="BP26" s="56">
        <f>'Финасирование, до'!BO45</f>
        <v>551001726034.91833</v>
      </c>
      <c r="BQ26" s="56">
        <f>'Финасирование, до'!BP45</f>
        <v>566729049543.55017</v>
      </c>
      <c r="BR26" s="56">
        <f>'Финасирование, до'!BQ45</f>
        <v>582909621340.56238</v>
      </c>
      <c r="BS26" s="56">
        <f>'Финасирование, до'!BR45</f>
        <v>599556907080.38062</v>
      </c>
      <c r="BT26" s="56">
        <f>'Финасирование, до'!BS45</f>
        <v>616684791493.93384</v>
      </c>
      <c r="BU26" s="56">
        <f>'Финасирование, до'!BT45</f>
        <v>634307580989.37195</v>
      </c>
      <c r="BV26" s="56">
        <f>'Финасирование, до'!BU45</f>
        <v>652440016644.74158</v>
      </c>
      <c r="BW26" s="56">
        <f>'Финасирование, до'!BV45</f>
        <v>671097287604.89648</v>
      </c>
      <c r="BX26" s="56">
        <f>'Финасирование, до'!BW45</f>
        <v>690295044895.29468</v>
      </c>
      <c r="BY26" s="56">
        <f>'Финасирование, до'!BX45</f>
        <v>710049415665.7406</v>
      </c>
      <c r="BZ26" s="56">
        <f>'Финасирование, до'!BY45</f>
        <v>730377017877.53699</v>
      </c>
      <c r="CA26" s="56">
        <f>'Финасирование, до'!BZ45</f>
        <v>751294975447.93555</v>
      </c>
      <c r="CB26" s="56">
        <f>'Финасирование, до'!CA45</f>
        <v>772820923866.21313</v>
      </c>
      <c r="CC26" s="56">
        <f>'Финасирование, до'!CB45</f>
        <v>0</v>
      </c>
      <c r="CD26" s="56">
        <f>'Финасирование, до'!CC45</f>
        <v>0</v>
      </c>
      <c r="CE26" s="56">
        <f>'Финасирование, до'!CD45</f>
        <v>0</v>
      </c>
      <c r="CF26" s="56">
        <f>'Финасирование, до'!CE45</f>
        <v>0</v>
      </c>
      <c r="CG26" s="56">
        <f>'Финасирование, до'!CF45</f>
        <v>0</v>
      </c>
      <c r="CH26" s="56">
        <f>'Финасирование, до'!CG45</f>
        <v>0</v>
      </c>
      <c r="CI26" s="56">
        <f>'Финасирование, до'!CH45</f>
        <v>0</v>
      </c>
      <c r="CJ26" s="56">
        <f>'Финасирование, до'!CI45</f>
        <v>0</v>
      </c>
      <c r="CK26" s="56">
        <f>'Финасирование, до'!CJ45</f>
        <v>0</v>
      </c>
      <c r="CL26" s="56">
        <f>'Финасирование, до'!CK45</f>
        <v>0</v>
      </c>
      <c r="CM26" s="56">
        <f>'Финасирование, до'!CL45</f>
        <v>0</v>
      </c>
      <c r="CN26" s="56">
        <f>'Финасирование, до'!CM45</f>
        <v>0</v>
      </c>
      <c r="CO26" s="56">
        <f>'Финасирование, до'!CN45</f>
        <v>0</v>
      </c>
      <c r="CP26" s="56">
        <f>'Финасирование, до'!CO45</f>
        <v>0</v>
      </c>
      <c r="CQ26" s="56">
        <f>'Финасирование, до'!CP45</f>
        <v>0</v>
      </c>
      <c r="CR26" s="56">
        <f>'Финасирование, до'!CQ45</f>
        <v>0</v>
      </c>
      <c r="CS26" s="56">
        <f>'Финасирование, до'!CR45</f>
        <v>0</v>
      </c>
      <c r="CT26" s="56">
        <f>'Финасирование, до'!CS45</f>
        <v>0</v>
      </c>
      <c r="CU26" s="56">
        <f>'Финасирование, до'!CT45</f>
        <v>0</v>
      </c>
      <c r="CV26" s="56">
        <f>'Финасирование, до'!CU45</f>
        <v>0</v>
      </c>
      <c r="CW26" s="56">
        <f>'Финасирование, до'!CV45</f>
        <v>0</v>
      </c>
      <c r="CX26" s="56">
        <f>'Финасирование, до'!CW45</f>
        <v>0</v>
      </c>
      <c r="CY26" s="56">
        <f>'Финасирование, до'!CX45</f>
        <v>0</v>
      </c>
      <c r="CZ26" s="56">
        <f>'Финасирование, до'!CY45</f>
        <v>1528667807628.6167</v>
      </c>
      <c r="DA26" s="56">
        <f>'Финасирование, до'!CZ45</f>
        <v>1573039719463.981</v>
      </c>
      <c r="DB26" s="56">
        <f>'Финасирование, до'!DA45</f>
        <v>1618726270982.4277</v>
      </c>
      <c r="DC26" s="56">
        <f>'Финасирование, до'!DB45</f>
        <v>1665767287237.9968</v>
      </c>
      <c r="DD26" s="56">
        <f>'Финасирование, до'!DC45</f>
        <v>1714203828713.4624</v>
      </c>
      <c r="DE26" s="56">
        <f>'Финасирование, до'!DD45</f>
        <v>1764078219405.7764</v>
      </c>
      <c r="DF26" s="56">
        <f>'Финасирование, до'!DE45</f>
        <v>1815434086103.207</v>
      </c>
      <c r="DG26" s="56">
        <f>'Финасирование, до'!DF45</f>
        <v>1868316398891.626</v>
      </c>
      <c r="DH26" s="56">
        <f>'Финасирование, до'!DG45</f>
        <v>1922771512928.5757</v>
      </c>
      <c r="DI26" s="56">
        <f>'Финасирование, до'!DH45</f>
        <v>1978847211524.9673</v>
      </c>
      <c r="DJ26" s="56">
        <f>'Финасирование, до'!DI45</f>
        <v>2036592750575.5225</v>
      </c>
      <c r="DK26" s="56">
        <f>'Финасирование, до'!DJ45</f>
        <v>2096058904380.3535</v>
      </c>
      <c r="DL26" s="56">
        <f>'Финасирование, до'!DK45</f>
        <v>2157298002901.4209</v>
      </c>
      <c r="DM26" s="56">
        <f>'Финасирование, до'!DL45</f>
        <v>0</v>
      </c>
      <c r="DN26" s="56">
        <f>'Финасирование, до'!DM45</f>
        <v>0</v>
      </c>
      <c r="DO26" s="56">
        <f>'Финасирование, до'!DN45</f>
        <v>0</v>
      </c>
      <c r="DP26" s="56">
        <f>'Финасирование, до'!DO45</f>
        <v>0</v>
      </c>
      <c r="DQ26" s="56">
        <f>'Финасирование, до'!DP45</f>
        <v>0</v>
      </c>
      <c r="DR26" s="56">
        <f>'Финасирование, до'!DQ45</f>
        <v>0</v>
      </c>
      <c r="DS26" s="56">
        <f>'Финасирование, до'!DR45</f>
        <v>0</v>
      </c>
      <c r="DT26" s="56">
        <f>'Финасирование, до'!DS45</f>
        <v>0</v>
      </c>
      <c r="DU26" s="56">
        <f>'Финасирование, до'!DT45</f>
        <v>0</v>
      </c>
      <c r="DV26" s="56">
        <f>'Финасирование, до'!DU45</f>
        <v>0</v>
      </c>
      <c r="DW26" s="56">
        <f>'Финасирование, до'!DV45</f>
        <v>0</v>
      </c>
      <c r="DX26" s="56">
        <f>'Финасирование, до'!DW45</f>
        <v>0</v>
      </c>
    </row>
    <row r="27" spans="2:129">
      <c r="B27" s="134"/>
      <c r="C27" s="414" t="s">
        <v>295</v>
      </c>
      <c r="D27" s="414"/>
      <c r="E27" s="414"/>
      <c r="F27" s="144" t="s">
        <v>35</v>
      </c>
      <c r="G27" s="45"/>
      <c r="H27" s="45"/>
      <c r="I27" s="56">
        <f>I23+I24</f>
        <v>51632780200.9683</v>
      </c>
      <c r="J27" s="56">
        <f t="shared" ref="J27:AQ27" si="249">J23+J24</f>
        <v>53164066096.479599</v>
      </c>
      <c r="K27" s="56">
        <f t="shared" si="249"/>
        <v>54736511160.932144</v>
      </c>
      <c r="L27" s="56">
        <f t="shared" si="249"/>
        <v>56351284940.670074</v>
      </c>
      <c r="M27" s="56">
        <f t="shared" si="249"/>
        <v>58009591293.494827</v>
      </c>
      <c r="N27" s="56">
        <f t="shared" si="249"/>
        <v>59712669420.639961</v>
      </c>
      <c r="O27" s="56">
        <f t="shared" si="249"/>
        <v>61461794930.331673</v>
      </c>
      <c r="P27" s="56">
        <f t="shared" si="249"/>
        <v>63258280933.912811</v>
      </c>
      <c r="Q27" s="56">
        <f t="shared" si="249"/>
        <v>65103479175.539948</v>
      </c>
      <c r="R27" s="56">
        <f t="shared" si="249"/>
        <v>66998781196.493057</v>
      </c>
      <c r="S27" s="56">
        <f t="shared" si="249"/>
        <v>68945619535.171234</v>
      </c>
      <c r="T27" s="56">
        <f t="shared" si="249"/>
        <v>70945468963.880875</v>
      </c>
      <c r="U27" s="56">
        <f t="shared" si="249"/>
        <v>71861124808.985413</v>
      </c>
      <c r="V27" s="56">
        <f t="shared" si="249"/>
        <v>73967805949.668121</v>
      </c>
      <c r="W27" s="56">
        <f t="shared" si="249"/>
        <v>76132119968.24054</v>
      </c>
      <c r="X27" s="56">
        <f t="shared" si="249"/>
        <v>78355722363.525955</v>
      </c>
      <c r="Y27" s="56">
        <f t="shared" si="249"/>
        <v>80640317617.480515</v>
      </c>
      <c r="Z27" s="56">
        <f t="shared" si="249"/>
        <v>82987660677.397659</v>
      </c>
      <c r="AA27" s="56">
        <f t="shared" si="249"/>
        <v>85399558483.667786</v>
      </c>
      <c r="AB27" s="56">
        <f t="shared" si="249"/>
        <v>87877871544.508316</v>
      </c>
      <c r="AC27" s="56">
        <f t="shared" si="249"/>
        <v>90424515559.123459</v>
      </c>
      <c r="AD27" s="56">
        <f t="shared" si="249"/>
        <v>93041463090.798111</v>
      </c>
      <c r="AE27" s="56">
        <f t="shared" si="249"/>
        <v>95730745291.478516</v>
      </c>
      <c r="AF27" s="56">
        <f t="shared" si="249"/>
        <v>98494453679.439774</v>
      </c>
      <c r="AG27" s="56">
        <f t="shared" si="249"/>
        <v>101334731971.6907</v>
      </c>
      <c r="AH27" s="56">
        <f t="shared" si="249"/>
        <v>104253817972.81883</v>
      </c>
      <c r="AI27" s="56">
        <f t="shared" si="249"/>
        <v>107253985522.03055</v>
      </c>
      <c r="AJ27" s="56">
        <f t="shared" si="249"/>
        <v>110337586500.1974</v>
      </c>
      <c r="AK27" s="56">
        <f t="shared" si="249"/>
        <v>113507042898.77515</v>
      </c>
      <c r="AL27" s="56">
        <f t="shared" si="249"/>
        <v>116764848952.52208</v>
      </c>
      <c r="AM27" s="56">
        <f t="shared" si="249"/>
        <v>120113573338.00188</v>
      </c>
      <c r="AN27" s="56">
        <f t="shared" si="249"/>
        <v>123555861439.91934</v>
      </c>
      <c r="AO27" s="56">
        <f t="shared" si="249"/>
        <v>127094437687.40192</v>
      </c>
      <c r="AP27" s="56">
        <f t="shared" si="249"/>
        <v>130732107962.40465</v>
      </c>
      <c r="AQ27" s="56">
        <f t="shared" si="249"/>
        <v>134471762082.48624</v>
      </c>
      <c r="AR27" s="56">
        <f>AR23+AR24</f>
        <v>138316376360.27267</v>
      </c>
      <c r="AS27" s="56">
        <f>AS23+AS24</f>
        <v>142269006241.99921</v>
      </c>
      <c r="AT27" s="56">
        <f t="shared" ref="AT27:CA27" si="250">AT23+AT24</f>
        <v>146332829027.59412</v>
      </c>
      <c r="AU27" s="56">
        <f t="shared" si="250"/>
        <v>150511086674.84772</v>
      </c>
      <c r="AV27" s="56">
        <f t="shared" si="250"/>
        <v>154807128690.28711</v>
      </c>
      <c r="AW27" s="56">
        <f t="shared" si="250"/>
        <v>159224405109.46161</v>
      </c>
      <c r="AX27" s="56">
        <f t="shared" si="250"/>
        <v>163766469569.42657</v>
      </c>
      <c r="AY27" s="56">
        <f t="shared" si="250"/>
        <v>168436982476.30289</v>
      </c>
      <c r="AZ27" s="56">
        <f t="shared" si="250"/>
        <v>173239714270.87753</v>
      </c>
      <c r="BA27" s="56">
        <f t="shared" si="250"/>
        <v>178178548795.3053</v>
      </c>
      <c r="BB27" s="56">
        <f t="shared" si="250"/>
        <v>183257486764.06677</v>
      </c>
      <c r="BC27" s="56">
        <f t="shared" si="250"/>
        <v>188480649342.43738</v>
      </c>
      <c r="BD27" s="56">
        <f t="shared" si="250"/>
        <v>193852281835.82358</v>
      </c>
      <c r="BE27" s="56">
        <f t="shared" si="250"/>
        <v>199376747493.42834</v>
      </c>
      <c r="BF27" s="56">
        <f t="shared" si="250"/>
        <v>205058571429.81683</v>
      </c>
      <c r="BG27" s="56">
        <f t="shared" si="250"/>
        <v>210902384668.06436</v>
      </c>
      <c r="BH27" s="56">
        <f t="shared" si="250"/>
        <v>216912968308.28461</v>
      </c>
      <c r="BI27" s="56">
        <f t="shared" si="250"/>
        <v>223095247825.45749</v>
      </c>
      <c r="BJ27" s="56">
        <f t="shared" si="250"/>
        <v>229454297500.59381</v>
      </c>
      <c r="BK27" s="56">
        <f t="shared" si="250"/>
        <v>235995344989.4079</v>
      </c>
      <c r="BL27" s="56">
        <f t="shared" si="250"/>
        <v>242723776032.79297</v>
      </c>
      <c r="BM27" s="56">
        <f t="shared" si="250"/>
        <v>249645139313.53568</v>
      </c>
      <c r="BN27" s="56">
        <f t="shared" si="250"/>
        <v>256765151463.8392</v>
      </c>
      <c r="BO27" s="56">
        <f t="shared" si="250"/>
        <v>264089702228.37363</v>
      </c>
      <c r="BP27" s="56">
        <f t="shared" si="250"/>
        <v>271624859787.71667</v>
      </c>
      <c r="BQ27" s="56">
        <f t="shared" si="250"/>
        <v>279376866247.20166</v>
      </c>
      <c r="BR27" s="56">
        <f t="shared" si="250"/>
        <v>287352183296.34851</v>
      </c>
      <c r="BS27" s="56">
        <f t="shared" si="250"/>
        <v>295557438044.21387</v>
      </c>
      <c r="BT27" s="56">
        <f t="shared" si="250"/>
        <v>303999469036.16669</v>
      </c>
      <c r="BU27" s="56">
        <f t="shared" si="250"/>
        <v>312685322457.76721</v>
      </c>
      <c r="BV27" s="56">
        <f t="shared" si="250"/>
        <v>321622258531.60474</v>
      </c>
      <c r="BW27" s="56">
        <f t="shared" si="250"/>
        <v>330817758113.13684</v>
      </c>
      <c r="BX27" s="56">
        <f t="shared" si="250"/>
        <v>340279529491.75964</v>
      </c>
      <c r="BY27" s="56">
        <f t="shared" si="250"/>
        <v>350015515403.5351</v>
      </c>
      <c r="BZ27" s="56">
        <f t="shared" si="250"/>
        <v>360033900262.20551</v>
      </c>
      <c r="CA27" s="56">
        <f t="shared" si="250"/>
        <v>370343117615.33142</v>
      </c>
      <c r="CB27" s="56">
        <f>CB23+CB24</f>
        <v>380951857832.60406</v>
      </c>
      <c r="CC27" s="56">
        <f>CC23+CC24</f>
        <v>391869066033.60901</v>
      </c>
      <c r="CD27" s="56">
        <f t="shared" ref="CD27:DK27" si="251">CD23+CD24</f>
        <v>403103990262.53961</v>
      </c>
      <c r="CE27" s="56">
        <f t="shared" si="251"/>
        <v>414666129917.60376</v>
      </c>
      <c r="CF27" s="56">
        <f t="shared" si="251"/>
        <v>426565284443.10107</v>
      </c>
      <c r="CG27" s="56">
        <f t="shared" si="251"/>
        <v>438811552292.40887</v>
      </c>
      <c r="CH27" s="56">
        <f t="shared" si="251"/>
        <v>451415340170.36407</v>
      </c>
      <c r="CI27" s="56">
        <f t="shared" si="251"/>
        <v>464387372563.80487</v>
      </c>
      <c r="CJ27" s="56">
        <f t="shared" si="251"/>
        <v>477738701569.30414</v>
      </c>
      <c r="CK27" s="56">
        <f t="shared" si="251"/>
        <v>491480717027.41742</v>
      </c>
      <c r="CL27" s="56">
        <f t="shared" si="251"/>
        <v>505625156973.05371</v>
      </c>
      <c r="CM27" s="56">
        <f t="shared" si="251"/>
        <v>520184118411.88959</v>
      </c>
      <c r="CN27" s="56">
        <f t="shared" si="251"/>
        <v>535170068433.04889</v>
      </c>
      <c r="CO27" s="56">
        <f t="shared" si="251"/>
        <v>550595845668.60315</v>
      </c>
      <c r="CP27" s="56">
        <f t="shared" si="251"/>
        <v>566474712110.76819</v>
      </c>
      <c r="CQ27" s="56">
        <f t="shared" si="251"/>
        <v>582820305298.02588</v>
      </c>
      <c r="CR27" s="56">
        <f t="shared" si="251"/>
        <v>599646690881.74512</v>
      </c>
      <c r="CS27" s="56">
        <f t="shared" si="251"/>
        <v>616968365585.24866</v>
      </c>
      <c r="CT27" s="56">
        <f t="shared" si="251"/>
        <v>634800270567.6355</v>
      </c>
      <c r="CU27" s="56">
        <f t="shared" si="251"/>
        <v>653157805205.07605</v>
      </c>
      <c r="CV27" s="56">
        <f t="shared" si="251"/>
        <v>672056841302.67517</v>
      </c>
      <c r="CW27" s="56">
        <f t="shared" si="251"/>
        <v>691513737750.43286</v>
      </c>
      <c r="CX27" s="56">
        <f t="shared" si="251"/>
        <v>711545355637.23474</v>
      </c>
      <c r="CY27" s="56">
        <f t="shared" si="251"/>
        <v>732169073837.27026</v>
      </c>
      <c r="CZ27" s="56">
        <f t="shared" si="251"/>
        <v>753402805083.7041</v>
      </c>
      <c r="DA27" s="56">
        <f t="shared" si="251"/>
        <v>775265002544.91248</v>
      </c>
      <c r="DB27" s="56">
        <f t="shared" si="251"/>
        <v>797774716919.06848</v>
      </c>
      <c r="DC27" s="56">
        <f t="shared" si="251"/>
        <v>820951554063.3595</v>
      </c>
      <c r="DD27" s="56">
        <f t="shared" si="251"/>
        <v>844815733174.63745</v>
      </c>
      <c r="DE27" s="56">
        <f t="shared" si="251"/>
        <v>869388095538.82471</v>
      </c>
      <c r="DF27" s="56">
        <f t="shared" si="251"/>
        <v>894690123866.95142</v>
      </c>
      <c r="DG27" s="56">
        <f t="shared" si="251"/>
        <v>920743962236.25574</v>
      </c>
      <c r="DH27" s="56">
        <f t="shared" si="251"/>
        <v>947572436655.37036</v>
      </c>
      <c r="DI27" s="56">
        <f t="shared" si="251"/>
        <v>975199076273.2052</v>
      </c>
      <c r="DJ27" s="56">
        <f t="shared" si="251"/>
        <v>1003648135251.762</v>
      </c>
      <c r="DK27" s="56">
        <f t="shared" si="251"/>
        <v>1032944615323.7606</v>
      </c>
      <c r="DL27" s="56">
        <f>DL23+DL24</f>
        <v>1063114289056.5928</v>
      </c>
      <c r="DM27" s="56">
        <f>DM23+DM24</f>
        <v>1094183713844.8281</v>
      </c>
      <c r="DN27" s="56">
        <f t="shared" ref="DN27:DX27" si="252">DN23+DN24</f>
        <v>1126180296654.1704</v>
      </c>
      <c r="DO27" s="56">
        <f t="shared" si="252"/>
        <v>1159132259540.5</v>
      </c>
      <c r="DP27" s="56">
        <f t="shared" si="252"/>
        <v>1193068705968.3813</v>
      </c>
      <c r="DQ27" s="56">
        <f t="shared" si="252"/>
        <v>1228019637954.1743</v>
      </c>
      <c r="DR27" s="56">
        <f t="shared" si="252"/>
        <v>1264015984059.6934</v>
      </c>
      <c r="DS27" s="56">
        <f t="shared" si="252"/>
        <v>1301089628263.1714</v>
      </c>
      <c r="DT27" s="56">
        <f t="shared" si="252"/>
        <v>1339273439735.1187</v>
      </c>
      <c r="DU27" s="56">
        <f t="shared" si="252"/>
        <v>1378601303547.5615</v>
      </c>
      <c r="DV27" s="56">
        <f t="shared" si="252"/>
        <v>1419108152346.0171</v>
      </c>
      <c r="DW27" s="56">
        <f t="shared" si="252"/>
        <v>1460829999014.5051</v>
      </c>
      <c r="DX27" s="56">
        <f t="shared" si="252"/>
        <v>1503803970364.845</v>
      </c>
    </row>
    <row r="28" spans="2:129">
      <c r="B28" s="134"/>
      <c r="C28" s="414" t="s">
        <v>296</v>
      </c>
      <c r="D28" s="414"/>
      <c r="E28" s="414"/>
      <c r="F28" s="144" t="s">
        <v>35</v>
      </c>
      <c r="G28" s="45"/>
      <c r="H28" s="45"/>
      <c r="I28" s="56">
        <f>I27</f>
        <v>51632780200.9683</v>
      </c>
      <c r="J28" s="56">
        <f>I28+J27</f>
        <v>104796846297.44791</v>
      </c>
      <c r="K28" s="56">
        <f t="shared" ref="K28:AR28" si="253">J28+K27</f>
        <v>159533357458.38007</v>
      </c>
      <c r="L28" s="56">
        <f t="shared" si="253"/>
        <v>215884642399.05014</v>
      </c>
      <c r="M28" s="56">
        <f t="shared" si="253"/>
        <v>273894233692.54498</v>
      </c>
      <c r="N28" s="56">
        <f t="shared" si="253"/>
        <v>333606903113.18494</v>
      </c>
      <c r="O28" s="56">
        <f t="shared" si="253"/>
        <v>395068698043.5166</v>
      </c>
      <c r="P28" s="56">
        <f t="shared" si="253"/>
        <v>458326978977.42944</v>
      </c>
      <c r="Q28" s="56">
        <f t="shared" si="253"/>
        <v>523430458152.96936</v>
      </c>
      <c r="R28" s="56">
        <f t="shared" si="253"/>
        <v>590429239349.4624</v>
      </c>
      <c r="S28" s="56">
        <f t="shared" si="253"/>
        <v>659374858884.63367</v>
      </c>
      <c r="T28" s="56">
        <f t="shared" si="253"/>
        <v>730320327848.51453</v>
      </c>
      <c r="U28" s="56">
        <f t="shared" si="253"/>
        <v>802181452657.5</v>
      </c>
      <c r="V28" s="56">
        <f t="shared" si="253"/>
        <v>876149258607.16809</v>
      </c>
      <c r="W28" s="56">
        <f t="shared" si="253"/>
        <v>952281378575.40869</v>
      </c>
      <c r="X28" s="56">
        <f t="shared" si="253"/>
        <v>1030637100938.9347</v>
      </c>
      <c r="Y28" s="56">
        <f t="shared" si="253"/>
        <v>1111277418556.4153</v>
      </c>
      <c r="Z28" s="56">
        <f t="shared" si="253"/>
        <v>1194265079233.813</v>
      </c>
      <c r="AA28" s="56">
        <f t="shared" si="253"/>
        <v>1279664637717.4807</v>
      </c>
      <c r="AB28" s="56">
        <f t="shared" si="253"/>
        <v>1367542509261.989</v>
      </c>
      <c r="AC28" s="56">
        <f t="shared" si="253"/>
        <v>1457967024821.1125</v>
      </c>
      <c r="AD28" s="56">
        <f t="shared" si="253"/>
        <v>1551008487911.9106</v>
      </c>
      <c r="AE28" s="56">
        <f t="shared" si="253"/>
        <v>1646739233203.3892</v>
      </c>
      <c r="AF28" s="56">
        <f t="shared" si="253"/>
        <v>1745233686882.8289</v>
      </c>
      <c r="AG28" s="56">
        <f t="shared" si="253"/>
        <v>1846568418854.5195</v>
      </c>
      <c r="AH28" s="56">
        <f t="shared" si="253"/>
        <v>1950822236827.3384</v>
      </c>
      <c r="AI28" s="56">
        <f t="shared" si="253"/>
        <v>2058076222349.3689</v>
      </c>
      <c r="AJ28" s="56">
        <f t="shared" si="253"/>
        <v>2168413808849.5664</v>
      </c>
      <c r="AK28" s="56">
        <f t="shared" si="253"/>
        <v>2281920851748.3418</v>
      </c>
      <c r="AL28" s="56">
        <f t="shared" si="253"/>
        <v>2398685700700.8638</v>
      </c>
      <c r="AM28" s="56">
        <f t="shared" si="253"/>
        <v>2518799274038.8657</v>
      </c>
      <c r="AN28" s="56">
        <f t="shared" si="253"/>
        <v>2642355135478.7852</v>
      </c>
      <c r="AO28" s="56">
        <f t="shared" si="253"/>
        <v>2769449573166.187</v>
      </c>
      <c r="AP28" s="56">
        <f t="shared" si="253"/>
        <v>2900181681128.5918</v>
      </c>
      <c r="AQ28" s="56">
        <f t="shared" si="253"/>
        <v>3034653443211.0781</v>
      </c>
      <c r="AR28" s="56">
        <f t="shared" si="253"/>
        <v>3172969819571.3506</v>
      </c>
      <c r="AS28" s="56">
        <f>AS27</f>
        <v>142269006241.99921</v>
      </c>
      <c r="AT28" s="56">
        <f>AS28+AT27</f>
        <v>288601835269.59332</v>
      </c>
      <c r="AU28" s="56">
        <f t="shared" ref="AU28" si="254">AT28+AU27</f>
        <v>439112921944.44104</v>
      </c>
      <c r="AV28" s="56">
        <f t="shared" ref="AV28" si="255">AU28+AV27</f>
        <v>593920050634.72815</v>
      </c>
      <c r="AW28" s="56">
        <f t="shared" ref="AW28" si="256">AV28+AW27</f>
        <v>753144455744.1897</v>
      </c>
      <c r="AX28" s="56">
        <f t="shared" ref="AX28" si="257">AW28+AX27</f>
        <v>916910925313.61621</v>
      </c>
      <c r="AY28" s="56">
        <f t="shared" ref="AY28" si="258">AX28+AY27</f>
        <v>1085347907789.9191</v>
      </c>
      <c r="AZ28" s="56">
        <f t="shared" ref="AZ28" si="259">AY28+AZ27</f>
        <v>1258587622060.7966</v>
      </c>
      <c r="BA28" s="56">
        <f t="shared" ref="BA28" si="260">AZ28+BA27</f>
        <v>1436766170856.1021</v>
      </c>
      <c r="BB28" s="56">
        <f t="shared" ref="BB28" si="261">BA28+BB27</f>
        <v>1620023657620.1689</v>
      </c>
      <c r="BC28" s="56">
        <f t="shared" ref="BC28" si="262">BB28+BC27</f>
        <v>1808504306962.6064</v>
      </c>
      <c r="BD28" s="56">
        <f t="shared" ref="BD28" si="263">BC28+BD27</f>
        <v>2002356588798.4299</v>
      </c>
      <c r="BE28" s="56">
        <f t="shared" ref="BE28" si="264">BD28+BE27</f>
        <v>2201733336291.8584</v>
      </c>
      <c r="BF28" s="56">
        <f t="shared" ref="BF28" si="265">BE28+BF27</f>
        <v>2406791907721.6753</v>
      </c>
      <c r="BG28" s="56">
        <f t="shared" ref="BG28" si="266">BF28+BG27</f>
        <v>2617694292389.7397</v>
      </c>
      <c r="BH28" s="56">
        <f t="shared" ref="BH28" si="267">BG28+BH27</f>
        <v>2834607260698.0244</v>
      </c>
      <c r="BI28" s="56">
        <f t="shared" ref="BI28" si="268">BH28+BI27</f>
        <v>3057702508523.4819</v>
      </c>
      <c r="BJ28" s="56">
        <f t="shared" ref="BJ28" si="269">BI28+BJ27</f>
        <v>3287156806024.0757</v>
      </c>
      <c r="BK28" s="56">
        <f t="shared" ref="BK28" si="270">BJ28+BK27</f>
        <v>3523152151013.4834</v>
      </c>
      <c r="BL28" s="56">
        <f t="shared" ref="BL28" si="271">BK28+BL27</f>
        <v>3765875927046.2764</v>
      </c>
      <c r="BM28" s="56">
        <f t="shared" ref="BM28" si="272">BL28+BM27</f>
        <v>4015521066359.812</v>
      </c>
      <c r="BN28" s="56">
        <f t="shared" ref="BN28" si="273">BM28+BN27</f>
        <v>4272286217823.6514</v>
      </c>
      <c r="BO28" s="56">
        <f t="shared" ref="BO28" si="274">BN28+BO27</f>
        <v>4536375920052.0254</v>
      </c>
      <c r="BP28" s="56">
        <f t="shared" ref="BP28" si="275">BO28+BP27</f>
        <v>4808000779839.7422</v>
      </c>
      <c r="BQ28" s="56">
        <f t="shared" ref="BQ28" si="276">BP28+BQ27</f>
        <v>5087377646086.9434</v>
      </c>
      <c r="BR28" s="56">
        <f t="shared" ref="BR28" si="277">BQ28+BR27</f>
        <v>5374729829383.292</v>
      </c>
      <c r="BS28" s="56">
        <f t="shared" ref="BS28" si="278">BR28+BS27</f>
        <v>5670287267427.5059</v>
      </c>
      <c r="BT28" s="56">
        <f t="shared" ref="BT28" si="279">BS28+BT27</f>
        <v>5974286736463.6729</v>
      </c>
      <c r="BU28" s="56">
        <f t="shared" ref="BU28" si="280">BT28+BU27</f>
        <v>6286972058921.4404</v>
      </c>
      <c r="BV28" s="56">
        <f t="shared" ref="BV28" si="281">BU28+BV27</f>
        <v>6608594317453.0449</v>
      </c>
      <c r="BW28" s="56">
        <f t="shared" ref="BW28" si="282">BV28+BW27</f>
        <v>6939412075566.1816</v>
      </c>
      <c r="BX28" s="56">
        <f t="shared" ref="BX28" si="283">BW28+BX27</f>
        <v>7279691605057.9414</v>
      </c>
      <c r="BY28" s="56">
        <f t="shared" ref="BY28" si="284">BX28+BY27</f>
        <v>7629707120461.4766</v>
      </c>
      <c r="BZ28" s="56">
        <f t="shared" ref="BZ28" si="285">BY28+BZ27</f>
        <v>7989741020723.6816</v>
      </c>
      <c r="CA28" s="56">
        <f t="shared" ref="CA28" si="286">BZ28+CA27</f>
        <v>8360084138339.0127</v>
      </c>
      <c r="CB28" s="56">
        <f t="shared" ref="CB28" si="287">CA28+CB27</f>
        <v>8741035996171.6172</v>
      </c>
      <c r="CC28" s="56">
        <f>CC27</f>
        <v>391869066033.60901</v>
      </c>
      <c r="CD28" s="56">
        <f>CC28+CD27</f>
        <v>794973056296.14868</v>
      </c>
      <c r="CE28" s="56">
        <f t="shared" ref="CE28" si="288">CD28+CE27</f>
        <v>1209639186213.7524</v>
      </c>
      <c r="CF28" s="56">
        <f t="shared" ref="CF28" si="289">CE28+CF27</f>
        <v>1636204470656.8535</v>
      </c>
      <c r="CG28" s="56">
        <f t="shared" ref="CG28" si="290">CF28+CG27</f>
        <v>2075016022949.2625</v>
      </c>
      <c r="CH28" s="56">
        <f t="shared" ref="CH28" si="291">CG28+CH27</f>
        <v>2526431363119.6265</v>
      </c>
      <c r="CI28" s="56">
        <f t="shared" ref="CI28" si="292">CH28+CI27</f>
        <v>2990818735683.4312</v>
      </c>
      <c r="CJ28" s="56">
        <f t="shared" ref="CJ28" si="293">CI28+CJ27</f>
        <v>3468557437252.7354</v>
      </c>
      <c r="CK28" s="56">
        <f t="shared" ref="CK28" si="294">CJ28+CK27</f>
        <v>3960038154280.1528</v>
      </c>
      <c r="CL28" s="56">
        <f t="shared" ref="CL28" si="295">CK28+CL27</f>
        <v>4465663311253.207</v>
      </c>
      <c r="CM28" s="56">
        <f t="shared" ref="CM28" si="296">CL28+CM27</f>
        <v>4985847429665.0967</v>
      </c>
      <c r="CN28" s="56">
        <f t="shared" ref="CN28" si="297">CM28+CN27</f>
        <v>5521017498098.1455</v>
      </c>
      <c r="CO28" s="56">
        <f t="shared" ref="CO28" si="298">CN28+CO27</f>
        <v>6071613343766.749</v>
      </c>
      <c r="CP28" s="56">
        <f t="shared" ref="CP28" si="299">CO28+CP27</f>
        <v>6638088055877.5176</v>
      </c>
      <c r="CQ28" s="56">
        <f t="shared" ref="CQ28" si="300">CP28+CQ27</f>
        <v>7220908361175.543</v>
      </c>
      <c r="CR28" s="56">
        <f t="shared" ref="CR28" si="301">CQ28+CR27</f>
        <v>7820555052057.2881</v>
      </c>
      <c r="CS28" s="56">
        <f t="shared" ref="CS28" si="302">CR28+CS27</f>
        <v>8437523417642.5371</v>
      </c>
      <c r="CT28" s="56">
        <f t="shared" ref="CT28" si="303">CS28+CT27</f>
        <v>9072323688210.1719</v>
      </c>
      <c r="CU28" s="56">
        <f t="shared" ref="CU28" si="304">CT28+CU27</f>
        <v>9725481493415.248</v>
      </c>
      <c r="CV28" s="56">
        <f t="shared" ref="CV28" si="305">CU28+CV27</f>
        <v>10397538334717.924</v>
      </c>
      <c r="CW28" s="56">
        <f t="shared" ref="CW28" si="306">CV28+CW27</f>
        <v>11089052072468.357</v>
      </c>
      <c r="CX28" s="56">
        <f t="shared" ref="CX28" si="307">CW28+CX27</f>
        <v>11800597428105.592</v>
      </c>
      <c r="CY28" s="56">
        <f t="shared" ref="CY28" si="308">CX28+CY27</f>
        <v>12532766501942.861</v>
      </c>
      <c r="CZ28" s="56">
        <f t="shared" ref="CZ28" si="309">CY28+CZ27</f>
        <v>13286169307026.566</v>
      </c>
      <c r="DA28" s="56">
        <f t="shared" ref="DA28" si="310">CZ28+DA27</f>
        <v>14061434309571.479</v>
      </c>
      <c r="DB28" s="56">
        <f t="shared" ref="DB28" si="311">DA28+DB27</f>
        <v>14859209026490.547</v>
      </c>
      <c r="DC28" s="56">
        <f t="shared" ref="DC28" si="312">DB28+DC27</f>
        <v>15680160580553.906</v>
      </c>
      <c r="DD28" s="56">
        <f t="shared" ref="DD28" si="313">DC28+DD27</f>
        <v>16524976313728.543</v>
      </c>
      <c r="DE28" s="56">
        <f t="shared" ref="DE28" si="314">DD28+DE27</f>
        <v>17394364409267.367</v>
      </c>
      <c r="DF28" s="56">
        <f t="shared" ref="DF28" si="315">DE28+DF27</f>
        <v>18289054533134.32</v>
      </c>
      <c r="DG28" s="56">
        <f t="shared" ref="DG28" si="316">DF28+DG27</f>
        <v>19209798495370.574</v>
      </c>
      <c r="DH28" s="56">
        <f t="shared" ref="DH28" si="317">DG28+DH27</f>
        <v>20157370932025.945</v>
      </c>
      <c r="DI28" s="56">
        <f t="shared" ref="DI28" si="318">DH28+DI27</f>
        <v>21132570008299.152</v>
      </c>
      <c r="DJ28" s="56">
        <f t="shared" ref="DJ28" si="319">DI28+DJ27</f>
        <v>22136218143550.914</v>
      </c>
      <c r="DK28" s="56">
        <f t="shared" ref="DK28" si="320">DJ28+DK27</f>
        <v>23169162758874.676</v>
      </c>
      <c r="DL28" s="56">
        <f t="shared" ref="DL28" si="321">DK28+DL27</f>
        <v>24232277047931.27</v>
      </c>
      <c r="DM28" s="56">
        <f>DM27</f>
        <v>1094183713844.8281</v>
      </c>
      <c r="DN28" s="56">
        <f>DM28+DN27</f>
        <v>2220364010498.9985</v>
      </c>
      <c r="DO28" s="56">
        <f t="shared" ref="DO28" si="322">DN28+DO27</f>
        <v>3379496270039.4985</v>
      </c>
      <c r="DP28" s="56">
        <f t="shared" ref="DP28" si="323">DO28+DP27</f>
        <v>4572564976007.8799</v>
      </c>
      <c r="DQ28" s="56">
        <f t="shared" ref="DQ28" si="324">DP28+DQ27</f>
        <v>5800584613962.0547</v>
      </c>
      <c r="DR28" s="56">
        <f t="shared" ref="DR28" si="325">DQ28+DR27</f>
        <v>7064600598021.748</v>
      </c>
      <c r="DS28" s="56">
        <f t="shared" ref="DS28" si="326">DR28+DS27</f>
        <v>8365690226284.9199</v>
      </c>
      <c r="DT28" s="56">
        <f t="shared" ref="DT28" si="327">DS28+DT27</f>
        <v>9704963666020.0391</v>
      </c>
      <c r="DU28" s="56">
        <f t="shared" ref="DU28" si="328">DT28+DU27</f>
        <v>11083564969567.602</v>
      </c>
      <c r="DV28" s="56">
        <f t="shared" ref="DV28" si="329">DU28+DV27</f>
        <v>12502673121913.619</v>
      </c>
      <c r="DW28" s="56">
        <f t="shared" ref="DW28" si="330">DV28+DW27</f>
        <v>13963503120928.125</v>
      </c>
      <c r="DX28" s="56">
        <f t="shared" ref="DX28" si="331">DW28+DX27</f>
        <v>15467307091292.971</v>
      </c>
    </row>
    <row r="29" spans="2:129">
      <c r="B29" s="134"/>
      <c r="C29" s="413" t="s">
        <v>306</v>
      </c>
      <c r="D29" s="413"/>
      <c r="E29" s="413"/>
      <c r="F29" s="144" t="s">
        <v>35</v>
      </c>
      <c r="G29" s="45">
        <v>0.15</v>
      </c>
      <c r="H29" s="45"/>
      <c r="I29" s="56">
        <f>I28/(1+$G$29)^I4</f>
        <v>44898069739.972435</v>
      </c>
      <c r="J29" s="56">
        <f t="shared" ref="J29:AR29" si="332">J28/(1+$G$29)^J4</f>
        <v>79241471680.489929</v>
      </c>
      <c r="K29" s="56">
        <f t="shared" si="332"/>
        <v>104895772143.25972</v>
      </c>
      <c r="L29" s="56">
        <f t="shared" si="332"/>
        <v>123432744965.3483</v>
      </c>
      <c r="M29" s="56">
        <f t="shared" si="332"/>
        <v>136173840924.28639</v>
      </c>
      <c r="N29" s="56">
        <f t="shared" si="332"/>
        <v>144227470402.42279</v>
      </c>
      <c r="O29" s="56">
        <f t="shared" si="332"/>
        <v>148520956908.74976</v>
      </c>
      <c r="P29" s="56">
        <f t="shared" si="332"/>
        <v>149827902429.27682</v>
      </c>
      <c r="Q29" s="56">
        <f t="shared" si="332"/>
        <v>148791604569.84161</v>
      </c>
      <c r="R29" s="56">
        <f t="shared" si="332"/>
        <v>145945078014.35367</v>
      </c>
      <c r="S29" s="56">
        <f t="shared" si="332"/>
        <v>141728157145.69125</v>
      </c>
      <c r="T29" s="56">
        <f t="shared" si="332"/>
        <v>136502091201.55753</v>
      </c>
      <c r="U29" s="56">
        <f t="shared" si="332"/>
        <v>130376912390.27246</v>
      </c>
      <c r="V29" s="56">
        <f t="shared" si="332"/>
        <v>123824998914.49991</v>
      </c>
      <c r="W29" s="56">
        <f t="shared" si="332"/>
        <v>117030129790.65302</v>
      </c>
      <c r="X29" s="56">
        <f t="shared" si="332"/>
        <v>110138796481.22681</v>
      </c>
      <c r="Y29" s="56">
        <f t="shared" si="332"/>
        <v>103266439526.50734</v>
      </c>
      <c r="Z29" s="56">
        <f t="shared" si="332"/>
        <v>96502731724.270508</v>
      </c>
      <c r="AA29" s="56">
        <f t="shared" si="332"/>
        <v>89916046262.135025</v>
      </c>
      <c r="AB29" s="56">
        <f t="shared" si="332"/>
        <v>83557228778.971588</v>
      </c>
      <c r="AC29" s="56">
        <f t="shared" si="332"/>
        <v>77462775567.563858</v>
      </c>
      <c r="AD29" s="56">
        <f t="shared" si="332"/>
        <v>71657505671.518631</v>
      </c>
      <c r="AE29" s="56">
        <f t="shared" si="332"/>
        <v>66156802163.938385</v>
      </c>
      <c r="AF29" s="56">
        <f t="shared" si="332"/>
        <v>60968487153.771439</v>
      </c>
      <c r="AG29" s="56">
        <f t="shared" si="332"/>
        <v>56094385510.444038</v>
      </c>
      <c r="AH29" s="56">
        <f t="shared" si="332"/>
        <v>51531626235.239479</v>
      </c>
      <c r="AI29" s="56">
        <f t="shared" si="332"/>
        <v>47273718587.51181</v>
      </c>
      <c r="AJ29" s="56">
        <f t="shared" si="332"/>
        <v>43311441114.658928</v>
      </c>
      <c r="AK29" s="56">
        <f t="shared" si="332"/>
        <v>39633571220.889969</v>
      </c>
      <c r="AL29" s="56">
        <f t="shared" si="332"/>
        <v>36227480851.387077</v>
      </c>
      <c r="AM29" s="56">
        <f t="shared" si="332"/>
        <v>33079619734.75317</v>
      </c>
      <c r="AN29" s="56">
        <f t="shared" si="332"/>
        <v>30175904425.960014</v>
      </c>
      <c r="AO29" s="56">
        <f t="shared" si="332"/>
        <v>27502028649.030712</v>
      </c>
      <c r="AP29" s="56">
        <f t="shared" si="332"/>
        <v>25043708089.808826</v>
      </c>
      <c r="AQ29" s="56">
        <f t="shared" si="332"/>
        <v>22786870779.445633</v>
      </c>
      <c r="AR29" s="56">
        <f t="shared" si="332"/>
        <v>20717802491.232403</v>
      </c>
      <c r="AS29" s="56">
        <f>AS28/(1+$G$29)^AS4</f>
        <v>123712179340.86888</v>
      </c>
      <c r="AT29" s="56">
        <f t="shared" ref="AT29:CB29" si="333">AT28/(1+$G$29)^AT4</f>
        <v>218224450109.33337</v>
      </c>
      <c r="AU29" s="56">
        <f t="shared" si="333"/>
        <v>288723874049.11066</v>
      </c>
      <c r="AV29" s="56">
        <f t="shared" si="333"/>
        <v>339575716573.18457</v>
      </c>
      <c r="AW29" s="56">
        <f t="shared" si="333"/>
        <v>374445901714.90363</v>
      </c>
      <c r="AX29" s="56">
        <f t="shared" si="333"/>
        <v>396405896005.8764</v>
      </c>
      <c r="AY29" s="56">
        <f t="shared" si="333"/>
        <v>408022479741.26392</v>
      </c>
      <c r="AZ29" s="56">
        <f t="shared" si="333"/>
        <v>411434526192.50433</v>
      </c>
      <c r="BA29" s="56">
        <f t="shared" si="333"/>
        <v>408418617265.23969</v>
      </c>
      <c r="BB29" s="56">
        <f t="shared" si="333"/>
        <v>400445071719.31171</v>
      </c>
      <c r="BC29" s="56">
        <f t="shared" si="333"/>
        <v>388725744031.89618</v>
      </c>
      <c r="BD29" s="56">
        <f t="shared" si="333"/>
        <v>374254763669.80859</v>
      </c>
      <c r="BE29" s="56">
        <f t="shared" si="333"/>
        <v>357843220310.68854</v>
      </c>
      <c r="BF29" s="56">
        <f t="shared" si="333"/>
        <v>340148670370.19873</v>
      </c>
      <c r="BG29" s="56">
        <f t="shared" si="333"/>
        <v>321700192488.18469</v>
      </c>
      <c r="BH29" s="56">
        <f t="shared" si="333"/>
        <v>302919652228.5155</v>
      </c>
      <c r="BI29" s="56">
        <f t="shared" si="333"/>
        <v>284139716972.44568</v>
      </c>
      <c r="BJ29" s="56">
        <f t="shared" si="333"/>
        <v>265619096550.0433</v>
      </c>
      <c r="BK29" s="56">
        <f t="shared" si="333"/>
        <v>247555416053.47391</v>
      </c>
      <c r="BL29" s="56">
        <f t="shared" si="333"/>
        <v>230096069598.04187</v>
      </c>
      <c r="BM29" s="56">
        <f t="shared" si="333"/>
        <v>213347354127.17578</v>
      </c>
      <c r="BN29" s="56">
        <f t="shared" si="333"/>
        <v>197382139601.44131</v>
      </c>
      <c r="BO29" s="56">
        <f t="shared" si="333"/>
        <v>182246295122.47061</v>
      </c>
      <c r="BP29" s="56">
        <f t="shared" si="333"/>
        <v>167964058901.79391</v>
      </c>
      <c r="BQ29" s="56">
        <f t="shared" si="333"/>
        <v>154542512480.44293</v>
      </c>
      <c r="BR29" s="56">
        <f t="shared" si="333"/>
        <v>141975298135.62708</v>
      </c>
      <c r="BS29" s="56">
        <f t="shared" si="333"/>
        <v>130245693371.22221</v>
      </c>
      <c r="BT29" s="56">
        <f t="shared" si="333"/>
        <v>119329146093.98955</v>
      </c>
      <c r="BU29" s="56">
        <f t="shared" si="333"/>
        <v>109195353848.53395</v>
      </c>
      <c r="BV29" s="56">
        <f t="shared" si="333"/>
        <v>99809960104.469894</v>
      </c>
      <c r="BW29" s="56">
        <f t="shared" si="333"/>
        <v>91135929332.867294</v>
      </c>
      <c r="BX29" s="56">
        <f t="shared" si="333"/>
        <v>83134653315.58783</v>
      </c>
      <c r="BY29" s="56">
        <f t="shared" si="333"/>
        <v>75766833180.05072</v>
      </c>
      <c r="BZ29" s="56">
        <f t="shared" si="333"/>
        <v>68993174854.587036</v>
      </c>
      <c r="CA29" s="56">
        <f t="shared" si="333"/>
        <v>62774929833.190102</v>
      </c>
      <c r="CB29" s="56">
        <f t="shared" si="333"/>
        <v>57074308182.956902</v>
      </c>
      <c r="CC29" s="56">
        <f>CC28/(1+$G$29)^CC4</f>
        <v>340755709594.44263</v>
      </c>
      <c r="CD29" s="56">
        <f t="shared" ref="CD29:DL29" si="334">CD28/(1+$G$29)^CD4</f>
        <v>601113842189.90454</v>
      </c>
      <c r="CE29" s="56">
        <f t="shared" si="334"/>
        <v>795357400321.36292</v>
      </c>
      <c r="CF29" s="56">
        <f t="shared" si="334"/>
        <v>935505216551.88708</v>
      </c>
      <c r="CG29" s="56">
        <f t="shared" si="334"/>
        <v>1031649691981.5557</v>
      </c>
      <c r="CH29" s="56">
        <f t="shared" si="334"/>
        <v>1092245997453.0646</v>
      </c>
      <c r="CI29" s="56">
        <f t="shared" si="334"/>
        <v>1124359542439.3557</v>
      </c>
      <c r="CJ29" s="56">
        <f t="shared" si="334"/>
        <v>1133877578925.2363</v>
      </c>
      <c r="CK29" s="56">
        <f t="shared" si="334"/>
        <v>1125689997506.6829</v>
      </c>
      <c r="CL29" s="56">
        <f t="shared" si="334"/>
        <v>1103843673231.3225</v>
      </c>
      <c r="CM29" s="56">
        <f t="shared" si="334"/>
        <v>1071674114495.8499</v>
      </c>
      <c r="CN29" s="56">
        <f t="shared" si="334"/>
        <v>1031917646700.2416</v>
      </c>
      <c r="CO29" s="56">
        <f t="shared" si="334"/>
        <v>986806910538.0675</v>
      </c>
      <c r="CP29" s="56">
        <f t="shared" si="334"/>
        <v>938152076530.97437</v>
      </c>
      <c r="CQ29" s="56">
        <f t="shared" si="334"/>
        <v>887409815761.57837</v>
      </c>
      <c r="CR29" s="56">
        <f t="shared" si="334"/>
        <v>835741814906.58618</v>
      </c>
      <c r="CS29" s="56">
        <f t="shared" si="334"/>
        <v>784064345420.90833</v>
      </c>
      <c r="CT29" s="56">
        <f t="shared" si="334"/>
        <v>733090194314.96289</v>
      </c>
      <c r="CU29" s="56">
        <f t="shared" si="334"/>
        <v>683364076890.68848</v>
      </c>
      <c r="CV29" s="56">
        <f t="shared" si="334"/>
        <v>635292492546.36023</v>
      </c>
      <c r="CW29" s="56">
        <f t="shared" si="334"/>
        <v>589168847664.46631</v>
      </c>
      <c r="CX29" s="56">
        <f t="shared" si="334"/>
        <v>545194551623.76288</v>
      </c>
      <c r="CY29" s="56">
        <f t="shared" si="334"/>
        <v>503496690500.88281</v>
      </c>
      <c r="CZ29" s="56">
        <f t="shared" si="334"/>
        <v>464142795779.45471</v>
      </c>
      <c r="DA29" s="56">
        <f t="shared" si="334"/>
        <v>427153150101.08459</v>
      </c>
      <c r="DB29" s="56">
        <f t="shared" si="334"/>
        <v>392511009588.3017</v>
      </c>
      <c r="DC29" s="56">
        <f t="shared" si="334"/>
        <v>360171062005.62708</v>
      </c>
      <c r="DD29" s="56">
        <f t="shared" si="334"/>
        <v>330066399509.2832</v>
      </c>
      <c r="DE29" s="56">
        <f t="shared" si="334"/>
        <v>302114238593.60101</v>
      </c>
      <c r="DF29" s="56">
        <f t="shared" si="334"/>
        <v>276220587255.55609</v>
      </c>
      <c r="DG29" s="56">
        <f t="shared" si="334"/>
        <v>252284029123.58746</v>
      </c>
      <c r="DH29" s="56">
        <f t="shared" si="334"/>
        <v>230198768725.77301</v>
      </c>
      <c r="DI29" s="56">
        <f t="shared" si="334"/>
        <v>209857060199.6713</v>
      </c>
      <c r="DJ29" s="56">
        <f t="shared" si="334"/>
        <v>191151123050.91431</v>
      </c>
      <c r="DK29" s="56">
        <f t="shared" si="334"/>
        <v>173974632601.13654</v>
      </c>
      <c r="DL29" s="56">
        <f t="shared" si="334"/>
        <v>158223859141.42944</v>
      </c>
      <c r="DM29" s="56">
        <f>DM28/(1+$G$29)^DM4</f>
        <v>951464098995.50281</v>
      </c>
      <c r="DN29" s="56">
        <f t="shared" ref="DN29:DX29" si="335">DN28/(1+$G$29)^DN4</f>
        <v>1678914185632.5134</v>
      </c>
      <c r="DO29" s="56">
        <f t="shared" si="335"/>
        <v>2222073654994.3286</v>
      </c>
      <c r="DP29" s="56">
        <f t="shared" si="335"/>
        <v>2614378865717.5361</v>
      </c>
      <c r="DQ29" s="56">
        <f t="shared" si="335"/>
        <v>2883915721191.1455</v>
      </c>
      <c r="DR29" s="56">
        <f t="shared" si="335"/>
        <v>3054221792618.0864</v>
      </c>
      <c r="DS29" s="56">
        <f t="shared" si="335"/>
        <v>3144972820583.1001</v>
      </c>
      <c r="DT29" s="56">
        <f t="shared" si="335"/>
        <v>3172569837534.5562</v>
      </c>
      <c r="DU29" s="56">
        <f t="shared" si="335"/>
        <v>3150640912252.9507</v>
      </c>
      <c r="DV29" s="56">
        <f t="shared" si="335"/>
        <v>3090469581377.9692</v>
      </c>
      <c r="DW29" s="56">
        <f t="shared" si="335"/>
        <v>3001360361198.5874</v>
      </c>
      <c r="DX29" s="56">
        <f t="shared" si="335"/>
        <v>2890950289495.5811</v>
      </c>
    </row>
    <row r="30" spans="2:129">
      <c r="B30" s="134"/>
      <c r="C30" s="413" t="s">
        <v>298</v>
      </c>
      <c r="D30" s="413"/>
      <c r="E30" s="413"/>
      <c r="F30" s="144" t="s">
        <v>35</v>
      </c>
      <c r="G30" s="45"/>
      <c r="H30" s="45"/>
      <c r="I30" s="56">
        <f>I29</f>
        <v>44898069739.972435</v>
      </c>
      <c r="J30" s="56">
        <f>I30+J29</f>
        <v>124139541420.46237</v>
      </c>
      <c r="K30" s="56">
        <f t="shared" ref="K30:AR30" si="336">J30+K29</f>
        <v>229035313563.72211</v>
      </c>
      <c r="L30" s="56">
        <f t="shared" si="336"/>
        <v>352468058529.07043</v>
      </c>
      <c r="M30" s="56">
        <f t="shared" si="336"/>
        <v>488641899453.35681</v>
      </c>
      <c r="N30" s="56">
        <f t="shared" si="336"/>
        <v>632869369855.77954</v>
      </c>
      <c r="O30" s="56">
        <f t="shared" si="336"/>
        <v>781390326764.5293</v>
      </c>
      <c r="P30" s="56">
        <f t="shared" si="336"/>
        <v>931218229193.80615</v>
      </c>
      <c r="Q30" s="56">
        <f t="shared" si="336"/>
        <v>1080009833763.6477</v>
      </c>
      <c r="R30" s="56">
        <f t="shared" si="336"/>
        <v>1225954911778.0015</v>
      </c>
      <c r="S30" s="56">
        <f t="shared" si="336"/>
        <v>1367683068923.6926</v>
      </c>
      <c r="T30" s="56">
        <f t="shared" si="336"/>
        <v>1504185160125.2502</v>
      </c>
      <c r="U30" s="56">
        <f t="shared" si="336"/>
        <v>1634562072515.5227</v>
      </c>
      <c r="V30" s="56">
        <f t="shared" si="336"/>
        <v>1758387071430.0227</v>
      </c>
      <c r="W30" s="56">
        <f t="shared" si="336"/>
        <v>1875417201220.6758</v>
      </c>
      <c r="X30" s="56">
        <f t="shared" si="336"/>
        <v>1985555997701.9026</v>
      </c>
      <c r="Y30" s="56">
        <f t="shared" si="336"/>
        <v>2088822437228.4099</v>
      </c>
      <c r="Z30" s="56">
        <f t="shared" si="336"/>
        <v>2185325168952.6804</v>
      </c>
      <c r="AA30" s="56">
        <f t="shared" si="336"/>
        <v>2275241215214.8154</v>
      </c>
      <c r="AB30" s="56">
        <f t="shared" si="336"/>
        <v>2358798443993.7871</v>
      </c>
      <c r="AC30" s="56">
        <f t="shared" si="336"/>
        <v>2436261219561.3511</v>
      </c>
      <c r="AD30" s="56">
        <f t="shared" si="336"/>
        <v>2507918725232.8696</v>
      </c>
      <c r="AE30" s="56">
        <f t="shared" si="336"/>
        <v>2574075527396.8081</v>
      </c>
      <c r="AF30" s="56">
        <f t="shared" si="336"/>
        <v>2635044014550.5796</v>
      </c>
      <c r="AG30" s="56">
        <f t="shared" si="336"/>
        <v>2691138400061.0234</v>
      </c>
      <c r="AH30" s="56">
        <f t="shared" si="336"/>
        <v>2742670026296.2627</v>
      </c>
      <c r="AI30" s="56">
        <f t="shared" si="336"/>
        <v>2789943744883.7744</v>
      </c>
      <c r="AJ30" s="56">
        <f t="shared" si="336"/>
        <v>2833255185998.4331</v>
      </c>
      <c r="AK30" s="56">
        <f t="shared" si="336"/>
        <v>2872888757219.3232</v>
      </c>
      <c r="AL30" s="56">
        <f t="shared" si="336"/>
        <v>2909116238070.7104</v>
      </c>
      <c r="AM30" s="56">
        <f t="shared" si="336"/>
        <v>2942195857805.4634</v>
      </c>
      <c r="AN30" s="56">
        <f t="shared" si="336"/>
        <v>2972371762231.4233</v>
      </c>
      <c r="AO30" s="56">
        <f t="shared" si="336"/>
        <v>2999873790880.4541</v>
      </c>
      <c r="AP30" s="56">
        <f t="shared" si="336"/>
        <v>3024917498970.2627</v>
      </c>
      <c r="AQ30" s="56">
        <f t="shared" si="336"/>
        <v>3047704369749.7085</v>
      </c>
      <c r="AR30" s="56">
        <f t="shared" si="336"/>
        <v>3068422172240.9409</v>
      </c>
      <c r="AS30" s="56">
        <f>AS29</f>
        <v>123712179340.86888</v>
      </c>
      <c r="AT30" s="56">
        <f>AS30+AT29</f>
        <v>341936629450.20227</v>
      </c>
      <c r="AU30" s="56">
        <f t="shared" ref="AU30" si="337">AT30+AU29</f>
        <v>630660503499.31299</v>
      </c>
      <c r="AV30" s="56">
        <f t="shared" ref="AV30" si="338">AU30+AV29</f>
        <v>970236220072.49756</v>
      </c>
      <c r="AW30" s="56">
        <f t="shared" ref="AW30" si="339">AV30+AW29</f>
        <v>1344682121787.4011</v>
      </c>
      <c r="AX30" s="56">
        <f t="shared" ref="AX30" si="340">AW30+AX29</f>
        <v>1741088017793.2776</v>
      </c>
      <c r="AY30" s="56">
        <f t="shared" ref="AY30" si="341">AX30+AY29</f>
        <v>2149110497534.5415</v>
      </c>
      <c r="AZ30" s="56">
        <f t="shared" ref="AZ30" si="342">AY30+AZ29</f>
        <v>2560545023727.0459</v>
      </c>
      <c r="BA30" s="56">
        <f t="shared" ref="BA30" si="343">AZ30+BA29</f>
        <v>2968963640992.2856</v>
      </c>
      <c r="BB30" s="56">
        <f t="shared" ref="BB30" si="344">BA30+BB29</f>
        <v>3369408712711.5972</v>
      </c>
      <c r="BC30" s="56">
        <f t="shared" ref="BC30" si="345">BB30+BC29</f>
        <v>3758134456743.4932</v>
      </c>
      <c r="BD30" s="56">
        <f t="shared" ref="BD30" si="346">BC30+BD29</f>
        <v>4132389220413.3018</v>
      </c>
      <c r="BE30" s="56">
        <f t="shared" ref="BE30" si="347">BD30+BE29</f>
        <v>4490232440723.9902</v>
      </c>
      <c r="BF30" s="56">
        <f t="shared" ref="BF30" si="348">BE30+BF29</f>
        <v>4830381111094.1895</v>
      </c>
      <c r="BG30" s="56">
        <f t="shared" ref="BG30" si="349">BF30+BG29</f>
        <v>5152081303582.374</v>
      </c>
      <c r="BH30" s="56">
        <f t="shared" ref="BH30" si="350">BG30+BH29</f>
        <v>5455000955810.8896</v>
      </c>
      <c r="BI30" s="56">
        <f t="shared" ref="BI30" si="351">BH30+BI29</f>
        <v>5739140672783.335</v>
      </c>
      <c r="BJ30" s="56">
        <f t="shared" ref="BJ30" si="352">BI30+BJ29</f>
        <v>6004759769333.3779</v>
      </c>
      <c r="BK30" s="56">
        <f t="shared" ref="BK30" si="353">BJ30+BK29</f>
        <v>6252315185386.8516</v>
      </c>
      <c r="BL30" s="56">
        <f t="shared" ref="BL30" si="354">BK30+BL29</f>
        <v>6482411254984.8936</v>
      </c>
      <c r="BM30" s="56">
        <f t="shared" ref="BM30" si="355">BL30+BM29</f>
        <v>6695758609112.0693</v>
      </c>
      <c r="BN30" s="56">
        <f t="shared" ref="BN30" si="356">BM30+BN29</f>
        <v>6893140748713.5107</v>
      </c>
      <c r="BO30" s="56">
        <f t="shared" ref="BO30" si="357">BN30+BO29</f>
        <v>7075387043835.9814</v>
      </c>
      <c r="BP30" s="56">
        <f t="shared" ref="BP30" si="358">BO30+BP29</f>
        <v>7243351102737.7754</v>
      </c>
      <c r="BQ30" s="56">
        <f t="shared" ref="BQ30" si="359">BP30+BQ29</f>
        <v>7397893615218.2188</v>
      </c>
      <c r="BR30" s="56">
        <f t="shared" ref="BR30" si="360">BQ30+BR29</f>
        <v>7539868913353.8457</v>
      </c>
      <c r="BS30" s="56">
        <f t="shared" ref="BS30" si="361">BR30+BS29</f>
        <v>7670114606725.0684</v>
      </c>
      <c r="BT30" s="56">
        <f t="shared" ref="BT30" si="362">BS30+BT29</f>
        <v>7789443752819.0576</v>
      </c>
      <c r="BU30" s="56">
        <f t="shared" ref="BU30" si="363">BT30+BU29</f>
        <v>7898639106667.5918</v>
      </c>
      <c r="BV30" s="56">
        <f t="shared" ref="BV30" si="364">BU30+BV29</f>
        <v>7998449066772.0615</v>
      </c>
      <c r="BW30" s="56">
        <f t="shared" ref="BW30" si="365">BV30+BW29</f>
        <v>8089584996104.9287</v>
      </c>
      <c r="BX30" s="56">
        <f t="shared" ref="BX30" si="366">BW30+BX29</f>
        <v>8172719649420.5166</v>
      </c>
      <c r="BY30" s="56">
        <f t="shared" ref="BY30" si="367">BX30+BY29</f>
        <v>8248486482600.5674</v>
      </c>
      <c r="BZ30" s="56">
        <f t="shared" ref="BZ30" si="368">BY30+BZ29</f>
        <v>8317479657455.1543</v>
      </c>
      <c r="CA30" s="56">
        <f t="shared" ref="CA30" si="369">BZ30+CA29</f>
        <v>8380254587288.3447</v>
      </c>
      <c r="CB30" s="56">
        <f t="shared" ref="CB30" si="370">CA30+CB29</f>
        <v>8437328895471.3018</v>
      </c>
      <c r="CC30" s="56">
        <f>CC29</f>
        <v>340755709594.44263</v>
      </c>
      <c r="CD30" s="56">
        <f>CC30+CD29</f>
        <v>941869551784.34717</v>
      </c>
      <c r="CE30" s="56">
        <f t="shared" ref="CE30" si="371">CD30+CE29</f>
        <v>1737226952105.71</v>
      </c>
      <c r="CF30" s="56">
        <f t="shared" ref="CF30" si="372">CE30+CF29</f>
        <v>2672732168657.5972</v>
      </c>
      <c r="CG30" s="56">
        <f t="shared" ref="CG30" si="373">CF30+CG29</f>
        <v>3704381860639.1528</v>
      </c>
      <c r="CH30" s="56">
        <f t="shared" ref="CH30" si="374">CG30+CH29</f>
        <v>4796627858092.2178</v>
      </c>
      <c r="CI30" s="56">
        <f t="shared" ref="CI30" si="375">CH30+CI29</f>
        <v>5920987400531.5732</v>
      </c>
      <c r="CJ30" s="56">
        <f t="shared" ref="CJ30" si="376">CI30+CJ29</f>
        <v>7054864979456.8096</v>
      </c>
      <c r="CK30" s="56">
        <f t="shared" ref="CK30" si="377">CJ30+CK29</f>
        <v>8180554976963.4922</v>
      </c>
      <c r="CL30" s="56">
        <f t="shared" ref="CL30" si="378">CK30+CL29</f>
        <v>9284398650194.8145</v>
      </c>
      <c r="CM30" s="56">
        <f t="shared" ref="CM30" si="379">CL30+CM29</f>
        <v>10356072764690.664</v>
      </c>
      <c r="CN30" s="56">
        <f t="shared" ref="CN30" si="380">CM30+CN29</f>
        <v>11387990411390.906</v>
      </c>
      <c r="CO30" s="56">
        <f t="shared" ref="CO30" si="381">CN30+CO29</f>
        <v>12374797321928.975</v>
      </c>
      <c r="CP30" s="56">
        <f t="shared" ref="CP30" si="382">CO30+CP29</f>
        <v>13312949398459.949</v>
      </c>
      <c r="CQ30" s="56">
        <f t="shared" ref="CQ30" si="383">CP30+CQ29</f>
        <v>14200359214221.527</v>
      </c>
      <c r="CR30" s="56">
        <f t="shared" ref="CR30" si="384">CQ30+CR29</f>
        <v>15036101029128.113</v>
      </c>
      <c r="CS30" s="56">
        <f t="shared" ref="CS30" si="385">CR30+CS29</f>
        <v>15820165374549.021</v>
      </c>
      <c r="CT30" s="56">
        <f t="shared" ref="CT30" si="386">CS30+CT29</f>
        <v>16553255568863.984</v>
      </c>
      <c r="CU30" s="56">
        <f t="shared" ref="CU30" si="387">CT30+CU29</f>
        <v>17236619645754.672</v>
      </c>
      <c r="CV30" s="56">
        <f t="shared" ref="CV30" si="388">CU30+CV29</f>
        <v>17871912138301.031</v>
      </c>
      <c r="CW30" s="56">
        <f t="shared" ref="CW30" si="389">CV30+CW29</f>
        <v>18461080985965.496</v>
      </c>
      <c r="CX30" s="56">
        <f t="shared" ref="CX30" si="390">CW30+CX29</f>
        <v>19006275537589.258</v>
      </c>
      <c r="CY30" s="56">
        <f t="shared" ref="CY30" si="391">CX30+CY29</f>
        <v>19509772228090.141</v>
      </c>
      <c r="CZ30" s="56">
        <f t="shared" ref="CZ30" si="392">CY30+CZ29</f>
        <v>19973915023869.594</v>
      </c>
      <c r="DA30" s="56">
        <f t="shared" ref="DA30" si="393">CZ30+DA29</f>
        <v>20401068173970.68</v>
      </c>
      <c r="DB30" s="56">
        <f t="shared" ref="DB30" si="394">DA30+DB29</f>
        <v>20793579183558.98</v>
      </c>
      <c r="DC30" s="56">
        <f t="shared" ref="DC30" si="395">DB30+DC29</f>
        <v>21153750245564.609</v>
      </c>
      <c r="DD30" s="56">
        <f t="shared" ref="DD30" si="396">DC30+DD29</f>
        <v>21483816645073.891</v>
      </c>
      <c r="DE30" s="56">
        <f t="shared" ref="DE30" si="397">DD30+DE29</f>
        <v>21785930883667.492</v>
      </c>
      <c r="DF30" s="56">
        <f t="shared" ref="DF30" si="398">DE30+DF29</f>
        <v>22062151470923.047</v>
      </c>
      <c r="DG30" s="56">
        <f t="shared" ref="DG30" si="399">DF30+DG29</f>
        <v>22314435500046.633</v>
      </c>
      <c r="DH30" s="56">
        <f t="shared" ref="DH30" si="400">DG30+DH29</f>
        <v>22544634268772.406</v>
      </c>
      <c r="DI30" s="56">
        <f t="shared" ref="DI30" si="401">DH30+DI29</f>
        <v>22754491328972.078</v>
      </c>
      <c r="DJ30" s="56">
        <f t="shared" ref="DJ30" si="402">DI30+DJ29</f>
        <v>22945642452022.992</v>
      </c>
      <c r="DK30" s="56">
        <f t="shared" ref="DK30" si="403">DJ30+DK29</f>
        <v>23119617084624.129</v>
      </c>
      <c r="DL30" s="56">
        <f t="shared" ref="DL30" si="404">DK30+DL29</f>
        <v>23277840943765.559</v>
      </c>
      <c r="DM30" s="56">
        <f>DM29</f>
        <v>951464098995.50281</v>
      </c>
      <c r="DN30" s="56">
        <f>DM30+DN29</f>
        <v>2630378284628.0161</v>
      </c>
      <c r="DO30" s="56">
        <f t="shared" ref="DO30" si="405">DN30+DO29</f>
        <v>4852451939622.3447</v>
      </c>
      <c r="DP30" s="56">
        <f t="shared" ref="DP30" si="406">DO30+DP29</f>
        <v>7466830805339.8809</v>
      </c>
      <c r="DQ30" s="56">
        <f t="shared" ref="DQ30" si="407">DP30+DQ29</f>
        <v>10350746526531.027</v>
      </c>
      <c r="DR30" s="56">
        <f t="shared" ref="DR30" si="408">DQ30+DR29</f>
        <v>13404968319149.113</v>
      </c>
      <c r="DS30" s="56">
        <f t="shared" ref="DS30" si="409">DR30+DS29</f>
        <v>16549941139732.213</v>
      </c>
      <c r="DT30" s="56">
        <f t="shared" ref="DT30" si="410">DS30+DT29</f>
        <v>19722510977266.77</v>
      </c>
      <c r="DU30" s="56">
        <f t="shared" ref="DU30" si="411">DT30+DU29</f>
        <v>22873151889519.719</v>
      </c>
      <c r="DV30" s="56">
        <f t="shared" ref="DV30" si="412">DU30+DV29</f>
        <v>25963621470897.688</v>
      </c>
      <c r="DW30" s="56">
        <f t="shared" ref="DW30" si="413">DV30+DW29</f>
        <v>28964981832096.273</v>
      </c>
      <c r="DX30" s="56">
        <f t="shared" ref="DX30" si="414">DW30+DX29</f>
        <v>31855932121591.855</v>
      </c>
    </row>
    <row r="31" spans="2:129">
      <c r="B31" s="134"/>
      <c r="C31" s="413" t="s">
        <v>299</v>
      </c>
      <c r="D31" s="413"/>
      <c r="E31" s="413"/>
      <c r="F31" s="144" t="s">
        <v>35</v>
      </c>
      <c r="G31" s="135">
        <v>0.18</v>
      </c>
      <c r="H31" s="135"/>
      <c r="I31" s="56">
        <f>I28/(1+$G$31)^I4</f>
        <v>43756593390.6511</v>
      </c>
      <c r="J31" s="56">
        <f t="shared" ref="J31:AR31" si="415">J28/(1+$G$31)^J4</f>
        <v>75263463298.94278</v>
      </c>
      <c r="K31" s="56">
        <f t="shared" si="415"/>
        <v>97096926571.351059</v>
      </c>
      <c r="L31" s="56">
        <f t="shared" si="415"/>
        <v>111350896865.58514</v>
      </c>
      <c r="M31" s="56">
        <f t="shared" si="415"/>
        <v>119721693819.39043</v>
      </c>
      <c r="N31" s="56">
        <f t="shared" si="415"/>
        <v>123578518600.74138</v>
      </c>
      <c r="O31" s="56">
        <f t="shared" si="415"/>
        <v>124021954150.38013</v>
      </c>
      <c r="P31" s="56">
        <f t="shared" si="415"/>
        <v>121932467875.30499</v>
      </c>
      <c r="Q31" s="56">
        <f t="shared" si="415"/>
        <v>118010574514.94305</v>
      </c>
      <c r="R31" s="56">
        <f t="shared" si="415"/>
        <v>112810047866.51083</v>
      </c>
      <c r="S31" s="56">
        <f t="shared" si="415"/>
        <v>106765343990.70053</v>
      </c>
      <c r="T31" s="56">
        <f t="shared" si="415"/>
        <v>100214208644.46016</v>
      </c>
      <c r="U31" s="56">
        <f t="shared" si="415"/>
        <v>93283862773.206635</v>
      </c>
      <c r="V31" s="56">
        <f t="shared" si="415"/>
        <v>86343568863.988632</v>
      </c>
      <c r="W31" s="56">
        <f t="shared" si="415"/>
        <v>79530769115.941132</v>
      </c>
      <c r="X31" s="56">
        <f t="shared" si="415"/>
        <v>72944685348.022034</v>
      </c>
      <c r="Y31" s="56">
        <f t="shared" si="415"/>
        <v>66654329684.424232</v>
      </c>
      <c r="Z31" s="56">
        <f t="shared" si="415"/>
        <v>60705019372.692635</v>
      </c>
      <c r="AA31" s="56">
        <f t="shared" si="415"/>
        <v>55123658051.188705</v>
      </c>
      <c r="AB31" s="56">
        <f t="shared" si="415"/>
        <v>49923001559.382408</v>
      </c>
      <c r="AC31" s="56">
        <f t="shared" si="415"/>
        <v>45105089418.695526</v>
      </c>
      <c r="AD31" s="56">
        <f t="shared" si="415"/>
        <v>40663992235.286316</v>
      </c>
      <c r="AE31" s="56">
        <f t="shared" si="415"/>
        <v>36587999506.48468</v>
      </c>
      <c r="AF31" s="56">
        <f t="shared" si="415"/>
        <v>32861350822.970039</v>
      </c>
      <c r="AG31" s="56">
        <f t="shared" si="415"/>
        <v>29465595394.731693</v>
      </c>
      <c r="AH31" s="56">
        <f t="shared" si="415"/>
        <v>26380650931.618828</v>
      </c>
      <c r="AI31" s="56">
        <f t="shared" si="415"/>
        <v>23585617868.495071</v>
      </c>
      <c r="AJ31" s="56">
        <f t="shared" si="415"/>
        <v>21059398356.165844</v>
      </c>
      <c r="AK31" s="56">
        <f t="shared" si="415"/>
        <v>18781157944.19677</v>
      </c>
      <c r="AL31" s="56">
        <f t="shared" si="415"/>
        <v>16730662057.694464</v>
      </c>
      <c r="AM31" s="56">
        <f t="shared" si="415"/>
        <v>14888513291.299242</v>
      </c>
      <c r="AN31" s="56">
        <f t="shared" si="415"/>
        <v>13236310704.042658</v>
      </c>
      <c r="AO31" s="56">
        <f t="shared" si="415"/>
        <v>11756748305.805983</v>
      </c>
      <c r="AP31" s="56">
        <f t="shared" si="415"/>
        <v>10433666637.351461</v>
      </c>
      <c r="AQ31" s="56">
        <f t="shared" si="415"/>
        <v>9252068642.1254711</v>
      </c>
      <c r="AR31" s="56">
        <f t="shared" si="415"/>
        <v>8198108809.6999722</v>
      </c>
      <c r="AS31" s="56">
        <f>AS28/(1+$G$31)^AS4</f>
        <v>120566954442.37222</v>
      </c>
      <c r="AT31" s="56">
        <f t="shared" ref="AT31:CB31" si="416">AT28/(1+$G$31)^AT4</f>
        <v>207269344491.23337</v>
      </c>
      <c r="AU31" s="56">
        <f t="shared" si="416"/>
        <v>267257680887.79834</v>
      </c>
      <c r="AV31" s="56">
        <f t="shared" si="416"/>
        <v>306337354847.07037</v>
      </c>
      <c r="AW31" s="56">
        <f t="shared" si="416"/>
        <v>329206382758.65814</v>
      </c>
      <c r="AX31" s="56">
        <f t="shared" si="416"/>
        <v>339652725353.37238</v>
      </c>
      <c r="AY31" s="56">
        <f t="shared" si="416"/>
        <v>340717877988.66681</v>
      </c>
      <c r="AZ31" s="56">
        <f t="shared" si="416"/>
        <v>334832339866.99689</v>
      </c>
      <c r="BA31" s="56">
        <f t="shared" si="416"/>
        <v>323927655766.6662</v>
      </c>
      <c r="BB31" s="56">
        <f t="shared" si="416"/>
        <v>309528956530.6275</v>
      </c>
      <c r="BC31" s="56">
        <f t="shared" si="416"/>
        <v>292831280780.31409</v>
      </c>
      <c r="BD31" s="56">
        <f t="shared" si="416"/>
        <v>274762420432.14478</v>
      </c>
      <c r="BE31" s="56">
        <f t="shared" si="416"/>
        <v>256034578866.70432</v>
      </c>
      <c r="BF31" s="56">
        <f t="shared" si="416"/>
        <v>237186758744.75806</v>
      </c>
      <c r="BG31" s="56">
        <f t="shared" si="416"/>
        <v>218619459613.51114</v>
      </c>
      <c r="BH31" s="56">
        <f t="shared" si="416"/>
        <v>200623026794.26556</v>
      </c>
      <c r="BI31" s="56">
        <f t="shared" si="416"/>
        <v>183400749152.961</v>
      </c>
      <c r="BJ31" s="56">
        <f t="shared" si="416"/>
        <v>167087626575.15726</v>
      </c>
      <c r="BK31" s="56">
        <f t="shared" si="416"/>
        <v>151765571002.40344</v>
      </c>
      <c r="BL31" s="56">
        <f t="shared" si="416"/>
        <v>137475675165.54236</v>
      </c>
      <c r="BM31" s="56">
        <f t="shared" si="416"/>
        <v>124228074899.73087</v>
      </c>
      <c r="BN31" s="56">
        <f t="shared" si="416"/>
        <v>112009840656.89302</v>
      </c>
      <c r="BO31" s="56">
        <f t="shared" si="416"/>
        <v>100791258614.2852</v>
      </c>
      <c r="BP31" s="56">
        <f t="shared" si="416"/>
        <v>90530799153.680847</v>
      </c>
      <c r="BQ31" s="56">
        <f t="shared" si="416"/>
        <v>81179018231.444351</v>
      </c>
      <c r="BR31" s="56">
        <f t="shared" si="416"/>
        <v>72681594870.127136</v>
      </c>
      <c r="BS31" s="56">
        <f t="shared" si="416"/>
        <v>64981669406.525848</v>
      </c>
      <c r="BT31" s="56">
        <f t="shared" si="416"/>
        <v>58021621041.002541</v>
      </c>
      <c r="BU31" s="56">
        <f t="shared" si="416"/>
        <v>51744395577.475281</v>
      </c>
      <c r="BV31" s="56">
        <f t="shared" si="416"/>
        <v>46094475057.487083</v>
      </c>
      <c r="BW31" s="56">
        <f t="shared" si="416"/>
        <v>41018563879.130028</v>
      </c>
      <c r="BX31" s="56">
        <f t="shared" si="416"/>
        <v>36466052053.483154</v>
      </c>
      <c r="BY31" s="56">
        <f t="shared" si="416"/>
        <v>32389304767.059074</v>
      </c>
      <c r="BZ31" s="56">
        <f t="shared" si="416"/>
        <v>28743817972.315117</v>
      </c>
      <c r="CA31" s="56">
        <f t="shared" si="416"/>
        <v>25488271972.173565</v>
      </c>
      <c r="CB31" s="56">
        <f t="shared" si="416"/>
        <v>22584508608.972504</v>
      </c>
      <c r="CC31" s="56">
        <f>CC28/(1+$G$31)^CC4</f>
        <v>332092428842.04156</v>
      </c>
      <c r="CD31" s="56">
        <f t="shared" ref="CD31:DL31" si="417">CD28/(1+$G$31)^CD4</f>
        <v>570937271111.85632</v>
      </c>
      <c r="CE31" s="56">
        <f t="shared" si="417"/>
        <v>736223753532.34302</v>
      </c>
      <c r="CF31" s="56">
        <f t="shared" si="417"/>
        <v>843936063438.6759</v>
      </c>
      <c r="CG31" s="56">
        <f t="shared" si="417"/>
        <v>907008627456.99561</v>
      </c>
      <c r="CH31" s="56">
        <f t="shared" si="417"/>
        <v>935869858468.87219</v>
      </c>
      <c r="CI31" s="56">
        <f t="shared" si="417"/>
        <v>938892870900.57166</v>
      </c>
      <c r="CJ31" s="56">
        <f t="shared" si="417"/>
        <v>922768651400.5033</v>
      </c>
      <c r="CK31" s="56">
        <f t="shared" si="417"/>
        <v>892814643107.99084</v>
      </c>
      <c r="CL31" s="56">
        <f t="shared" si="417"/>
        <v>853229579980.24194</v>
      </c>
      <c r="CM31" s="56">
        <f t="shared" si="417"/>
        <v>807303628187.74048</v>
      </c>
      <c r="CN31" s="56">
        <f t="shared" si="417"/>
        <v>757591399809.54639</v>
      </c>
      <c r="CO31" s="56">
        <f t="shared" si="417"/>
        <v>706054152829.84766</v>
      </c>
      <c r="CP31" s="56">
        <f t="shared" si="417"/>
        <v>654176451725.86084</v>
      </c>
      <c r="CQ31" s="56">
        <f t="shared" si="417"/>
        <v>603061667066.44763</v>
      </c>
      <c r="CR31" s="56">
        <f t="shared" si="417"/>
        <v>553509986201.24707</v>
      </c>
      <c r="CS31" s="56">
        <f t="shared" si="417"/>
        <v>506081972159.72205</v>
      </c>
      <c r="CT31" s="56">
        <f t="shared" si="417"/>
        <v>461150204275.80792</v>
      </c>
      <c r="CU31" s="56">
        <f t="shared" si="417"/>
        <v>418941104118.05029</v>
      </c>
      <c r="CV31" s="56">
        <f t="shared" si="417"/>
        <v>379568692733.35211</v>
      </c>
      <c r="CW31" s="56">
        <f t="shared" si="417"/>
        <v>343061726899.2251</v>
      </c>
      <c r="CX31" s="56">
        <f t="shared" si="417"/>
        <v>309385413379.81317</v>
      </c>
      <c r="CY31" s="56">
        <f t="shared" si="417"/>
        <v>278458692998.98907</v>
      </c>
      <c r="CZ31" s="56">
        <f t="shared" si="417"/>
        <v>250167913886.30191</v>
      </c>
      <c r="DA31" s="56">
        <f t="shared" si="417"/>
        <v>224377569661.05362</v>
      </c>
      <c r="DB31" s="56">
        <f t="shared" si="417"/>
        <v>200938660144.30771</v>
      </c>
      <c r="DC31" s="56">
        <f t="shared" si="417"/>
        <v>179695130604.74219</v>
      </c>
      <c r="DD31" s="56">
        <f t="shared" si="417"/>
        <v>160488767225.49835</v>
      </c>
      <c r="DE31" s="56">
        <f t="shared" si="417"/>
        <v>143162855564.89294</v>
      </c>
      <c r="DF31" s="56">
        <f t="shared" si="417"/>
        <v>127564853811.07234</v>
      </c>
      <c r="DG31" s="56">
        <f t="shared" si="417"/>
        <v>113548285950.90814</v>
      </c>
      <c r="DH31" s="56">
        <f t="shared" si="417"/>
        <v>100974021640.95876</v>
      </c>
      <c r="DI31" s="56">
        <f t="shared" si="417"/>
        <v>89711077988.09108</v>
      </c>
      <c r="DJ31" s="56">
        <f t="shared" si="417"/>
        <v>79637052473.079391</v>
      </c>
      <c r="DK31" s="56">
        <f t="shared" si="417"/>
        <v>70638274925.673447</v>
      </c>
      <c r="DL31" s="56">
        <f t="shared" si="417"/>
        <v>62609748986.699593</v>
      </c>
      <c r="DM31" s="56">
        <f>DM28/(1+$G$31)^DM4</f>
        <v>927274333766.80359</v>
      </c>
      <c r="DN31" s="56">
        <f t="shared" ref="DN31:DX31" si="418">DN28/(1+$G$31)^DN4</f>
        <v>1594630860743.3201</v>
      </c>
      <c r="DO31" s="56">
        <f t="shared" si="418"/>
        <v>2056865764050.5474</v>
      </c>
      <c r="DP31" s="56">
        <f t="shared" si="418"/>
        <v>2358478145534.2676</v>
      </c>
      <c r="DQ31" s="56">
        <f t="shared" si="418"/>
        <v>2535488994287.4116</v>
      </c>
      <c r="DR31" s="56">
        <f t="shared" si="418"/>
        <v>2616950873205.522</v>
      </c>
      <c r="DS31" s="56">
        <f t="shared" si="418"/>
        <v>2626199582044.1035</v>
      </c>
      <c r="DT31" s="56">
        <f t="shared" si="418"/>
        <v>2581890712779.2393</v>
      </c>
      <c r="DU31" s="56">
        <f t="shared" si="418"/>
        <v>2498857010247.0449</v>
      </c>
      <c r="DV31" s="56">
        <f t="shared" si="418"/>
        <v>2388816575033.4941</v>
      </c>
      <c r="DW31" s="56">
        <f t="shared" si="418"/>
        <v>2260957016988.6475</v>
      </c>
      <c r="DX31" s="56">
        <f t="shared" si="418"/>
        <v>2122416535468.9226</v>
      </c>
    </row>
    <row r="32" spans="2:129">
      <c r="B32" s="134"/>
      <c r="C32" s="413" t="s">
        <v>298</v>
      </c>
      <c r="D32" s="413"/>
      <c r="E32" s="413"/>
      <c r="F32" s="144" t="s">
        <v>35</v>
      </c>
      <c r="G32" s="135"/>
      <c r="H32" s="135"/>
      <c r="I32" s="56">
        <f>I31</f>
        <v>43756593390.6511</v>
      </c>
      <c r="J32" s="56">
        <f>I32+J31</f>
        <v>119020056689.59387</v>
      </c>
      <c r="K32" s="56">
        <f t="shared" ref="K32:AR32" si="419">J32+K31</f>
        <v>216116983260.94495</v>
      </c>
      <c r="L32" s="56">
        <f t="shared" si="419"/>
        <v>327467880126.53009</v>
      </c>
      <c r="M32" s="56">
        <f t="shared" si="419"/>
        <v>447189573945.92053</v>
      </c>
      <c r="N32" s="56">
        <f t="shared" si="419"/>
        <v>570768092546.66187</v>
      </c>
      <c r="O32" s="56">
        <f t="shared" si="419"/>
        <v>694790046697.04199</v>
      </c>
      <c r="P32" s="56">
        <f t="shared" si="419"/>
        <v>816722514572.34692</v>
      </c>
      <c r="Q32" s="56">
        <f t="shared" si="419"/>
        <v>934733089087.29004</v>
      </c>
      <c r="R32" s="56">
        <f t="shared" si="419"/>
        <v>1047543136953.8009</v>
      </c>
      <c r="S32" s="56">
        <f t="shared" si="419"/>
        <v>1154308480944.5015</v>
      </c>
      <c r="T32" s="56">
        <f t="shared" si="419"/>
        <v>1254522689588.9617</v>
      </c>
      <c r="U32" s="56">
        <f t="shared" si="419"/>
        <v>1347806552362.1682</v>
      </c>
      <c r="V32" s="56">
        <f t="shared" si="419"/>
        <v>1434150121226.1567</v>
      </c>
      <c r="W32" s="56">
        <f t="shared" si="419"/>
        <v>1513680890342.0979</v>
      </c>
      <c r="X32" s="56">
        <f t="shared" si="419"/>
        <v>1586625575690.1199</v>
      </c>
      <c r="Y32" s="56">
        <f t="shared" si="419"/>
        <v>1653279905374.5442</v>
      </c>
      <c r="Z32" s="56">
        <f t="shared" si="419"/>
        <v>1713984924747.2368</v>
      </c>
      <c r="AA32" s="56">
        <f t="shared" si="419"/>
        <v>1769108582798.4255</v>
      </c>
      <c r="AB32" s="56">
        <f t="shared" si="419"/>
        <v>1819031584357.8079</v>
      </c>
      <c r="AC32" s="56">
        <f t="shared" si="419"/>
        <v>1864136673776.5034</v>
      </c>
      <c r="AD32" s="56">
        <f t="shared" si="419"/>
        <v>1904800666011.7898</v>
      </c>
      <c r="AE32" s="56">
        <f t="shared" si="419"/>
        <v>1941388665518.2744</v>
      </c>
      <c r="AF32" s="56">
        <f t="shared" si="419"/>
        <v>1974250016341.2444</v>
      </c>
      <c r="AG32" s="56">
        <f t="shared" si="419"/>
        <v>2003715611735.9761</v>
      </c>
      <c r="AH32" s="56">
        <f t="shared" si="419"/>
        <v>2030096262667.595</v>
      </c>
      <c r="AI32" s="56">
        <f t="shared" si="419"/>
        <v>2053681880536.0901</v>
      </c>
      <c r="AJ32" s="56">
        <f t="shared" si="419"/>
        <v>2074741278892.2559</v>
      </c>
      <c r="AK32" s="56">
        <f t="shared" si="419"/>
        <v>2093522436836.4526</v>
      </c>
      <c r="AL32" s="56">
        <f t="shared" si="419"/>
        <v>2110253098894.1472</v>
      </c>
      <c r="AM32" s="56">
        <f t="shared" si="419"/>
        <v>2125141612185.4465</v>
      </c>
      <c r="AN32" s="56">
        <f t="shared" si="419"/>
        <v>2138377922889.4893</v>
      </c>
      <c r="AO32" s="56">
        <f t="shared" si="419"/>
        <v>2150134671195.2952</v>
      </c>
      <c r="AP32" s="56">
        <f t="shared" si="419"/>
        <v>2160568337832.6467</v>
      </c>
      <c r="AQ32" s="56">
        <f t="shared" si="419"/>
        <v>2169820406474.7722</v>
      </c>
      <c r="AR32" s="56">
        <f t="shared" si="419"/>
        <v>2178018515284.4722</v>
      </c>
      <c r="AS32" s="56">
        <f>AS31</f>
        <v>120566954442.37222</v>
      </c>
      <c r="AT32" s="56">
        <f>AS32+AT31</f>
        <v>327836298933.60559</v>
      </c>
      <c r="AU32" s="56">
        <f t="shared" ref="AU32" si="420">AT32+AU31</f>
        <v>595093979821.40393</v>
      </c>
      <c r="AV32" s="56">
        <f t="shared" ref="AV32" si="421">AU32+AV31</f>
        <v>901431334668.47437</v>
      </c>
      <c r="AW32" s="56">
        <f t="shared" ref="AW32" si="422">AV32+AW31</f>
        <v>1230637717427.1326</v>
      </c>
      <c r="AX32" s="56">
        <f t="shared" ref="AX32" si="423">AW32+AX31</f>
        <v>1570290442780.5049</v>
      </c>
      <c r="AY32" s="56">
        <f t="shared" ref="AY32" si="424">AX32+AY31</f>
        <v>1911008320769.1716</v>
      </c>
      <c r="AZ32" s="56">
        <f t="shared" ref="AZ32" si="425">AY32+AZ31</f>
        <v>2245840660636.1685</v>
      </c>
      <c r="BA32" s="56">
        <f t="shared" ref="BA32" si="426">AZ32+BA31</f>
        <v>2569768316402.8345</v>
      </c>
      <c r="BB32" s="56">
        <f t="shared" ref="BB32" si="427">BA32+BB31</f>
        <v>2879297272933.4619</v>
      </c>
      <c r="BC32" s="56">
        <f t="shared" ref="BC32" si="428">BB32+BC31</f>
        <v>3172128553713.7759</v>
      </c>
      <c r="BD32" s="56">
        <f t="shared" ref="BD32" si="429">BC32+BD31</f>
        <v>3446890974145.9209</v>
      </c>
      <c r="BE32" s="56">
        <f t="shared" ref="BE32" si="430">BD32+BE31</f>
        <v>3702925553012.625</v>
      </c>
      <c r="BF32" s="56">
        <f t="shared" ref="BF32" si="431">BE32+BF31</f>
        <v>3940112311757.3828</v>
      </c>
      <c r="BG32" s="56">
        <f t="shared" ref="BG32" si="432">BF32+BG31</f>
        <v>4158731771370.894</v>
      </c>
      <c r="BH32" s="56">
        <f t="shared" ref="BH32" si="433">BG32+BH31</f>
        <v>4359354798165.1597</v>
      </c>
      <c r="BI32" s="56">
        <f t="shared" ref="BI32" si="434">BH32+BI31</f>
        <v>4542755547318.1211</v>
      </c>
      <c r="BJ32" s="56">
        <f t="shared" ref="BJ32" si="435">BI32+BJ31</f>
        <v>4709843173893.2783</v>
      </c>
      <c r="BK32" s="56">
        <f t="shared" ref="BK32" si="436">BJ32+BK31</f>
        <v>4861608744895.6816</v>
      </c>
      <c r="BL32" s="56">
        <f t="shared" ref="BL32" si="437">BK32+BL31</f>
        <v>4999084420061.2236</v>
      </c>
      <c r="BM32" s="56">
        <f t="shared" ref="BM32" si="438">BL32+BM31</f>
        <v>5123312494960.9541</v>
      </c>
      <c r="BN32" s="56">
        <f t="shared" ref="BN32" si="439">BM32+BN31</f>
        <v>5235322335617.8467</v>
      </c>
      <c r="BO32" s="56">
        <f t="shared" ref="BO32" si="440">BN32+BO31</f>
        <v>5336113594232.1318</v>
      </c>
      <c r="BP32" s="56">
        <f t="shared" ref="BP32" si="441">BO32+BP31</f>
        <v>5426644393385.8125</v>
      </c>
      <c r="BQ32" s="56">
        <f t="shared" ref="BQ32" si="442">BP32+BQ31</f>
        <v>5507823411617.2568</v>
      </c>
      <c r="BR32" s="56">
        <f t="shared" ref="BR32" si="443">BQ32+BR31</f>
        <v>5580505006487.3838</v>
      </c>
      <c r="BS32" s="56">
        <f t="shared" ref="BS32" si="444">BR32+BS31</f>
        <v>5645486675893.9092</v>
      </c>
      <c r="BT32" s="56">
        <f t="shared" ref="BT32" si="445">BS32+BT31</f>
        <v>5703508296934.9121</v>
      </c>
      <c r="BU32" s="56">
        <f t="shared" ref="BU32" si="446">BT32+BU31</f>
        <v>5755252692512.3877</v>
      </c>
      <c r="BV32" s="56">
        <f t="shared" ref="BV32" si="447">BU32+BV31</f>
        <v>5801347167569.875</v>
      </c>
      <c r="BW32" s="56">
        <f t="shared" ref="BW32" si="448">BV32+BW31</f>
        <v>5842365731449.0049</v>
      </c>
      <c r="BX32" s="56">
        <f t="shared" ref="BX32" si="449">BW32+BX31</f>
        <v>5878831783502.4883</v>
      </c>
      <c r="BY32" s="56">
        <f t="shared" ref="BY32" si="450">BX32+BY31</f>
        <v>5911221088269.5469</v>
      </c>
      <c r="BZ32" s="56">
        <f t="shared" ref="BZ32" si="451">BY32+BZ31</f>
        <v>5939964906241.8623</v>
      </c>
      <c r="CA32" s="56">
        <f t="shared" ref="CA32" si="452">BZ32+CA31</f>
        <v>5965453178214.0361</v>
      </c>
      <c r="CB32" s="56">
        <f t="shared" ref="CB32" si="453">CA32+CB31</f>
        <v>5988037686823.0088</v>
      </c>
      <c r="CC32" s="56">
        <f>CC31</f>
        <v>332092428842.04156</v>
      </c>
      <c r="CD32" s="56">
        <f>CC32+CD31</f>
        <v>903029699953.89795</v>
      </c>
      <c r="CE32" s="56">
        <f t="shared" ref="CE32" si="454">CD32+CE31</f>
        <v>1639253453486.241</v>
      </c>
      <c r="CF32" s="56">
        <f t="shared" ref="CF32" si="455">CE32+CF31</f>
        <v>2483189516924.917</v>
      </c>
      <c r="CG32" s="56">
        <f t="shared" ref="CG32" si="456">CF32+CG31</f>
        <v>3390198144381.9126</v>
      </c>
      <c r="CH32" s="56">
        <f t="shared" ref="CH32" si="457">CG32+CH31</f>
        <v>4326068002850.7847</v>
      </c>
      <c r="CI32" s="56">
        <f t="shared" ref="CI32" si="458">CH32+CI31</f>
        <v>5264960873751.3564</v>
      </c>
      <c r="CJ32" s="56">
        <f t="shared" ref="CJ32" si="459">CI32+CJ31</f>
        <v>6187729525151.8594</v>
      </c>
      <c r="CK32" s="56">
        <f t="shared" ref="CK32" si="460">CJ32+CK31</f>
        <v>7080544168259.8506</v>
      </c>
      <c r="CL32" s="56">
        <f t="shared" ref="CL32" si="461">CK32+CL31</f>
        <v>7933773748240.0928</v>
      </c>
      <c r="CM32" s="56">
        <f t="shared" ref="CM32" si="462">CL32+CM31</f>
        <v>8741077376427.833</v>
      </c>
      <c r="CN32" s="56">
        <f t="shared" ref="CN32" si="463">CM32+CN31</f>
        <v>9498668776237.3789</v>
      </c>
      <c r="CO32" s="56">
        <f t="shared" ref="CO32" si="464">CN32+CO31</f>
        <v>10204722929067.227</v>
      </c>
      <c r="CP32" s="56">
        <f t="shared" ref="CP32" si="465">CO32+CP31</f>
        <v>10858899380793.088</v>
      </c>
      <c r="CQ32" s="56">
        <f t="shared" ref="CQ32" si="466">CP32+CQ31</f>
        <v>11461961047859.535</v>
      </c>
      <c r="CR32" s="56">
        <f t="shared" ref="CR32" si="467">CQ32+CR31</f>
        <v>12015471034060.781</v>
      </c>
      <c r="CS32" s="56">
        <f t="shared" ref="CS32" si="468">CR32+CS31</f>
        <v>12521553006220.504</v>
      </c>
      <c r="CT32" s="56">
        <f t="shared" ref="CT32" si="469">CS32+CT31</f>
        <v>12982703210496.312</v>
      </c>
      <c r="CU32" s="56">
        <f t="shared" ref="CU32" si="470">CT32+CU31</f>
        <v>13401644314614.363</v>
      </c>
      <c r="CV32" s="56">
        <f t="shared" ref="CV32" si="471">CU32+CV31</f>
        <v>13781213007347.715</v>
      </c>
      <c r="CW32" s="56">
        <f t="shared" ref="CW32" si="472">CV32+CW31</f>
        <v>14124274734246.939</v>
      </c>
      <c r="CX32" s="56">
        <f t="shared" ref="CX32" si="473">CW32+CX31</f>
        <v>14433660147626.752</v>
      </c>
      <c r="CY32" s="56">
        <f t="shared" ref="CY32" si="474">CX32+CY31</f>
        <v>14712118840625.74</v>
      </c>
      <c r="CZ32" s="56">
        <f t="shared" ref="CZ32" si="475">CY32+CZ31</f>
        <v>14962286754512.043</v>
      </c>
      <c r="DA32" s="56">
        <f t="shared" ref="DA32" si="476">CZ32+DA31</f>
        <v>15186664324173.096</v>
      </c>
      <c r="DB32" s="56">
        <f t="shared" ref="DB32" si="477">DA32+DB31</f>
        <v>15387602984317.404</v>
      </c>
      <c r="DC32" s="56">
        <f t="shared" ref="DC32" si="478">DB32+DC31</f>
        <v>15567298114922.146</v>
      </c>
      <c r="DD32" s="56">
        <f t="shared" ref="DD32" si="479">DC32+DD31</f>
        <v>15727786882147.645</v>
      </c>
      <c r="DE32" s="56">
        <f t="shared" ref="DE32" si="480">DD32+DE31</f>
        <v>15870949737712.537</v>
      </c>
      <c r="DF32" s="56">
        <f t="shared" ref="DF32" si="481">DE32+DF31</f>
        <v>15998514591523.609</v>
      </c>
      <c r="DG32" s="56">
        <f t="shared" ref="DG32" si="482">DF32+DG31</f>
        <v>16112062877474.518</v>
      </c>
      <c r="DH32" s="56">
        <f t="shared" ref="DH32" si="483">DG32+DH31</f>
        <v>16213036899115.477</v>
      </c>
      <c r="DI32" s="56">
        <f t="shared" ref="DI32" si="484">DH32+DI31</f>
        <v>16302747977103.568</v>
      </c>
      <c r="DJ32" s="56">
        <f t="shared" ref="DJ32" si="485">DI32+DJ31</f>
        <v>16382385029576.648</v>
      </c>
      <c r="DK32" s="56">
        <f t="shared" ref="DK32" si="486">DJ32+DK31</f>
        <v>16453023304502.322</v>
      </c>
      <c r="DL32" s="56">
        <f t="shared" ref="DL32" si="487">DK32+DL31</f>
        <v>16515633053489.021</v>
      </c>
      <c r="DM32" s="56">
        <f>DM31</f>
        <v>927274333766.80359</v>
      </c>
      <c r="DN32" s="56">
        <f>DM32+DN31</f>
        <v>2521905194510.1235</v>
      </c>
      <c r="DO32" s="56">
        <f t="shared" ref="DO32" si="488">DN32+DO31</f>
        <v>4578770958560.6709</v>
      </c>
      <c r="DP32" s="56">
        <f t="shared" ref="DP32" si="489">DO32+DP31</f>
        <v>6937249104094.9385</v>
      </c>
      <c r="DQ32" s="56">
        <f t="shared" ref="DQ32" si="490">DP32+DQ31</f>
        <v>9472738098382.3496</v>
      </c>
      <c r="DR32" s="56">
        <f t="shared" ref="DR32" si="491">DQ32+DR31</f>
        <v>12089688971587.871</v>
      </c>
      <c r="DS32" s="56">
        <f t="shared" ref="DS32" si="492">DR32+DS31</f>
        <v>14715888553631.975</v>
      </c>
      <c r="DT32" s="56">
        <f t="shared" ref="DT32" si="493">DS32+DT31</f>
        <v>17297779266411.215</v>
      </c>
      <c r="DU32" s="56">
        <f t="shared" ref="DU32" si="494">DT32+DU31</f>
        <v>19796636276658.258</v>
      </c>
      <c r="DV32" s="56">
        <f t="shared" ref="DV32" si="495">DU32+DV31</f>
        <v>22185452851691.75</v>
      </c>
      <c r="DW32" s="56">
        <f t="shared" ref="DW32" si="496">DV32+DW31</f>
        <v>24446409868680.398</v>
      </c>
      <c r="DX32" s="56">
        <f t="shared" ref="DX32" si="497">DW32+DX31</f>
        <v>26568826404149.32</v>
      </c>
    </row>
    <row r="33" spans="2:78">
      <c r="B33" s="134"/>
      <c r="C33" s="413" t="s">
        <v>300</v>
      </c>
      <c r="D33" s="413"/>
      <c r="E33" s="413"/>
      <c r="F33" s="144" t="s">
        <v>29</v>
      </c>
      <c r="G33" s="45"/>
      <c r="H33" s="45">
        <f>G29+((AR29/(AR29-AR31))*(G31-G29))</f>
        <v>0.19964451132329103</v>
      </c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</row>
    <row r="34" spans="2:78">
      <c r="B34" s="134"/>
      <c r="C34" s="413" t="s">
        <v>307</v>
      </c>
      <c r="D34" s="413"/>
      <c r="E34" s="413"/>
      <c r="F34" s="144" t="s">
        <v>29</v>
      </c>
      <c r="G34" s="45"/>
      <c r="H34" s="45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</row>
    <row r="35" spans="2:78">
      <c r="B35" s="134"/>
      <c r="C35" s="146"/>
      <c r="D35" s="146"/>
      <c r="E35" s="146"/>
      <c r="F35" s="3"/>
      <c r="G35" s="3"/>
      <c r="H35" s="3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</row>
    <row r="36" spans="2:78">
      <c r="B36" s="411" t="s">
        <v>308</v>
      </c>
      <c r="C36" s="411"/>
      <c r="D36" s="411"/>
      <c r="E36" s="411"/>
      <c r="F36" s="411"/>
      <c r="G36" s="411"/>
      <c r="H36" s="411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  <c r="BR36" s="56"/>
      <c r="BS36" s="56"/>
      <c r="BT36" s="56"/>
      <c r="BU36" s="56"/>
      <c r="BV36" s="56"/>
      <c r="BW36" s="56"/>
      <c r="BX36" s="56"/>
      <c r="BY36" s="56"/>
      <c r="BZ36" s="56"/>
    </row>
    <row r="37" spans="2:78">
      <c r="B37" s="134"/>
      <c r="C37" s="134"/>
      <c r="D37" s="134"/>
      <c r="E37" s="134"/>
      <c r="F37" s="3"/>
      <c r="G37" s="3"/>
      <c r="H37" s="3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  <c r="BR37" s="56"/>
      <c r="BS37" s="56"/>
      <c r="BT37" s="56"/>
      <c r="BU37" s="56"/>
      <c r="BV37" s="56"/>
      <c r="BW37" s="56"/>
      <c r="BX37" s="56"/>
      <c r="BY37" s="56"/>
      <c r="BZ37" s="56"/>
    </row>
    <row r="38" spans="2:78">
      <c r="B38" s="134"/>
      <c r="C38" s="412" t="s">
        <v>309</v>
      </c>
      <c r="D38" s="412"/>
      <c r="E38" s="412"/>
      <c r="F38" s="412"/>
      <c r="G38" s="412"/>
      <c r="H38" s="412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6"/>
      <c r="BM38" s="56"/>
      <c r="BN38" s="56"/>
      <c r="BO38" s="56"/>
      <c r="BP38" s="56"/>
      <c r="BQ38" s="56"/>
      <c r="BR38" s="56"/>
      <c r="BS38" s="56"/>
      <c r="BT38" s="56"/>
      <c r="BU38" s="56"/>
      <c r="BV38" s="56"/>
      <c r="BW38" s="56"/>
      <c r="BX38" s="56"/>
      <c r="BY38" s="56"/>
      <c r="BZ38" s="56"/>
    </row>
    <row r="39" spans="2:78">
      <c r="B39" s="134"/>
      <c r="C39" s="413" t="s">
        <v>310</v>
      </c>
      <c r="D39" s="413"/>
      <c r="E39" s="413"/>
      <c r="F39" s="144" t="s">
        <v>311</v>
      </c>
      <c r="G39" s="45"/>
      <c r="H39" s="148">
        <f>(SUM('Исходные данные'!F30:DU30,'Исходные данные'!F31:DU31))/(SUM(I14:DX14))</f>
        <v>2.1226267569254118E-4</v>
      </c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  <c r="BM39" s="56"/>
      <c r="BN39" s="56"/>
      <c r="BO39" s="56"/>
      <c r="BP39" s="56"/>
      <c r="BQ39" s="56"/>
      <c r="BR39" s="56"/>
      <c r="BS39" s="56"/>
      <c r="BT39" s="56"/>
      <c r="BU39" s="56"/>
      <c r="BV39" s="56"/>
      <c r="BW39" s="56"/>
      <c r="BX39" s="56"/>
      <c r="BY39" s="56"/>
      <c r="BZ39" s="56"/>
    </row>
    <row r="40" spans="2:78">
      <c r="B40" s="134"/>
      <c r="C40" s="413" t="s">
        <v>312</v>
      </c>
      <c r="D40" s="413"/>
      <c r="E40" s="413"/>
      <c r="F40" s="144" t="s">
        <v>311</v>
      </c>
      <c r="G40" s="45"/>
      <c r="H40" s="147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6"/>
      <c r="BM40" s="56"/>
      <c r="BN40" s="56"/>
      <c r="BO40" s="56"/>
      <c r="BP40" s="56"/>
      <c r="BQ40" s="56"/>
      <c r="BR40" s="56"/>
      <c r="BS40" s="56"/>
      <c r="BT40" s="56"/>
      <c r="BU40" s="56"/>
      <c r="BV40" s="56"/>
      <c r="BW40" s="56"/>
      <c r="BX40" s="56"/>
      <c r="BY40" s="56"/>
      <c r="BZ40" s="56"/>
    </row>
    <row r="41" spans="2:78">
      <c r="B41" s="134"/>
      <c r="C41" s="134"/>
      <c r="D41" s="134"/>
      <c r="E41" s="134"/>
      <c r="F41" s="3"/>
      <c r="G41" s="3"/>
      <c r="H41" s="3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6"/>
      <c r="BM41" s="56"/>
      <c r="BN41" s="56"/>
      <c r="BO41" s="56"/>
      <c r="BP41" s="56"/>
      <c r="BQ41" s="56"/>
      <c r="BR41" s="56"/>
      <c r="BS41" s="56"/>
      <c r="BT41" s="56"/>
      <c r="BU41" s="56"/>
      <c r="BV41" s="56"/>
      <c r="BW41" s="56"/>
      <c r="BX41" s="56"/>
      <c r="BY41" s="56"/>
      <c r="BZ41" s="56"/>
    </row>
    <row r="42" spans="2:78">
      <c r="B42" s="134"/>
      <c r="C42" s="412" t="s">
        <v>313</v>
      </c>
      <c r="D42" s="412"/>
      <c r="E42" s="412"/>
      <c r="F42" s="412"/>
      <c r="G42" s="412"/>
      <c r="H42" s="412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56"/>
      <c r="BM42" s="56"/>
      <c r="BN42" s="56"/>
      <c r="BO42" s="56"/>
      <c r="BP42" s="56"/>
      <c r="BQ42" s="56"/>
      <c r="BR42" s="56"/>
      <c r="BS42" s="56"/>
      <c r="BT42" s="56"/>
      <c r="BU42" s="56"/>
      <c r="BV42" s="56"/>
      <c r="BW42" s="56"/>
      <c r="BX42" s="56"/>
      <c r="BY42" s="56"/>
      <c r="BZ42" s="56"/>
    </row>
    <row r="43" spans="2:78">
      <c r="B43" s="134"/>
      <c r="C43" s="413" t="s">
        <v>310</v>
      </c>
      <c r="D43" s="413"/>
      <c r="E43" s="413"/>
      <c r="F43" s="144" t="s">
        <v>311</v>
      </c>
      <c r="G43" s="45"/>
      <c r="H43" s="148">
        <f>(SUM('Исходные данные'!F30:DU30,'Исходные данные'!F31:DU31))/(SUM(I28:DX28))</f>
        <v>1.09933131977479E-4</v>
      </c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  <c r="BI43" s="56"/>
      <c r="BJ43" s="56"/>
      <c r="BK43" s="56"/>
      <c r="BL43" s="56"/>
      <c r="BM43" s="56"/>
      <c r="BN43" s="56"/>
      <c r="BO43" s="56"/>
      <c r="BP43" s="56"/>
      <c r="BQ43" s="56"/>
      <c r="BR43" s="56"/>
      <c r="BS43" s="56"/>
      <c r="BT43" s="56"/>
      <c r="BU43" s="56"/>
      <c r="BV43" s="56"/>
      <c r="BW43" s="56"/>
      <c r="BX43" s="56"/>
      <c r="BY43" s="56"/>
      <c r="BZ43" s="56"/>
    </row>
    <row r="44" spans="2:78">
      <c r="B44" s="134"/>
      <c r="C44" s="413" t="s">
        <v>312</v>
      </c>
      <c r="D44" s="413"/>
      <c r="E44" s="413"/>
      <c r="F44" s="144" t="s">
        <v>311</v>
      </c>
      <c r="G44" s="45"/>
      <c r="H44" s="45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6"/>
      <c r="BK44" s="56"/>
      <c r="BL44" s="56"/>
      <c r="BM44" s="56"/>
      <c r="BN44" s="56"/>
      <c r="BO44" s="56"/>
      <c r="BP44" s="56"/>
      <c r="BQ44" s="56"/>
      <c r="BR44" s="56"/>
      <c r="BS44" s="56"/>
      <c r="BT44" s="56"/>
      <c r="BU44" s="56"/>
      <c r="BV44" s="56"/>
      <c r="BW44" s="56"/>
      <c r="BX44" s="56"/>
      <c r="BY44" s="56"/>
      <c r="BZ44" s="56"/>
    </row>
  </sheetData>
  <mergeCells count="45">
    <mergeCell ref="C42:H42"/>
    <mergeCell ref="C43:E43"/>
    <mergeCell ref="C44:E44"/>
    <mergeCell ref="C34:E34"/>
    <mergeCell ref="B36:H36"/>
    <mergeCell ref="C38:H38"/>
    <mergeCell ref="C39:E39"/>
    <mergeCell ref="C40:E40"/>
    <mergeCell ref="C29:E29"/>
    <mergeCell ref="C30:E30"/>
    <mergeCell ref="C31:E31"/>
    <mergeCell ref="C32:E32"/>
    <mergeCell ref="C33:E33"/>
    <mergeCell ref="C24:E24"/>
    <mergeCell ref="C25:E25"/>
    <mergeCell ref="C26:E26"/>
    <mergeCell ref="C27:E27"/>
    <mergeCell ref="C28:E28"/>
    <mergeCell ref="C18:E18"/>
    <mergeCell ref="C19:E19"/>
    <mergeCell ref="C20:E20"/>
    <mergeCell ref="C22:H22"/>
    <mergeCell ref="C23:E23"/>
    <mergeCell ref="C13:E13"/>
    <mergeCell ref="C14:E14"/>
    <mergeCell ref="C15:E15"/>
    <mergeCell ref="C16:E16"/>
    <mergeCell ref="C17:E17"/>
    <mergeCell ref="C8:H8"/>
    <mergeCell ref="C9:E9"/>
    <mergeCell ref="C10:E10"/>
    <mergeCell ref="C11:E11"/>
    <mergeCell ref="C12:E12"/>
    <mergeCell ref="I2:T2"/>
    <mergeCell ref="U2:AF2"/>
    <mergeCell ref="AG2:AR2"/>
    <mergeCell ref="B4:E4"/>
    <mergeCell ref="B6:H6"/>
    <mergeCell ref="DA2:DL2"/>
    <mergeCell ref="DM2:DX2"/>
    <mergeCell ref="AS2:BD2"/>
    <mergeCell ref="BE2:BP2"/>
    <mergeCell ref="BQ2:CB2"/>
    <mergeCell ref="CC2:CN2"/>
    <mergeCell ref="CO2:CZ2"/>
  </mergeCells>
  <pageMargins left="0.7" right="0.7" top="0.75" bottom="0.75" header="0.3" footer="0.3"/>
  <pageSetup paperSize="9" firstPageNumber="4294967295" orientation="portrait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G13"/>
  <sheetViews>
    <sheetView zoomScale="50" workbookViewId="0">
      <selection activeCell="D5" sqref="D5:G6"/>
    </sheetView>
  </sheetViews>
  <sheetFormatPr baseColWidth="10" defaultColWidth="8.83203125" defaultRowHeight="15"/>
  <cols>
    <col min="2" max="2" width="4.6640625" customWidth="1"/>
    <col min="3" max="3" width="35.83203125" customWidth="1"/>
    <col min="4" max="4" width="19.33203125" customWidth="1"/>
    <col min="5" max="5" width="11.5" customWidth="1"/>
    <col min="6" max="6" width="13.33203125" customWidth="1"/>
    <col min="7" max="7" width="22.1640625" customWidth="1"/>
  </cols>
  <sheetData>
    <row r="2" spans="2:7">
      <c r="C2" s="358" t="s">
        <v>211</v>
      </c>
      <c r="D2" s="358"/>
      <c r="E2" s="358"/>
      <c r="F2" s="76"/>
    </row>
    <row r="4" spans="2:7" ht="60">
      <c r="B4" s="84" t="s">
        <v>314</v>
      </c>
      <c r="C4" s="84" t="s">
        <v>315</v>
      </c>
      <c r="D4" s="84" t="s">
        <v>316</v>
      </c>
      <c r="E4" s="5" t="s">
        <v>317</v>
      </c>
      <c r="F4" s="84" t="s">
        <v>318</v>
      </c>
      <c r="G4" s="84" t="s">
        <v>319</v>
      </c>
    </row>
    <row r="5" spans="2:7" ht="57" customHeight="1">
      <c r="B5" s="101">
        <v>1</v>
      </c>
      <c r="C5" s="191" t="s">
        <v>451</v>
      </c>
      <c r="D5" s="311">
        <v>2000000000000</v>
      </c>
      <c r="E5" s="311">
        <v>5</v>
      </c>
      <c r="F5" s="311">
        <v>3</v>
      </c>
      <c r="G5" s="311">
        <f>D5*E5</f>
        <v>10000000000000</v>
      </c>
    </row>
    <row r="6" spans="2:7" ht="61" customHeight="1">
      <c r="B6" s="101">
        <v>2</v>
      </c>
      <c r="C6" s="191" t="s">
        <v>452</v>
      </c>
      <c r="D6" s="311">
        <v>960000000000</v>
      </c>
      <c r="E6" s="311">
        <v>4</v>
      </c>
      <c r="F6" s="311">
        <v>3</v>
      </c>
      <c r="G6" s="311">
        <f t="shared" ref="G6" si="0">D6*E6</f>
        <v>3840000000000</v>
      </c>
    </row>
    <row r="7" spans="2:7" ht="61" customHeight="1">
      <c r="B7" s="101"/>
      <c r="C7" s="191"/>
      <c r="D7" s="101"/>
      <c r="E7" s="101"/>
      <c r="F7" s="101"/>
      <c r="G7" s="101"/>
    </row>
    <row r="8" spans="2:7" ht="69" customHeight="1">
      <c r="B8" s="101"/>
      <c r="C8" s="191"/>
      <c r="D8" s="101"/>
      <c r="E8" s="101"/>
      <c r="F8" s="101"/>
      <c r="G8" s="101"/>
    </row>
    <row r="9" spans="2:7" ht="39" customHeight="1">
      <c r="B9" s="101"/>
      <c r="C9" s="191"/>
      <c r="D9" s="101"/>
      <c r="E9" s="101"/>
      <c r="F9" s="101"/>
      <c r="G9" s="101"/>
    </row>
    <row r="10" spans="2:7" ht="62" customHeight="1">
      <c r="B10" s="101"/>
      <c r="C10" s="191"/>
      <c r="D10" s="101"/>
      <c r="E10" s="101"/>
      <c r="F10" s="101"/>
      <c r="G10" s="101"/>
    </row>
    <row r="11" spans="2:7" ht="47" customHeight="1">
      <c r="B11" s="101"/>
      <c r="C11" s="191"/>
      <c r="D11" s="101"/>
      <c r="E11" s="101"/>
      <c r="F11" s="101"/>
      <c r="G11" s="101"/>
    </row>
    <row r="12" spans="2:7" ht="64.5" customHeight="1">
      <c r="B12" s="10"/>
      <c r="C12" s="191"/>
      <c r="D12" s="101"/>
      <c r="E12" s="101"/>
      <c r="F12" s="101"/>
      <c r="G12" s="101"/>
    </row>
    <row r="13" spans="2:7">
      <c r="B13" s="192"/>
      <c r="C13" s="149" t="s">
        <v>27</v>
      </c>
      <c r="D13" s="150">
        <f>SUM(D5:D12)</f>
        <v>2960000000000</v>
      </c>
      <c r="E13" s="150">
        <f t="shared" ref="E13:G13" si="1">SUM(E5:E12)</f>
        <v>9</v>
      </c>
      <c r="F13" s="150" t="s">
        <v>343</v>
      </c>
      <c r="G13" s="150">
        <f t="shared" si="1"/>
        <v>13840000000000</v>
      </c>
    </row>
  </sheetData>
  <mergeCells count="1">
    <mergeCell ref="C2:E2"/>
  </mergeCells>
  <pageMargins left="0.7" right="0.7" top="0.75" bottom="0.75" header="0.3" footer="0.3"/>
  <pageSetup paperSize="9" firstPageNumber="4294967295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O11"/>
  <sheetViews>
    <sheetView zoomScale="60" workbookViewId="0">
      <pane xSplit="3" ySplit="3" topLeftCell="D4" activePane="bottomRight" state="frozen"/>
      <selection activeCell="K17" sqref="K17"/>
      <selection pane="topRight"/>
      <selection pane="bottomLeft"/>
      <selection pane="bottomRight" activeCell="L26" sqref="L26"/>
    </sheetView>
  </sheetViews>
  <sheetFormatPr baseColWidth="10" defaultColWidth="8.83203125" defaultRowHeight="15"/>
  <cols>
    <col min="2" max="2" width="20.5" customWidth="1"/>
    <col min="4" max="13" width="13.1640625" customWidth="1"/>
    <col min="14" max="14" width="14.1640625" customWidth="1"/>
    <col min="15" max="15" width="10.83203125" customWidth="1"/>
  </cols>
  <sheetData>
    <row r="2" spans="2:15" ht="16" thickBot="1"/>
    <row r="3" spans="2:15" ht="46" thickBot="1">
      <c r="B3" s="151" t="s">
        <v>4</v>
      </c>
      <c r="C3" s="152" t="s">
        <v>26</v>
      </c>
      <c r="D3" s="153">
        <v>1</v>
      </c>
      <c r="E3" s="153">
        <v>2</v>
      </c>
      <c r="F3" s="153">
        <v>3</v>
      </c>
      <c r="G3" s="153">
        <v>4</v>
      </c>
      <c r="H3" s="153">
        <v>5</v>
      </c>
      <c r="I3" s="153">
        <v>6</v>
      </c>
      <c r="J3" s="153">
        <v>7</v>
      </c>
      <c r="K3" s="153">
        <v>8</v>
      </c>
      <c r="L3" s="153">
        <v>9</v>
      </c>
      <c r="M3" s="153">
        <v>10</v>
      </c>
      <c r="N3" s="152" t="s">
        <v>320</v>
      </c>
      <c r="O3" s="154" t="s">
        <v>321</v>
      </c>
    </row>
    <row r="4" spans="2:15" ht="31" thickBot="1">
      <c r="B4" s="155" t="s">
        <v>424</v>
      </c>
      <c r="C4" s="194" t="s">
        <v>35</v>
      </c>
      <c r="D4" s="195">
        <v>0</v>
      </c>
      <c r="E4" s="156">
        <v>0</v>
      </c>
      <c r="F4" s="156">
        <v>0</v>
      </c>
      <c r="G4" s="157">
        <v>0</v>
      </c>
      <c r="H4" s="156">
        <v>0</v>
      </c>
      <c r="I4" s="156">
        <v>0</v>
      </c>
      <c r="J4" s="156">
        <v>0</v>
      </c>
      <c r="K4" s="157">
        <v>0</v>
      </c>
      <c r="L4" s="156">
        <v>0</v>
      </c>
      <c r="M4" s="156">
        <v>0</v>
      </c>
      <c r="N4" s="196">
        <v>0</v>
      </c>
      <c r="O4" s="158">
        <v>0</v>
      </c>
    </row>
    <row r="5" spans="2:15" ht="16" thickBot="1">
      <c r="B5" s="160" t="s">
        <v>322</v>
      </c>
      <c r="C5" s="161"/>
      <c r="D5" s="161"/>
      <c r="E5" s="161"/>
      <c r="F5" s="161"/>
      <c r="G5" s="162"/>
      <c r="H5" s="161"/>
      <c r="I5" s="161"/>
      <c r="J5" s="161"/>
      <c r="K5" s="162"/>
      <c r="L5" s="161"/>
      <c r="M5" s="161"/>
      <c r="N5" s="163">
        <v>0</v>
      </c>
      <c r="O5" s="163">
        <v>0</v>
      </c>
    </row>
    <row r="6" spans="2:15" ht="16" thickBot="1">
      <c r="B6" s="159"/>
      <c r="C6" s="5" t="s">
        <v>35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</row>
    <row r="7" spans="2:15" ht="16" thickBot="1">
      <c r="B7" s="164" t="s">
        <v>95</v>
      </c>
      <c r="C7" s="165"/>
      <c r="D7" s="165"/>
      <c r="E7" s="165"/>
      <c r="F7" s="165"/>
      <c r="G7" s="166"/>
      <c r="H7" s="165"/>
      <c r="I7" s="165"/>
      <c r="J7" s="165"/>
      <c r="K7" s="166"/>
      <c r="L7" s="165"/>
      <c r="M7" s="165"/>
      <c r="N7" s="167">
        <f>SUM(N8:N8)</f>
        <v>0</v>
      </c>
      <c r="O7" s="167">
        <f>SUM(O8:O8)</f>
        <v>0</v>
      </c>
    </row>
    <row r="8" spans="2:15" ht="16" thickBot="1">
      <c r="B8" s="168"/>
      <c r="C8" s="153" t="s">
        <v>35</v>
      </c>
      <c r="D8" s="153">
        <v>0</v>
      </c>
      <c r="E8" s="153">
        <v>0</v>
      </c>
      <c r="F8" s="153">
        <v>0</v>
      </c>
      <c r="G8" s="153">
        <v>0</v>
      </c>
      <c r="H8" s="153">
        <v>0</v>
      </c>
      <c r="I8" s="153">
        <v>0</v>
      </c>
      <c r="J8" s="153">
        <v>0</v>
      </c>
      <c r="K8" s="153">
        <v>0</v>
      </c>
      <c r="L8" s="153">
        <v>0</v>
      </c>
      <c r="M8" s="153">
        <v>0</v>
      </c>
      <c r="N8" s="153">
        <v>0</v>
      </c>
      <c r="O8" s="153">
        <v>0</v>
      </c>
    </row>
    <row r="9" spans="2:15" ht="31" thickBot="1">
      <c r="B9" s="164" t="s">
        <v>323</v>
      </c>
      <c r="C9" s="165"/>
      <c r="D9" s="197">
        <f>'Операционные затраты'!DV37</f>
        <v>25242059988</v>
      </c>
      <c r="E9" s="197">
        <f>'Операционные затраты'!DW37</f>
        <v>25845911107.199993</v>
      </c>
      <c r="F9" s="197">
        <f>'Операционные затраты'!DX37</f>
        <v>25845971107.199993</v>
      </c>
      <c r="G9" s="197">
        <f>'Операционные затраты'!DY37</f>
        <v>25846031107.199993</v>
      </c>
      <c r="H9" s="197">
        <f>'Операционные затраты'!DZ37</f>
        <v>25846091107.199993</v>
      </c>
      <c r="I9" s="197">
        <f>'Операционные затраты'!EA37</f>
        <v>25846151107.199993</v>
      </c>
      <c r="J9" s="197">
        <f>'Операционные затраты'!EB37</f>
        <v>25846211107.199993</v>
      </c>
      <c r="K9" s="197">
        <f>'Операционные затраты'!EC37</f>
        <v>25846271107.199993</v>
      </c>
      <c r="L9" s="197">
        <f>'Операционные затраты'!ED37</f>
        <v>25846331107.199993</v>
      </c>
      <c r="M9" s="197">
        <f>'Операционные затраты'!EE37</f>
        <v>25846391107.199993</v>
      </c>
      <c r="N9" s="197">
        <f>SUM(D9:M9)</f>
        <v>257857419952.7999</v>
      </c>
      <c r="O9" s="167">
        <v>0</v>
      </c>
    </row>
    <row r="10" spans="2:15" ht="17" thickBot="1">
      <c r="B10" s="169" t="s">
        <v>324</v>
      </c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98">
        <f>SUM(N4+N9)</f>
        <v>257857419952.7999</v>
      </c>
      <c r="O10" s="170">
        <f>SUM(O4+O9)</f>
        <v>0</v>
      </c>
    </row>
    <row r="11" spans="2:15">
      <c r="D11" s="171"/>
      <c r="E11" s="171"/>
      <c r="F11" s="171"/>
      <c r="G11" s="171"/>
    </row>
  </sheetData>
  <pageMargins left="0.7" right="0.7" top="0.75" bottom="0.75" header="0.3" footer="0.3"/>
  <pageSetup paperSize="9" firstPageNumber="4294967295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C2:E7"/>
  <sheetViews>
    <sheetView zoomScale="70" workbookViewId="0">
      <selection activeCell="D8" sqref="D8"/>
    </sheetView>
  </sheetViews>
  <sheetFormatPr baseColWidth="10" defaultColWidth="8.83203125" defaultRowHeight="15"/>
  <cols>
    <col min="3" max="3" width="56" customWidth="1"/>
  </cols>
  <sheetData>
    <row r="2" spans="3:5" ht="16">
      <c r="C2" s="22" t="s">
        <v>28</v>
      </c>
      <c r="D2" s="23"/>
      <c r="E2" s="24"/>
    </row>
    <row r="3" spans="3:5">
      <c r="C3" s="25" t="s">
        <v>354</v>
      </c>
      <c r="D3" s="26" t="s">
        <v>29</v>
      </c>
      <c r="E3" s="27">
        <v>0.05</v>
      </c>
    </row>
    <row r="4" spans="3:5" ht="16">
      <c r="C4" s="29" t="s">
        <v>355</v>
      </c>
      <c r="D4" s="26" t="s">
        <v>29</v>
      </c>
      <c r="E4" s="27">
        <v>0.13</v>
      </c>
    </row>
    <row r="5" spans="3:5" ht="16">
      <c r="C5" s="29" t="s">
        <v>353</v>
      </c>
      <c r="D5" s="26" t="s">
        <v>29</v>
      </c>
      <c r="E5" s="27">
        <v>0.18</v>
      </c>
    </row>
    <row r="6" spans="3:5" ht="16">
      <c r="C6" s="29" t="s">
        <v>30</v>
      </c>
      <c r="D6" s="193" t="s">
        <v>29</v>
      </c>
      <c r="E6" s="193">
        <v>7.6</v>
      </c>
    </row>
    <row r="7" spans="3:5" ht="16">
      <c r="C7" s="306" t="s">
        <v>450</v>
      </c>
      <c r="D7" s="308" t="s">
        <v>29</v>
      </c>
      <c r="E7" s="307">
        <v>2.5</v>
      </c>
    </row>
  </sheetData>
  <pageMargins left="0.7" right="0.7" top="0.75" bottom="0.75" header="0.3" footer="0.3"/>
  <pageSetup paperSize="9" firstPageNumber="4294967295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I13"/>
  <sheetViews>
    <sheetView workbookViewId="0">
      <selection activeCell="G6" sqref="B4:G6"/>
    </sheetView>
  </sheetViews>
  <sheetFormatPr baseColWidth="10" defaultColWidth="8.83203125" defaultRowHeight="15"/>
  <cols>
    <col min="2" max="2" width="26.5" customWidth="1"/>
    <col min="5" max="5" width="11.5" customWidth="1"/>
    <col min="8" max="8" width="12.33203125" customWidth="1"/>
    <col min="9" max="9" width="12.5" customWidth="1"/>
    <col min="10" max="10" width="10.33203125" customWidth="1"/>
  </cols>
  <sheetData>
    <row r="2" spans="2:9" ht="20" customHeight="1">
      <c r="B2" s="415" t="s">
        <v>325</v>
      </c>
      <c r="C2" s="415"/>
      <c r="D2" s="415"/>
    </row>
    <row r="3" spans="2:9">
      <c r="B3" s="5" t="s">
        <v>326</v>
      </c>
      <c r="C3" s="5" t="s">
        <v>327</v>
      </c>
      <c r="D3" s="5" t="s">
        <v>328</v>
      </c>
      <c r="E3" s="84" t="s">
        <v>329</v>
      </c>
      <c r="F3" s="5" t="s">
        <v>330</v>
      </c>
      <c r="G3" s="5" t="s">
        <v>331</v>
      </c>
    </row>
    <row r="4" spans="2:9">
      <c r="B4" s="45" t="s">
        <v>340</v>
      </c>
      <c r="C4" s="45">
        <v>0</v>
      </c>
      <c r="D4" s="45">
        <v>0</v>
      </c>
      <c r="E4" s="45">
        <v>0</v>
      </c>
      <c r="F4" s="5">
        <v>0</v>
      </c>
      <c r="G4" s="45">
        <v>0</v>
      </c>
    </row>
    <row r="5" spans="2:9">
      <c r="B5" s="173" t="s">
        <v>341</v>
      </c>
      <c r="C5" s="45">
        <v>0</v>
      </c>
      <c r="D5" s="45">
        <v>0</v>
      </c>
      <c r="E5" s="45">
        <v>0</v>
      </c>
      <c r="F5" s="5">
        <v>0</v>
      </c>
      <c r="G5" s="45">
        <v>0</v>
      </c>
    </row>
    <row r="6" spans="2:9">
      <c r="B6" s="45" t="s">
        <v>342</v>
      </c>
      <c r="C6" s="45">
        <v>0</v>
      </c>
      <c r="D6" s="45">
        <v>0</v>
      </c>
      <c r="E6" s="45">
        <v>0</v>
      </c>
      <c r="F6" s="5">
        <v>0</v>
      </c>
      <c r="G6" s="45">
        <v>0</v>
      </c>
    </row>
    <row r="8" spans="2:9" ht="16.25" customHeight="1">
      <c r="B8" s="172"/>
      <c r="C8" s="172"/>
      <c r="D8" s="172"/>
      <c r="E8" s="172"/>
      <c r="F8" s="172"/>
      <c r="G8" s="172"/>
      <c r="H8" s="172"/>
      <c r="I8" s="172"/>
    </row>
    <row r="13" spans="2:9">
      <c r="D13" s="137"/>
    </row>
  </sheetData>
  <mergeCells count="1">
    <mergeCell ref="B2:D2"/>
  </mergeCells>
  <pageMargins left="0.7" right="0.7" top="0.75" bottom="0.75" header="0.3" footer="0.3"/>
  <pageSetup paperSize="9" firstPageNumber="4294967295" orientation="portrait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C7"/>
  <sheetViews>
    <sheetView workbookViewId="0">
      <selection activeCell="C5" sqref="C5"/>
    </sheetView>
  </sheetViews>
  <sheetFormatPr baseColWidth="10" defaultColWidth="8.83203125" defaultRowHeight="15"/>
  <cols>
    <col min="2" max="2" width="31.6640625" customWidth="1"/>
    <col min="3" max="3" width="13.83203125" customWidth="1"/>
    <col min="4" max="4" width="11.33203125" customWidth="1"/>
  </cols>
  <sheetData>
    <row r="2" spans="2:3" ht="28.25" customHeight="1">
      <c r="B2" s="416" t="s">
        <v>332</v>
      </c>
      <c r="C2" s="416"/>
    </row>
    <row r="3" spans="2:3" ht="20.75" customHeight="1">
      <c r="B3" s="8" t="s">
        <v>333</v>
      </c>
      <c r="C3" s="179">
        <v>25.8</v>
      </c>
    </row>
    <row r="4" spans="2:3" ht="30">
      <c r="B4" s="8" t="s">
        <v>334</v>
      </c>
      <c r="C4" s="179">
        <v>10.1</v>
      </c>
    </row>
    <row r="5" spans="2:3" ht="30">
      <c r="B5" s="8" t="s">
        <v>335</v>
      </c>
      <c r="C5" s="179" t="s">
        <v>425</v>
      </c>
    </row>
    <row r="6" spans="2:3" ht="33" customHeight="1">
      <c r="B6" s="8" t="s">
        <v>336</v>
      </c>
      <c r="C6" s="179">
        <v>23.33</v>
      </c>
    </row>
    <row r="7" spans="2:3">
      <c r="B7" s="8" t="s">
        <v>337</v>
      </c>
      <c r="C7" s="179">
        <v>18.12</v>
      </c>
    </row>
  </sheetData>
  <mergeCells count="1">
    <mergeCell ref="B2:C2"/>
  </mergeCells>
  <pageMargins left="0.7" right="0.7" top="0.75" bottom="0.75" header="0.3" footer="0.3"/>
  <pageSetup paperSize="9" firstPageNumber="429496729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B6"/>
  <sheetViews>
    <sheetView zoomScale="70" workbookViewId="0">
      <selection activeCell="G4" sqref="G4"/>
    </sheetView>
  </sheetViews>
  <sheetFormatPr baseColWidth="10" defaultColWidth="8.83203125" defaultRowHeight="15"/>
  <cols>
    <col min="2" max="2" width="100.5" customWidth="1"/>
  </cols>
  <sheetData>
    <row r="2" spans="2:2" ht="16">
      <c r="B2" s="180"/>
    </row>
    <row r="3" spans="2:2" ht="59" customHeight="1">
      <c r="B3" s="180" t="s">
        <v>428</v>
      </c>
    </row>
    <row r="4" spans="2:2" ht="241" customHeight="1">
      <c r="B4" s="180" t="s">
        <v>429</v>
      </c>
    </row>
    <row r="5" spans="2:2" ht="66" customHeight="1">
      <c r="B5" s="180"/>
    </row>
    <row r="6" spans="2:2" ht="95.75" customHeight="1">
      <c r="B6" s="180"/>
    </row>
  </sheetData>
  <pageMargins left="0.7" right="0.7" top="0.75" bottom="0.75" header="0.3" footer="0.3"/>
  <pageSetup paperSize="9" firstPageNumber="429496729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"/>
  <sheetViews>
    <sheetView topLeftCell="B2" zoomScale="70" workbookViewId="0">
      <selection activeCell="B10" sqref="B10"/>
    </sheetView>
  </sheetViews>
  <sheetFormatPr baseColWidth="10" defaultColWidth="8.83203125" defaultRowHeight="15"/>
  <cols>
    <col min="2" max="2" width="52.6640625" customWidth="1"/>
  </cols>
  <sheetData>
    <row r="2" spans="2:2" ht="84.5" customHeight="1">
      <c r="B2" s="172" t="s">
        <v>427</v>
      </c>
    </row>
  </sheetData>
  <pageMargins left="0.7" right="0.7" top="0.75" bottom="0.75" header="0.3" footer="0.3"/>
  <pageSetup paperSize="9" firstPageNumber="4294967295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W78"/>
  <sheetViews>
    <sheetView topLeftCell="A2" zoomScale="60" workbookViewId="0">
      <selection activeCell="M8" sqref="M8"/>
    </sheetView>
  </sheetViews>
  <sheetFormatPr baseColWidth="10" defaultColWidth="8.83203125" defaultRowHeight="15"/>
  <sheetData>
    <row r="1" spans="1:2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s="1"/>
      <c r="B2" s="417" t="s">
        <v>426</v>
      </c>
      <c r="C2" s="417"/>
      <c r="D2" s="417"/>
      <c r="E2" s="417"/>
      <c r="F2" s="41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87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A16" s="1"/>
      <c r="B16" s="417"/>
      <c r="C16" s="417"/>
      <c r="D16" s="417"/>
      <c r="E16" s="417"/>
      <c r="F16" s="417"/>
      <c r="G16" s="417"/>
      <c r="H16" s="1"/>
      <c r="I16" s="1"/>
      <c r="J16" s="1"/>
      <c r="K16" s="417"/>
      <c r="L16" s="417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2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2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2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2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</sheetData>
  <mergeCells count="3">
    <mergeCell ref="B2:F2"/>
    <mergeCell ref="B16:G16"/>
    <mergeCell ref="K16:L16"/>
  </mergeCells>
  <pageMargins left="0.7" right="0.7" top="0.75" bottom="0.75" header="0.3" footer="0.3"/>
  <pageSetup paperSize="9" firstPageNumber="4294967295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Резюме</vt:lpstr>
      <vt:lpstr>Исходные данные</vt:lpstr>
      <vt:lpstr>Выручка, до</vt:lpstr>
      <vt:lpstr>Экономический эффект</vt:lpstr>
      <vt:lpstr>Капитальные затраты до</vt:lpstr>
      <vt:lpstr>Операционные затраты</vt:lpstr>
      <vt:lpstr>Налоги и сборы до</vt:lpstr>
      <vt:lpstr>Бухбаланс до</vt:lpstr>
      <vt:lpstr>Отчет о фин. рез до</vt:lpstr>
      <vt:lpstr>Отчет о движ. ден. ср.</vt:lpstr>
      <vt:lpstr>Амортизация, до</vt:lpstr>
      <vt:lpstr>Финасирование, до</vt:lpstr>
      <vt:lpstr>Финансовый план по месяцам</vt:lpstr>
      <vt:lpstr>Финансовый план по годам</vt:lpstr>
      <vt:lpstr>Дисконтированный ДП</vt:lpstr>
      <vt:lpstr>Основные ср-ва</vt:lpstr>
      <vt:lpstr>Приложение (затраты)</vt:lpstr>
      <vt:lpstr>Приложение (налоги и взносы)</vt:lpstr>
      <vt:lpstr>Приложение (прайс аренды р. м.)</vt:lpstr>
      <vt:lpstr>Приложение (показ. эффект. пр.)</vt:lpstr>
      <vt:lpstr>Приложение (актуальность)</vt:lpstr>
      <vt:lpstr>Приложение (сезонность)</vt:lpstr>
      <vt:lpstr>Дизайн проекта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Захаров Андрей Сергеевич</dc:creator>
  <cp:keywords/>
  <dc:description/>
  <cp:lastModifiedBy>Андрей Захаров</cp:lastModifiedBy>
  <cp:revision>1</cp:revision>
  <dcterms:created xsi:type="dcterms:W3CDTF">2021-11-03T16:11:06Z</dcterms:created>
  <dcterms:modified xsi:type="dcterms:W3CDTF">2026-07-10T20:21:05Z</dcterms:modified>
  <cp:category/>
</cp:coreProperties>
</file>